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readedComments/threadedComment2.xml" ContentType="application/vnd.ms-excel.threadedcomment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comments2.xml" ContentType="application/vnd.openxmlformats-officedocument.spreadsheetml.comments+xml"/>
  <Override PartName="/xl/worksheets/sheet14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17.xml" ContentType="application/vnd.openxmlformats-officedocument.spreadsheetml.worksheet+xml"/>
  <Override PartName="/xl/threadedComments/threadedComment1.xml" ContentType="application/vnd.ms-excel.threadedcomment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安装及设备购置费四厂对比表" sheetId="1" r:id="rId4"/>
    <sheet name="甲供设备" sheetId="2" r:id="rId5"/>
    <sheet name="工艺专业" sheetId="3" r:id="rId6"/>
    <sheet name="电气专业" sheetId="4" r:id="rId7"/>
    <sheet name="仪表自控专业设备" sheetId="5" r:id="rId8"/>
    <sheet name="暖通空调专业" sheetId="6" r:id="rId9"/>
    <sheet name="建水、消防水工程" sheetId="7" r:id="rId10"/>
    <sheet name="室外景观绿化给排水设备" sheetId="8" r:id="rId11"/>
    <sheet name="估算1118修改" sheetId="9" state="hidden" r:id="rId12"/>
    <sheet name="水务局专家意见回复" sheetId="10" state="hidden" r:id="rId13"/>
    <sheet name="估算1115修改园建" sheetId="11" state="hidden" r:id="rId14"/>
    <sheet name="估算对比分析表" sheetId="12" state="hidden" r:id="rId15"/>
    <sheet name="估算（仅打印此表）" sheetId="13" state="hidden" r:id="rId16"/>
    <sheet name="成本分析表" sheetId="14" r:id="rId17"/>
    <sheet name="设备" sheetId="15" state="hidden" r:id="rId18"/>
    <sheet name="工艺" sheetId="16" state="hidden" r:id="rId19"/>
    <sheet name="成本基础数据" sheetId="17" r:id="rId20"/>
    <sheet name="Sheet2" sheetId="18" state="hidden" r:id="rId21"/>
  </sheets>
  <calcPr/>
</workbook>
</file>

<file path=xl/comments1.xml><?xml version="1.0" encoding="utf-8"?>
<comments xmlns="http://schemas.openxmlformats.org/spreadsheetml/2006/main">
  <authors>
    <author>tc={87653023-CFFD-4052-B8C3-161121729C07}</author>
  </authors>
  <commentList>
    <comment ref="T6" authorId="0">
      <text>
        <r>
          <t>电梯载重1350kg，速度1.75m/s，3/4站</t>
        </r>
      </text>
    </comment>
    <comment ref="W6" authorId="0">
      <text>
        <r>
          <t>全费用单价</t>
        </r>
      </text>
    </comment>
    <comment ref="Q6" authorId="0">
      <text>
        <r>
          <t>无参数</t>
        </r>
      </text>
    </comment>
    <comment ref="G6" authorId="0">
      <text>
        <r>
          <t>全费用单价，电梯载重1350kg，速度1.75m/s，3/4站</t>
        </r>
      </text>
    </comment>
    <comment ref="Q9" authorId="0">
      <text>
        <r>
          <t>SCB13-2000kVA</t>
        </r>
      </text>
    </comment>
    <comment ref="M10" authorId="0">
      <text>
        <r>
          <t>800kw,静音型</t>
        </r>
      </text>
    </comment>
    <comment ref="O10" authorId="0">
      <text>
        <r>
          <t>静音型，长行功率1200kw，选用最低价玉柴</t>
        </r>
      </text>
    </comment>
    <comment ref="O6" authorId="0">
      <text>
        <r>
          <t>电梯载重1150kg，速度1m/s，5站</t>
        </r>
      </text>
    </comment>
    <comment ref="O9" authorId="0">
      <text>
        <r>
          <t>选的最低价汉光SCB14-10/0.4kV,2500kVA</t>
        </r>
      </text>
    </comment>
    <comment ref="M9" authorId="0">
      <text>
        <r>
          <t>SCB18-10/0.4kV,2000kVA</t>
        </r>
      </text>
    </comment>
  </commentList>
</comments>
</file>

<file path=xl/comments2.xml><?xml version="1.0" encoding="utf-8"?>
<comments xmlns="http://schemas.openxmlformats.org/spreadsheetml/2006/main">
  <authors>
    <author>tc={9B3FAF0D-5E32-48FB-9C35-0C78F9340927}</author>
  </authors>
  <commentList>
    <comment ref="C35" authorId="0">
      <text>
        <r>
          <t>总价-景观照明-总图地面照明-设备</t>
        </r>
      </text>
    </comment>
    <comment ref="D35" authorId="0">
      <text>
        <r>
          <t>总价-景观照明-总图地面照明</t>
        </r>
      </text>
    </comment>
  </commentList>
</comments>
</file>

<file path=xl/sharedStrings.xml><?xml version="1.0" encoding="utf-8"?>
<sst xmlns="http://schemas.openxmlformats.org/spreadsheetml/2006/main" count="2604" uniqueCount="2604">
  <si>
    <t/>
  </si>
  <si>
    <t>设备价格表（含税）</t>
  </si>
  <si>
    <t>单位工程：暖通空调专业设备</t>
  </si>
  <si>
    <t>序号</t>
  </si>
  <si>
    <t>设备名称</t>
  </si>
  <si>
    <t>概算规格、型号</t>
  </si>
  <si>
    <t>施工图预算规格、型号</t>
  </si>
  <si>
    <t>单位</t>
  </si>
  <si>
    <t>数量</t>
  </si>
  <si>
    <t>概算</t>
  </si>
  <si>
    <t>预算数量</t>
  </si>
  <si>
    <t>预算选用价格</t>
  </si>
  <si>
    <t>品牌1</t>
  </si>
  <si>
    <t>品牌2</t>
  </si>
  <si>
    <t>品牌3</t>
  </si>
  <si>
    <t>品牌4</t>
  </si>
  <si>
    <t>单价(元)</t>
  </si>
  <si>
    <t>合价(元)</t>
  </si>
  <si>
    <t>建议下浮率</t>
  </si>
  <si>
    <t>单价（元）</t>
  </si>
  <si>
    <t>总价（元）</t>
  </si>
  <si>
    <t>公司名称</t>
  </si>
  <si>
    <t>联系人、联系电话</t>
  </si>
  <si>
    <t>地下除臭系统设备(不含污泥干化车间)</t>
  </si>
  <si>
    <t>生物滤池</t>
  </si>
  <si>
    <t>组</t>
  </si>
  <si>
    <t>南方环保</t>
  </si>
  <si>
    <t>程13922450496</t>
  </si>
  <si>
    <t>西原环保（上海）股份有限公司</t>
  </si>
  <si>
    <t>徐经理13524653119</t>
  </si>
  <si>
    <t>预洗池</t>
  </si>
  <si>
    <t>离心风机</t>
  </si>
  <si>
    <t>台</t>
  </si>
  <si>
    <t>循环水泵</t>
  </si>
  <si>
    <t>喷淋水泵</t>
  </si>
  <si>
    <t>控制柜</t>
  </si>
  <si>
    <t>套</t>
  </si>
  <si>
    <t>水箱</t>
  </si>
  <si>
    <t>1200mm*1000mm*800mm</t>
  </si>
  <si>
    <t>干簧管高、低液位计</t>
  </si>
  <si>
    <t>带开关量信号输出</t>
  </si>
  <si>
    <t>水压压力表</t>
  </si>
  <si>
    <t>内部连接风管</t>
  </si>
  <si>
    <t>电动风阀</t>
  </si>
  <si>
    <t>1250mm*630mm</t>
  </si>
  <si>
    <t>个</t>
  </si>
  <si>
    <t>手动采样口</t>
  </si>
  <si>
    <t>污染物检测仪</t>
  </si>
  <si>
    <t>近期生化池及膜池用生物除臭装置</t>
  </si>
  <si>
    <t>Q=25000m3/h，尺寸：15.5*5.0*3.0m</t>
  </si>
  <si>
    <t>Q=25000m3/h，尺寸：1.5*5.0*3.0m</t>
  </si>
  <si>
    <t>Q=25000m3/h，P=3500Pa，IP55，含隔音罩</t>
  </si>
  <si>
    <t>Q=10m3/h，H=15m，IP55</t>
  </si>
  <si>
    <t>含PLC，7寸触摸屏和以太网通讯协议，柜体IP55</t>
  </si>
  <si>
    <t>电子式，0~0.6MPa，带数字显示及4-20mA信号输出</t>
  </si>
  <si>
    <t>1250mm*630mm，含直管、管件及支架</t>
  </si>
  <si>
    <t>法兰式采用口，DN100，带盲板</t>
  </si>
  <si>
    <t>硫化氢、氨气检测仪，量程：0-50ppm，精度±p3%（FS），带LED显示，声、光报警及4-20mA信号输出</t>
  </si>
  <si>
    <t>污泥干化区生物除臭装置</t>
  </si>
  <si>
    <t>组合式生物除臭箱体</t>
  </si>
  <si>
    <t>含填料,支架,各检修口、检修爬梯、系统内风管等附件。Q=37000m3/h,尺寸:22.0m*5.0m*4.2m,预洗+生物过滤+碱洗,生物段停留时间t≥25s,材质:FRP+Q235</t>
  </si>
  <si>
    <t>应急用活性炭吸附设备</t>
  </si>
  <si>
    <t>含填料,支架,各检修口、检修爬梯、系统内风管等附件。风量37000m3/h,尺寸:3x4x3m,停留时间≥2s,材质:FRP+Q235</t>
  </si>
  <si>
    <t>座地式离心风机，Q=42000m3h，H=350Pa，N=7.5kW</t>
  </si>
  <si>
    <t>Q=40000m3/h,全压=4000pa,75kw,IP55,含隔音罩,叶轮及壳体用玻璃钢。1用1备,变频控制。</t>
  </si>
  <si>
    <t>洗涤循环水泵</t>
  </si>
  <si>
    <t>Q=40m3/h,H=20m,7.5kw,IP55,FRPP，1用1备</t>
  </si>
  <si>
    <t>化洗循环水泵</t>
  </si>
  <si>
    <t>Q=80m3/h,H=20m,11kw,IP55,FRPP，1用1备</t>
  </si>
  <si>
    <t>V=5m3,尺寸:φ1.85*2.3m,PE</t>
  </si>
  <si>
    <t>储药罐</t>
  </si>
  <si>
    <t>V=8m3,尺寸:φ2.13*2.6m,PE</t>
  </si>
  <si>
    <t>加药计量泵</t>
  </si>
  <si>
    <t>Q=250L/h,H=5bar,0.37kw</t>
  </si>
  <si>
    <t>电控系统</t>
  </si>
  <si>
    <t>含PLC 、触摸屏、变频器,柜体IP54,SS304</t>
  </si>
  <si>
    <t>管道式离子发生器</t>
  </si>
  <si>
    <t>管道式离子发生器 （含控制柜）</t>
  </si>
  <si>
    <t>风量49000m³/h，主风管设计风速约8m/s,对于H2S的净化效率不小于95%,自带F5级中效过滤器.需配置防触电装置，电源:220V,50Hz</t>
  </si>
  <si>
    <t>风量63000m³/h，主风管设计风速约8m/s,对于H2S的净化效率不小于95%,自带F5级中效过滤器.需配置防触电装置，电源:220V,50Hz</t>
  </si>
  <si>
    <t>风机</t>
  </si>
  <si>
    <t>MARK0001</t>
  </si>
  <si>
    <t>风量（m3/h）：4000，11kw</t>
  </si>
  <si>
    <t>英飞</t>
  </si>
  <si>
    <t>彭15918711991</t>
  </si>
  <si>
    <t>洛森拒绝报价，理由品牌价差悬殊，无优势</t>
  </si>
  <si>
    <t>科禄格拒绝报价，理由品牌价差悬殊，无优势</t>
  </si>
  <si>
    <t>MARK0002</t>
  </si>
  <si>
    <t>风量（m3/h）：2500，5.5kw</t>
  </si>
  <si>
    <t>MARK0003</t>
  </si>
  <si>
    <t>风量（m3/h）：2000，5.5kw</t>
  </si>
  <si>
    <t>P-B1-1</t>
  </si>
  <si>
    <t>风量（m3/h）：12000，2.2kw</t>
  </si>
  <si>
    <t>P-B1-2</t>
  </si>
  <si>
    <t>P-B1-3</t>
  </si>
  <si>
    <t>座地式离心风机，Q=5000m3h，H=380Pa，N=1.1kW</t>
  </si>
  <si>
    <t>风量（m3/h）：5000，1.1kw</t>
  </si>
  <si>
    <t>P-B1-4</t>
  </si>
  <si>
    <t>P-B1-5</t>
  </si>
  <si>
    <t>P-B1-6</t>
  </si>
  <si>
    <t>座地式离心风机，Q=5500m3h，H=350Pa，N=1.1kW</t>
  </si>
  <si>
    <t>风量（m3/h）：5500，1.1kw</t>
  </si>
  <si>
    <t>P-B1-7</t>
  </si>
  <si>
    <t>风量（m3/h）：20000，4kw</t>
  </si>
  <si>
    <t>P-B1-8</t>
  </si>
  <si>
    <t>P-B1-9</t>
  </si>
  <si>
    <t>风量（m3/h）：24000，4kw</t>
  </si>
  <si>
    <t>P-B1-10</t>
  </si>
  <si>
    <t>风量（m3/h）：10000，2.2kw</t>
  </si>
  <si>
    <t>P-B1-11</t>
  </si>
  <si>
    <t>风量（m3/h）：25000，4kw</t>
  </si>
  <si>
    <t>P-B1-12</t>
  </si>
  <si>
    <t>风量（m3/h）：18000，4kw</t>
  </si>
  <si>
    <t>P-B1-13</t>
  </si>
  <si>
    <t>P-B1-14</t>
  </si>
  <si>
    <t>P-B1-15</t>
  </si>
  <si>
    <t>风量（m3/h）：26000，4kw</t>
  </si>
  <si>
    <t>P-B1-16</t>
  </si>
  <si>
    <t>P-B1-17</t>
  </si>
  <si>
    <t>风量（m3/h）：15000，4kw</t>
  </si>
  <si>
    <t>P-B1-20</t>
  </si>
  <si>
    <t>风量（m3/h）：35000，5.5kw</t>
  </si>
  <si>
    <t>P-B1-21</t>
  </si>
  <si>
    <t>P-B1-22</t>
  </si>
  <si>
    <t>座地式离心风机，Q=6000m3h，H=300Pa，N=1.1kW</t>
  </si>
  <si>
    <t>风量（m3/h）：6000，1.1kw</t>
  </si>
  <si>
    <t>P-B1-23</t>
  </si>
  <si>
    <t>S-B1-1</t>
  </si>
  <si>
    <t>座地式离心风机，Q=12000m3h，H=250Pa，N=2.2kW</t>
  </si>
  <si>
    <t>S-B1-2</t>
  </si>
  <si>
    <t>S-B1-3</t>
  </si>
  <si>
    <t>座地式离心风机，Q=24000m3h，H=250Pa，N=2.2kW</t>
  </si>
  <si>
    <t>S-B1-4</t>
  </si>
  <si>
    <t>S-B1-5</t>
  </si>
  <si>
    <t>风量（m3/h）：36000，7.5kw</t>
  </si>
  <si>
    <t>S-B1-6</t>
  </si>
  <si>
    <t>S-B1-7</t>
  </si>
  <si>
    <t>S-B1-8</t>
  </si>
  <si>
    <t>S-B1-9</t>
  </si>
  <si>
    <t>座地式离心风机，Q=18000m3h，H=300Pa，N=1.1kW</t>
  </si>
  <si>
    <t>风量（m3/h）：18000，3kw</t>
  </si>
  <si>
    <t>S-B1-10</t>
  </si>
  <si>
    <t>风量（m3/h）：28000，5.5kw</t>
  </si>
  <si>
    <t>S-B1-11</t>
  </si>
  <si>
    <t>座地式离心风机，Q=15000m3h，H=200Pa，N=2.2kW</t>
  </si>
  <si>
    <t>风量（m3/h）：15000，2.2kw</t>
  </si>
  <si>
    <t>S-B1-12</t>
  </si>
  <si>
    <t>S-B1-13</t>
  </si>
  <si>
    <t>座地式离心风机，Q=25000m3h，H=300Pa，N=2.2kW</t>
  </si>
  <si>
    <t>S-B1-14</t>
  </si>
  <si>
    <t>座地式离心风机，Q=26000m3h，H=350Pa，N=4kW</t>
  </si>
  <si>
    <t>风量（m3/h）：26000，5.5kw</t>
  </si>
  <si>
    <t>S-B1-15</t>
  </si>
  <si>
    <t>S-B1-18</t>
  </si>
  <si>
    <t>座地式离心风机，Q=28000m3h，H=350Pa，N=4kW</t>
  </si>
  <si>
    <t>S-B1-19</t>
  </si>
  <si>
    <t>S-B1-20</t>
  </si>
  <si>
    <t>座地式离心风机，Q=3000m3h，H=200Pa，N=1.1kW</t>
  </si>
  <si>
    <t>风量（m3/h）：3000，0.37kw</t>
  </si>
  <si>
    <t>S-B1-21</t>
  </si>
  <si>
    <t>座地式离心风机，Q=10000m3h，H=250Pa，N=4kW</t>
  </si>
  <si>
    <t>风量（m3/h）：10000，1.5kw</t>
  </si>
  <si>
    <t>P-B2-1</t>
  </si>
  <si>
    <t>风量（m3/h）：45000，11kw</t>
  </si>
  <si>
    <t>P-B2-2</t>
  </si>
  <si>
    <t>风量（m3/h）：45000，7.5kw</t>
  </si>
  <si>
    <t>P-B2-3</t>
  </si>
  <si>
    <t>P-B2-6</t>
  </si>
  <si>
    <t>座地式离心风机，Q=35000m3h，H=300Pa，N=7.5kW</t>
  </si>
  <si>
    <t>风量（m3/h）：35000，7.5kw</t>
  </si>
  <si>
    <t>P-B2-7</t>
  </si>
  <si>
    <t>S-B2-1</t>
  </si>
  <si>
    <t>S-B2-2</t>
  </si>
  <si>
    <t>座地式离心风机，Q=45000m3h，H=450Pa，N=15kW</t>
  </si>
  <si>
    <t>S-B2-3</t>
  </si>
  <si>
    <t>S-B2-6</t>
  </si>
  <si>
    <t>座地式离心风机，Q=36000m3h，H=350Pa，N=2.2kW</t>
  </si>
  <si>
    <t>S-B2-7</t>
  </si>
  <si>
    <t>P-B1-18</t>
  </si>
  <si>
    <t>座地式离心风机，Q=31500m3h，H=350Pa，N=7.5kW</t>
  </si>
  <si>
    <t>风量（m3/h）：31500，7.5kw</t>
  </si>
  <si>
    <t>P-B1-19</t>
  </si>
  <si>
    <t>S-B1-16</t>
  </si>
  <si>
    <t>风量（m3/h）：26500，5.5kw</t>
  </si>
  <si>
    <t>S-B1-17</t>
  </si>
  <si>
    <t>P-B2-4</t>
  </si>
  <si>
    <t>座地式离心风机，Q=34000m3h，H=450Pa，N=7.5kW</t>
  </si>
  <si>
    <t>风量（m3/h）：34000，7.5kw</t>
  </si>
  <si>
    <t>P-B2-5</t>
  </si>
  <si>
    <t>S-B2-4</t>
  </si>
  <si>
    <t>风量（m3/h）：42000，7.5kw</t>
  </si>
  <si>
    <t>S-B2-5</t>
  </si>
  <si>
    <t>S-B2-8</t>
  </si>
  <si>
    <t>座地式离心风机，Q=20000m3h，H=300Pa，N=4.0kW</t>
  </si>
  <si>
    <t>S-B2-9</t>
  </si>
  <si>
    <t>风量（m3/h）：11000，3kw</t>
  </si>
  <si>
    <t>S-B2-10</t>
  </si>
  <si>
    <t>墙式通风机（防爆型） 风量1500CMH 全压50Pa 功率180W</t>
  </si>
  <si>
    <t>风量（m3/h）：1500，0.115kw</t>
  </si>
  <si>
    <t>S-B2-11</t>
  </si>
  <si>
    <t>墙式通风机 风量3500CMH 全压50Pa 功率370W</t>
  </si>
  <si>
    <t>风量（m3/h）：3500，0.18kw</t>
  </si>
  <si>
    <t>S-B2-12</t>
  </si>
  <si>
    <t>墙式通风机 风量2000CMH 全压50Pa 功率370W</t>
  </si>
  <si>
    <t>风量（m3/h）：2000，0.115kw</t>
  </si>
  <si>
    <t>S-B2-13</t>
  </si>
  <si>
    <t>墙式通风机 风量1000CMH 全压50Pa 功率180W</t>
  </si>
  <si>
    <t>风量（m3/h）：1000，0.07kw</t>
  </si>
  <si>
    <t>S-B2-14</t>
  </si>
  <si>
    <t>天花排气扇 风量300CMH 全压50Pa 功率50W</t>
  </si>
  <si>
    <t>风量（m3/h）：330，0.037kw</t>
  </si>
  <si>
    <t>S-B2-15</t>
  </si>
  <si>
    <t>天花排气扇 风量270CMH 全压50Pa 功率50W</t>
  </si>
  <si>
    <t>风量（m3/h）：270，0.027kw</t>
  </si>
  <si>
    <t>S-B2-16</t>
  </si>
  <si>
    <t>墙式通风机 风量4500CMH 全压50Pa 功率370W</t>
  </si>
  <si>
    <t>风量（m3/h）：4500，0.23kw</t>
  </si>
  <si>
    <t>S-B2-17</t>
  </si>
  <si>
    <t>墙式通风机 风量2500CMH 全压50Pa 功率370W</t>
  </si>
  <si>
    <t>风量（m3/h）：2500，0.135kw</t>
  </si>
  <si>
    <t>S-B2-18</t>
  </si>
  <si>
    <t>S-B2-19</t>
  </si>
  <si>
    <t>风量（m3/h）：2000，0.11kw</t>
  </si>
  <si>
    <t>S-B2-20</t>
  </si>
  <si>
    <t>风量（m3/h）：270，0.025kw</t>
  </si>
  <si>
    <t>S-B2-21</t>
  </si>
  <si>
    <t>S-B2-22</t>
  </si>
  <si>
    <t>窗式排气扇 风量210CMH 全压50Pa 功率50W</t>
  </si>
  <si>
    <t>轴流加压风机</t>
  </si>
  <si>
    <t>风量（m3/h）：20000，0.05kw</t>
  </si>
  <si>
    <t>风量（m3/h）：21000，11kw</t>
  </si>
  <si>
    <t>风量（m3/h）：40000，15kw</t>
  </si>
  <si>
    <t>风量（m3/h）：30000，15kw</t>
  </si>
  <si>
    <t>多联机</t>
  </si>
  <si>
    <t>多联机室外机</t>
  </si>
  <si>
    <t>冷量56kW(20HP)，电量44.7kw</t>
  </si>
  <si>
    <t>海尔空调</t>
  </si>
  <si>
    <t>熊18502007077</t>
  </si>
  <si>
    <t>日立拒绝报价</t>
  </si>
  <si>
    <t>格力表示多联机要求“提供一套完整的集中控制系统”需签订合同并依据现场实际情况踏勘后报价，拒绝报价</t>
  </si>
  <si>
    <t>冷量56kW(20HP)，电量18.6kw</t>
  </si>
  <si>
    <t>冷量33.6kW(12HP)，电量11.2kw</t>
  </si>
  <si>
    <t>冷量106.4kW(12HP)，电量35.4kw</t>
  </si>
  <si>
    <t>多联机新风室外机</t>
  </si>
  <si>
    <t>冷量22.4kW(8HP)，电量9.3kw</t>
  </si>
  <si>
    <t>多联机新风机</t>
  </si>
  <si>
    <t>制冷量:15KW,风量:1000CMH,机外余压:120Pa</t>
  </si>
  <si>
    <t>分体空调室外机</t>
  </si>
  <si>
    <t>冷量7.5kw，</t>
  </si>
  <si>
    <t>多联机室内机</t>
  </si>
  <si>
    <t>冷量7.1kw，</t>
  </si>
  <si>
    <t>冷量5.6kw，</t>
  </si>
  <si>
    <t>冷量6.3kw，</t>
  </si>
  <si>
    <t>冷量4.5kw，</t>
  </si>
  <si>
    <t>冷量5kw，</t>
  </si>
  <si>
    <t>128.8kW(46HP)，电量42.8kw</t>
  </si>
  <si>
    <t>67.2kW(24HP)，电量22.4kw</t>
  </si>
  <si>
    <t>水务局专家意见回复（中部净水厂投资估算）</t>
  </si>
  <si>
    <t>备注</t>
  </si>
  <si>
    <t>路面结构厚</t>
  </si>
  <si>
    <t>微信聊天记录中的专家意见如下：</t>
  </si>
  <si>
    <t>回复意见如下：</t>
  </si>
  <si>
    <t>原估算</t>
  </si>
  <si>
    <t>调整估算</t>
  </si>
  <si>
    <t>项目名称</t>
  </si>
  <si>
    <t>工程量</t>
  </si>
  <si>
    <t>单价(元）</t>
  </si>
  <si>
    <t>金额      （万元）</t>
  </si>
  <si>
    <t>要求工程量</t>
  </si>
  <si>
    <t>调减量</t>
  </si>
  <si>
    <t>建议调减金额（万元）</t>
  </si>
  <si>
    <t>金额    （万元）</t>
  </si>
  <si>
    <t>基坑支护</t>
  </si>
  <si>
    <t>m</t>
  </si>
  <si>
    <t>长度可调多少？</t>
  </si>
  <si>
    <t>新建道路</t>
  </si>
  <si>
    <t>土石方工程</t>
  </si>
  <si>
    <t>m3</t>
  </si>
  <si>
    <t>土方量可调多少？</t>
  </si>
  <si>
    <t>地下处理厂框架</t>
  </si>
  <si>
    <t>m2</t>
  </si>
  <si>
    <t>面积可调多少？</t>
  </si>
  <si>
    <t>综合用房</t>
  </si>
  <si>
    <t>其他土建</t>
  </si>
  <si>
    <t>出水管道</t>
  </si>
  <si>
    <t>出水管道线路长度、管径可调吗？</t>
  </si>
  <si>
    <t>仓库用房</t>
  </si>
  <si>
    <t>开关房</t>
  </si>
  <si>
    <t>管理用房</t>
  </si>
  <si>
    <t>设备安装工程</t>
  </si>
  <si>
    <t>m3/d</t>
  </si>
  <si>
    <t>能否降低设备档次？能否调减安装工程量？</t>
  </si>
  <si>
    <t>合计调减金额</t>
  </si>
  <si>
    <t>可研工程费</t>
  </si>
  <si>
    <t>混凝土管道单价测算</t>
  </si>
  <si>
    <t>综合单价</t>
  </si>
  <si>
    <t>项目</t>
  </si>
  <si>
    <t>参数</t>
  </si>
  <si>
    <t>管径（DN）</t>
  </si>
  <si>
    <t>壁厚</t>
  </si>
  <si>
    <t>埋深</t>
  </si>
  <si>
    <t>管材价</t>
  </si>
  <si>
    <t>检查井个数</t>
  </si>
  <si>
    <t>单侧工作面宽</t>
  </si>
  <si>
    <t>沟槽宽度</t>
  </si>
  <si>
    <t>沟槽深度</t>
  </si>
  <si>
    <t>垫层宽度</t>
  </si>
  <si>
    <t>基础C1(120°)</t>
  </si>
  <si>
    <t>基础C2(120°)</t>
  </si>
  <si>
    <t>垫层</t>
  </si>
  <si>
    <t>挖土方</t>
  </si>
  <si>
    <t>回填（碎石）</t>
  </si>
  <si>
    <t>回填土</t>
  </si>
  <si>
    <t>垫层C15</t>
  </si>
  <si>
    <t>检查井</t>
  </si>
  <si>
    <t>土方外运</t>
  </si>
  <si>
    <t>支护（t）</t>
  </si>
  <si>
    <t>指标价</t>
  </si>
  <si>
    <t>支护</t>
  </si>
  <si>
    <t>中粗砂</t>
  </si>
  <si>
    <t>PVC</t>
  </si>
  <si>
    <t>PE</t>
  </si>
  <si>
    <t>球墨铸铁</t>
  </si>
  <si>
    <t>单位工程：消防工程设备</t>
  </si>
  <si>
    <t>泵类</t>
  </si>
  <si>
    <t>室内消火栓加压泵(S1)</t>
  </si>
  <si>
    <t>室内消火栓泵(深井长轴消防泵)Q=40L/s H=80m N=55kW</t>
  </si>
  <si>
    <t>Q=40L/s H=0.65MPa N=37kW</t>
  </si>
  <si>
    <t>上海凯泉泵业（集团）有限公司广州
分公司</t>
  </si>
  <si>
    <t>胥志龙15821717141</t>
  </si>
  <si>
    <t>室内自动喷淋加压泵(P1)</t>
  </si>
  <si>
    <t>自动喷淋泵(深井长轴消防泵) Q=40L/s H=80m N=55kW</t>
  </si>
  <si>
    <t>Q=40L/s H=0.52MPa N=30kW</t>
  </si>
  <si>
    <t>室内消火栓稳压泵(S2)</t>
  </si>
  <si>
    <t>室内消火栓稳压装置（一用一备）Q=1.5L/s H=20m N=1.5kW 带气压罐SQL800*0.6 气压罐调节水容积 150L（成套产品，包含管道附件）</t>
  </si>
  <si>
    <t>Q=1.0L/S  H=0.38MPa N=0.75KW
配套隔膜式气压罐:SQL800x0.6</t>
  </si>
  <si>
    <t>室内自动喷淋稳压泵(P2)</t>
  </si>
  <si>
    <t>管道类</t>
  </si>
  <si>
    <t>内外壁热镀锌钢管</t>
  </si>
  <si>
    <t>热浸锌镀锌钢管DN25</t>
  </si>
  <si>
    <t>DN25*3.2mm，1.0MPa</t>
  </si>
  <si>
    <t>金洲</t>
  </si>
  <si>
    <t>陈经理13802642573</t>
  </si>
  <si>
    <t>DN32*3.5mm，1.0MPa</t>
  </si>
  <si>
    <t>热浸锌镀锌钢管DN40</t>
  </si>
  <si>
    <t>DN40*3.5mm，1.0MPa</t>
  </si>
  <si>
    <t>热浸锌镀锌钢管DN50</t>
  </si>
  <si>
    <t>DN50*3.8mm，1.0MPa</t>
  </si>
  <si>
    <t>热浸锌镀锌钢管DN65</t>
  </si>
  <si>
    <t>DN65*4.0mm，1.0MPa</t>
  </si>
  <si>
    <t>热浸锌镀锌钢管DN80</t>
  </si>
  <si>
    <t>DN80*4.0mm，1.0MPa</t>
  </si>
  <si>
    <t>热浸锌镀锌钢管DN100</t>
  </si>
  <si>
    <t>DN100*4.0mm，1.0MPa</t>
  </si>
  <si>
    <t>热浸锌镀锌钢管DN150</t>
  </si>
  <si>
    <t>DN150*4.5mm，1.0MPa</t>
  </si>
  <si>
    <t>DN200*6.0mm，1.0MPa</t>
  </si>
  <si>
    <t>DN250*6.0mm，1.0MPa</t>
  </si>
  <si>
    <t>钢塑复合管</t>
  </si>
  <si>
    <t>DN25</t>
  </si>
  <si>
    <t>DN40</t>
  </si>
  <si>
    <t>DN50</t>
  </si>
  <si>
    <t>DN65</t>
  </si>
  <si>
    <t>投资估算表</t>
  </si>
  <si>
    <t>工程或费用名称</t>
  </si>
  <si>
    <t>估  算  价  值（万元）</t>
  </si>
  <si>
    <t>技术经济指标</t>
  </si>
  <si>
    <t>建筑工程</t>
  </si>
  <si>
    <t>设备及工器具购置</t>
  </si>
  <si>
    <t>安装工程</t>
  </si>
  <si>
    <t>其他费用</t>
  </si>
  <si>
    <t>合  计</t>
  </si>
  <si>
    <t>单位价值
（元）</t>
  </si>
  <si>
    <t>工程费限价</t>
  </si>
  <si>
    <t>差额</t>
  </si>
  <si>
    <t>设计费限价</t>
  </si>
  <si>
    <t>总投限价</t>
  </si>
  <si>
    <t>一</t>
  </si>
  <si>
    <t>第一部分    工程费用</t>
  </si>
  <si>
    <t>（一）</t>
  </si>
  <si>
    <t>净水厂工程</t>
  </si>
  <si>
    <t>A</t>
  </si>
  <si>
    <t>地基处理</t>
  </si>
  <si>
    <t>结构形式</t>
  </si>
  <si>
    <t>进水闸门井</t>
  </si>
  <si>
    <t>厂区</t>
  </si>
  <si>
    <t>B×L×H=9.8×6.4×19.00</t>
  </si>
  <si>
    <t>R.C</t>
  </si>
  <si>
    <t>座</t>
  </si>
  <si>
    <t>进水泵房及粗格栅</t>
  </si>
  <si>
    <t>地下处理区</t>
  </si>
  <si>
    <t>B×L×H=17.6×24.10×12.00</t>
  </si>
  <si>
    <t>细格栅</t>
  </si>
  <si>
    <t>B×L×H=17.6×13.7×3.15</t>
  </si>
  <si>
    <t>曝气沉砂池</t>
  </si>
  <si>
    <t>B×L×H=20.5×27.4×9.10</t>
  </si>
  <si>
    <t>精细格栅</t>
  </si>
  <si>
    <t>S×H=210×3.55</t>
  </si>
  <si>
    <t>生化池</t>
  </si>
  <si>
    <t>B×L×H=47.6×97.2×10</t>
  </si>
  <si>
    <t>二沉池</t>
  </si>
  <si>
    <t>B×L×H=9.05×56.7×7.2~10</t>
  </si>
  <si>
    <t>高效沉淀池</t>
  </si>
  <si>
    <t>B×L×H=17.95×26.1×8.7</t>
  </si>
  <si>
    <t>出水池及出水泵房</t>
  </si>
  <si>
    <t>B×L×H=23.00×29.20×9</t>
  </si>
  <si>
    <t>污泥脱水及干化车间</t>
  </si>
  <si>
    <t>地下负一、二层</t>
  </si>
  <si>
    <t>1642 m2</t>
  </si>
  <si>
    <t>框架</t>
  </si>
  <si>
    <t>处</t>
  </si>
  <si>
    <t>加药间</t>
  </si>
  <si>
    <t>345m2</t>
  </si>
  <si>
    <t>地下负一层</t>
  </si>
  <si>
    <t>碳源储池</t>
  </si>
  <si>
    <t>B×L×H=3.3×7.7×5.2</t>
  </si>
  <si>
    <t>PAC储池</t>
  </si>
  <si>
    <t>B×L×H=3.0×4.5×5.2</t>
  </si>
  <si>
    <t>溶液池</t>
  </si>
  <si>
    <t>B×L×H=4.7×4.8×5.2</t>
  </si>
  <si>
    <t>鼓风机房</t>
  </si>
  <si>
    <t>306m2</t>
  </si>
  <si>
    <t>废液池（高效合建）</t>
  </si>
  <si>
    <t>废液池（高效）</t>
  </si>
  <si>
    <t>地下处理区；高效合建</t>
  </si>
  <si>
    <t>废液池</t>
  </si>
  <si>
    <t>B×L×H=7.7×13.75×10</t>
  </si>
  <si>
    <t>调质池</t>
  </si>
  <si>
    <t>B×L×H=5.9×13×6.8</t>
  </si>
  <si>
    <t>污泥浓缩池</t>
  </si>
  <si>
    <t>消防水池</t>
  </si>
  <si>
    <t>B×L×H=13X7.7X5</t>
  </si>
  <si>
    <t>消防泵房</t>
  </si>
  <si>
    <t>70m2</t>
  </si>
  <si>
    <t>精密过滤池</t>
  </si>
  <si>
    <t>B×L×H=13X18.5X5</t>
  </si>
  <si>
    <t>紫外消毒池</t>
  </si>
  <si>
    <t>B×L×H=8.8X15.5X5</t>
  </si>
  <si>
    <t>厂区管线土建工程</t>
  </si>
  <si>
    <t>综合楼</t>
  </si>
  <si>
    <t>3185.38m2</t>
  </si>
  <si>
    <t>地面</t>
  </si>
  <si>
    <t>综合业务用房</t>
  </si>
  <si>
    <t>地下通道出入口</t>
  </si>
  <si>
    <t>DN1200</t>
  </si>
  <si>
    <t>仓库、机修、危废间</t>
  </si>
  <si>
    <t>公园管理用房</t>
  </si>
  <si>
    <t>疏散楼梯间、风井</t>
  </si>
  <si>
    <t>风塔  H=16m</t>
  </si>
  <si>
    <t>B</t>
  </si>
  <si>
    <t>设备及安装工程</t>
  </si>
  <si>
    <t>进水系统</t>
  </si>
  <si>
    <t>预处理区</t>
  </si>
  <si>
    <t>污泥干化系统</t>
  </si>
  <si>
    <t>消毒及出水泵房</t>
  </si>
  <si>
    <t>加药系统</t>
  </si>
  <si>
    <t>通风及除臭工程</t>
  </si>
  <si>
    <t>消防工程</t>
  </si>
  <si>
    <t>机修设备</t>
  </si>
  <si>
    <t>化验设备</t>
  </si>
  <si>
    <t>运输设备</t>
  </si>
  <si>
    <t>厂区管线安装工程</t>
  </si>
  <si>
    <t>电气工程</t>
  </si>
  <si>
    <t>电源外线</t>
  </si>
  <si>
    <t>自动化控制及仪表</t>
  </si>
  <si>
    <t>火灾报警控制系统</t>
  </si>
  <si>
    <t>工器具及生产工具购置费</t>
  </si>
  <si>
    <t>（二）</t>
  </si>
  <si>
    <t>厂区平面景观布置</t>
  </si>
  <si>
    <t>铺装（砂基砖）</t>
  </si>
  <si>
    <t>㎡</t>
  </si>
  <si>
    <t>台阶</t>
  </si>
  <si>
    <t>饰面：砂基砖</t>
  </si>
  <si>
    <t>架空楼梯</t>
  </si>
  <si>
    <t>汀步</t>
  </si>
  <si>
    <t>草阶</t>
  </si>
  <si>
    <t>石笼，宽0.4m，高0.2m</t>
  </si>
  <si>
    <t>绿化</t>
  </si>
  <si>
    <t>绿化（雨水花园）</t>
  </si>
  <si>
    <t>景观水体</t>
  </si>
  <si>
    <t>底部黑色片石</t>
  </si>
  <si>
    <t>底部是黑色片石</t>
  </si>
  <si>
    <t>足球场</t>
  </si>
  <si>
    <t>湿地景观</t>
  </si>
  <si>
    <t>1个11人球场和1个7人球场</t>
  </si>
  <si>
    <t>层级花池</t>
  </si>
  <si>
    <t>共4层，每层1.3米，混凝土挡墙，拉丝石材饰面</t>
  </si>
  <si>
    <t>停车场</t>
  </si>
  <si>
    <t>透水沥青路面</t>
  </si>
  <si>
    <t>中式景墙</t>
  </si>
  <si>
    <t>下沉空间侧墙装饰</t>
  </si>
  <si>
    <t>体育场地</t>
  </si>
  <si>
    <t>包含器械</t>
  </si>
  <si>
    <t>全龄化活动场地</t>
  </si>
  <si>
    <t>景观连廊</t>
  </si>
  <si>
    <t>钢结构，外包铝板</t>
  </si>
  <si>
    <t>景观亭</t>
  </si>
  <si>
    <t>树池坐凳</t>
  </si>
  <si>
    <t>洗手间</t>
  </si>
  <si>
    <t>岗亭</t>
  </si>
  <si>
    <t>成品</t>
  </si>
  <si>
    <t>海绵城市立体展示空间</t>
  </si>
  <si>
    <t>景观看台</t>
  </si>
  <si>
    <t>混凝土结构、水泥塑木铺装</t>
  </si>
  <si>
    <t>钢化玻璃展示墙、海绵城市生态做法展示</t>
  </si>
  <si>
    <t>木平台</t>
  </si>
  <si>
    <t>水泥塑木铺装</t>
  </si>
  <si>
    <t>景观栈道</t>
  </si>
  <si>
    <t>混凝土结构、水泥塑木铺装，不锈钢栏杆</t>
  </si>
  <si>
    <t>升旗台</t>
  </si>
  <si>
    <t>景观桥</t>
  </si>
  <si>
    <t>景观入口标识（字体）</t>
  </si>
  <si>
    <t>材质：钢</t>
  </si>
  <si>
    <t>配套设施</t>
  </si>
  <si>
    <t>项</t>
  </si>
  <si>
    <t>坐凳、指示牌、垃圾桶等</t>
  </si>
  <si>
    <t>景观电气</t>
  </si>
  <si>
    <t>包含灯具</t>
  </si>
  <si>
    <t>景观给排水</t>
  </si>
  <si>
    <t>包含海绵措施</t>
  </si>
  <si>
    <t>二</t>
  </si>
  <si>
    <t>工程建设其他费用</t>
  </si>
  <si>
    <t>1</t>
  </si>
  <si>
    <t>建设单位管理费</t>
  </si>
  <si>
    <t>2</t>
  </si>
  <si>
    <t>工程建设监理费</t>
  </si>
  <si>
    <t>3</t>
  </si>
  <si>
    <t>项目前期咨询费</t>
  </si>
  <si>
    <t>3.1</t>
  </si>
  <si>
    <t>编制可行性研究报告</t>
  </si>
  <si>
    <t>4</t>
  </si>
  <si>
    <t>工程勘察费</t>
  </si>
  <si>
    <t>5</t>
  </si>
  <si>
    <t>工程设计费</t>
  </si>
  <si>
    <t>6</t>
  </si>
  <si>
    <t>施工图审查费</t>
  </si>
  <si>
    <t>7</t>
  </si>
  <si>
    <t>环境影响咨询服务费</t>
  </si>
  <si>
    <t>8</t>
  </si>
  <si>
    <t>场地准备及临时设施费</t>
  </si>
  <si>
    <t>9</t>
  </si>
  <si>
    <t>工程保险费</t>
  </si>
  <si>
    <t>10</t>
  </si>
  <si>
    <t>水土保持编制费</t>
  </si>
  <si>
    <t>11</t>
  </si>
  <si>
    <t>招标代理费</t>
  </si>
  <si>
    <t>12</t>
  </si>
  <si>
    <t>检验监测费</t>
  </si>
  <si>
    <t>13</t>
  </si>
  <si>
    <t>节能评估费</t>
  </si>
  <si>
    <t>14</t>
  </si>
  <si>
    <t>联合试运转费</t>
  </si>
  <si>
    <t>15</t>
  </si>
  <si>
    <t>生产职工培训费</t>
  </si>
  <si>
    <t>16</t>
  </si>
  <si>
    <t>办公及生活家具购置费</t>
  </si>
  <si>
    <t>17</t>
  </si>
  <si>
    <t>树木保护方案编制费</t>
  </si>
  <si>
    <t>18</t>
  </si>
  <si>
    <t>高可靠供电费用</t>
  </si>
  <si>
    <t>KVA</t>
  </si>
  <si>
    <t>19</t>
  </si>
  <si>
    <t>社会稳定风险分析报告</t>
  </si>
  <si>
    <t>第一二部分合计</t>
  </si>
  <si>
    <t>三</t>
  </si>
  <si>
    <t>预备费</t>
  </si>
  <si>
    <t>四</t>
  </si>
  <si>
    <t>静态总投资</t>
  </si>
  <si>
    <t>五</t>
  </si>
  <si>
    <t>建设期贷款利息</t>
  </si>
  <si>
    <t>六</t>
  </si>
  <si>
    <t>铺底流动资金</t>
  </si>
  <si>
    <t>七</t>
  </si>
  <si>
    <t>项目总投资</t>
  </si>
  <si>
    <t>单位工程：工艺专业</t>
  </si>
  <si>
    <t>南站水厂</t>
  </si>
  <si>
    <t>环城北</t>
  </si>
  <si>
    <t>中部净水厂</t>
  </si>
  <si>
    <t>洛溪水厂</t>
  </si>
  <si>
    <t>询价均值</t>
  </si>
  <si>
    <t>询价最低值</t>
  </si>
  <si>
    <t>招控价选用价格</t>
  </si>
  <si>
    <t>单价</t>
  </si>
  <si>
    <t>下浮率</t>
  </si>
  <si>
    <t>下浮后单价（元）</t>
  </si>
  <si>
    <t>进水闸门井、粗格栅及进水泵房</t>
  </si>
  <si>
    <t>进水速闭闸门</t>
  </si>
  <si>
    <t>断电速闭, 1400x1400mm , N=3kW ,配套一体式执行机构</t>
  </si>
  <si>
    <t>185000
(∅1200,P=1.5kW)</t>
  </si>
  <si>
    <t>780000
(DN1600 ，PN= 1.0MPa ，N=3kW)</t>
  </si>
  <si>
    <t>新环环保</t>
  </si>
  <si>
    <t>连皓文13500036502</t>
  </si>
  <si>
    <t>无锡通用</t>
  </si>
  <si>
    <t>杨培根18961775586</t>
  </si>
  <si>
    <t>江苏南通</t>
  </si>
  <si>
    <t xml:space="preserve"> 李向阳 15896274137</t>
  </si>
  <si>
    <t>格栅进水闸门</t>
  </si>
  <si>
    <t>不锈钢附壁方闸门, 1500 × 1500mm , N=2.2kW ,带手电一体启闭机</t>
  </si>
  <si>
    <t>60375（B×H=1.50×1.35m，渠深2m，N=1.5kW）</t>
  </si>
  <si>
    <t>123667（BxH=2.1X2.9m,P=2.2kw）</t>
  </si>
  <si>
    <t>68650(B*H= 1200*1200m  N=0.45kw)</t>
  </si>
  <si>
    <t>粗格栅</t>
  </si>
  <si>
    <t>钢丝绳牵引式格栅除污机,渠宽 1700mm ,栅隙 15mm , N=1.5+0.55kW ,单台过水量≥ 3300m3/h ,带防臭罩</t>
  </si>
  <si>
    <t>格栅出水闸门</t>
  </si>
  <si>
    <t>泵房进水闸门</t>
  </si>
  <si>
    <t>螺旋输送机</t>
  </si>
  <si>
    <t>不锈钢无轴螺旋,Φ 300mm ,有效长度 L ≥ 10.0m N=2.2kW ,带密闭盖</t>
  </si>
  <si>
    <t>37900（DN300（U型断面））</t>
  </si>
  <si>
    <t>104000
（400mm）</t>
  </si>
  <si>
    <t>垃圾斗车</t>
  </si>
  <si>
    <t>容积 1 立方米,与螺旋输送机配套</t>
  </si>
  <si>
    <t>电动葫芦</t>
  </si>
  <si>
    <t>起重量 3T ,起吊高度 18m ,行程 26m , N=4.9kW</t>
  </si>
  <si>
    <t>65000（起吊重量3T，4.5+0.4kw）</t>
  </si>
  <si>
    <t>81054（12m）</t>
  </si>
  <si>
    <t>广州起重机械</t>
  </si>
  <si>
    <t>谢启康13430264951</t>
  </si>
  <si>
    <t>广州泰克力</t>
  </si>
  <si>
    <t>陈经理13570054553</t>
  </si>
  <si>
    <t>广东永通</t>
  </si>
  <si>
    <t>陈经理13924880284</t>
  </si>
  <si>
    <t>进水电动偏心半球
阀</t>
  </si>
  <si>
    <t>DN1400 , PN10 , N=4kW</t>
  </si>
  <si>
    <t>459000（液压偏心半球阀DN1200）</t>
  </si>
  <si>
    <t>860000
（DN1600）</t>
  </si>
  <si>
    <t>冠龙</t>
  </si>
  <si>
    <t>黄经理13925121566</t>
  </si>
  <si>
    <t>德国VAG</t>
  </si>
  <si>
    <t>吴居并13922353009</t>
  </si>
  <si>
    <t>丹麦AVK</t>
  </si>
  <si>
    <t>蔡文亮13570037656</t>
  </si>
  <si>
    <t>不生产</t>
  </si>
  <si>
    <t>止回阀</t>
  </si>
  <si>
    <t>DN700 , PN10</t>
  </si>
  <si>
    <t>8000（DN600）</t>
  </si>
  <si>
    <t>橡胶接头</t>
  </si>
  <si>
    <t>8039（DN600）</t>
  </si>
  <si>
    <t>电动蝶阀</t>
  </si>
  <si>
    <t>DN700 , PN10 ,开关型</t>
  </si>
  <si>
    <t>108822
（DN1400）</t>
  </si>
  <si>
    <t>97886
(DN900)</t>
  </si>
  <si>
    <t>DN1400 , PN10</t>
  </si>
  <si>
    <t>5750
（DN800）</t>
  </si>
  <si>
    <t>DN500 , PN10 ,开关型</t>
  </si>
  <si>
    <t>35897（DN600）</t>
  </si>
  <si>
    <t>35149
（DN200）</t>
  </si>
  <si>
    <t>蝶阀</t>
  </si>
  <si>
    <t>DN1200 , PN10</t>
  </si>
  <si>
    <t>93812(电动 )</t>
  </si>
  <si>
    <t>114800(电动调节法兰式蝶阀)</t>
  </si>
  <si>
    <t>DN500，PN10</t>
  </si>
  <si>
    <t>38512
（DN600）</t>
  </si>
  <si>
    <t>手动蝶阀</t>
  </si>
  <si>
    <t>DN100，PN10</t>
  </si>
  <si>
    <t>/</t>
  </si>
  <si>
    <t>DN150，PN10</t>
  </si>
  <si>
    <t>4485
（DN200）</t>
  </si>
  <si>
    <t>球阀</t>
  </si>
  <si>
    <t>DN32</t>
  </si>
  <si>
    <t>40（DN25）</t>
  </si>
  <si>
    <t>DN200，PN10</t>
  </si>
  <si>
    <t>1863
（DN150）</t>
  </si>
  <si>
    <t>DN50，PN10</t>
  </si>
  <si>
    <t>闸阀</t>
  </si>
  <si>
    <t>参考大龙</t>
  </si>
  <si>
    <t>细格栅渠</t>
  </si>
  <si>
    <t>格栅进出水闸门</t>
  </si>
  <si>
    <t>不锈钢门式插板闸,渠宽 1.5m ,渠深 2.5m ,水深 1.3m , N=2.2kW</t>
  </si>
  <si>
    <t>87600（B×H=1.6×2.4m，渠深30m，N=1.5kW）</t>
  </si>
  <si>
    <t>56000（B*H=900*2400m）</t>
  </si>
  <si>
    <t>容积 1 立方米,与螺旋压榨机配套</t>
  </si>
  <si>
    <t>进水闸门</t>
  </si>
  <si>
    <t>不锈钢附壁方闸门, B × H=1500mm × 2500mm , N=2.2kW ,带手电一体启闭机</t>
  </si>
  <si>
    <t>62080（BxH=2000x1500 ）</t>
  </si>
  <si>
    <t>桥式刮砂机</t>
  </si>
  <si>
    <t>行程 L=22.3m ,宽度 B=4.4m , N=0.75+1.1kW ,水下部件不锈钢</t>
  </si>
  <si>
    <t>975000（15万m3/d）</t>
  </si>
  <si>
    <t>150000（L=18.5m）</t>
  </si>
  <si>
    <t>排砂泵</t>
  </si>
  <si>
    <t>Q=12L/s , H=10m , N=0.55kW ,定制设备,含水下吸砂管系统及配件,砂接触部件为耐磨耐腐蚀材质</t>
  </si>
  <si>
    <t>15000（Q=30m3/h）</t>
  </si>
  <si>
    <t>砂水分离器</t>
  </si>
  <si>
    <t>Q=15~20L/s , N=1.5kW ,不锈钢材质</t>
  </si>
  <si>
    <t>容积 1 立方米,与砂水分离器配套</t>
  </si>
  <si>
    <t>整流栅条</t>
  </si>
  <si>
    <t>玻璃钢栅条, L × B ×δ =2100mm × 100mm × 8mm</t>
  </si>
  <si>
    <t>条</t>
  </si>
  <si>
    <t>曝气风机</t>
  </si>
  <si>
    <t>罗茨鼓风机, Q=12m3/min , P=40kPa , N=15kW ,含进出口消声器、隔音罩及放空阀配件,含变频</t>
  </si>
  <si>
    <t>130000（Q=9.0m3/min）</t>
  </si>
  <si>
    <t>百事德</t>
  </si>
  <si>
    <t>吴旭东13801532692</t>
  </si>
  <si>
    <t>华东风机</t>
  </si>
  <si>
    <t>刘凯15098911867</t>
  </si>
  <si>
    <t>德国艾珍</t>
  </si>
  <si>
    <t>张总13342912691</t>
  </si>
  <si>
    <t>英格索兰hibon</t>
  </si>
  <si>
    <t>何工13189049131</t>
  </si>
  <si>
    <t>电动调节蝶阀</t>
  </si>
  <si>
    <t>DN200 , PN10</t>
  </si>
  <si>
    <t>34620
（DN250）</t>
  </si>
  <si>
    <t>膜格栅渠</t>
  </si>
  <si>
    <t>不锈钢叠梁闸,渠宽 1.6m ,渠深 5.25m ,水深 3.2m</t>
  </si>
  <si>
    <t>112425
（1400×5000）</t>
  </si>
  <si>
    <t>DN700 , PN10 ,预处理池出水管</t>
  </si>
  <si>
    <t>53846（DN600）</t>
  </si>
  <si>
    <t>97886
（DN900）</t>
  </si>
  <si>
    <t>预处理区的其它设备</t>
  </si>
  <si>
    <t>可调式出水堰板</t>
  </si>
  <si>
    <t>LxW=3250mmx350mm δ=5mm  SS304</t>
  </si>
  <si>
    <t>块</t>
  </si>
  <si>
    <t>LxW=2900mmx350mm δ=5mm  SS304</t>
  </si>
  <si>
    <t>AAOA生化池</t>
  </si>
  <si>
    <t>盘式微孔曝气器</t>
  </si>
  <si>
    <t>膜片直径 300mm , EPDM 材质,通气量≥ 4m3/(h ·只 ) ,氧利用率≥ 20%</t>
  </si>
  <si>
    <t>耶格尔</t>
  </si>
  <si>
    <t>彭宏一15223193129</t>
  </si>
  <si>
    <t>帕萨旺</t>
  </si>
  <si>
    <t>蒋13916712400</t>
  </si>
  <si>
    <t>未报价</t>
  </si>
  <si>
    <t>诺庞</t>
  </si>
  <si>
    <t>芮安邦13584228855</t>
  </si>
  <si>
    <t>内回流泵(缺氧 ~ 厌氧)</t>
  </si>
  <si>
    <t>不锈钢穿墙泵, Q=3125m3/h , H=1.2m , N=18kW ,带变频控制、起吊装置</t>
  </si>
  <si>
    <t>224640
（Q=3906m3/h）</t>
  </si>
  <si>
    <t>85000（Q=2090m3/h）</t>
  </si>
  <si>
    <t>德国KSB</t>
  </si>
  <si>
    <t>李晖13829709122</t>
  </si>
  <si>
    <t>苏尔寿ABS</t>
  </si>
  <si>
    <t>曹昀13503012388</t>
  </si>
  <si>
    <t>海斯特</t>
  </si>
  <si>
    <t>王兰军18666867936</t>
  </si>
  <si>
    <t>内回流泵(好氧 ~ 缺氧)</t>
  </si>
  <si>
    <t>不锈钢穿墙泵, Q=2344m3/h , H=1.2m , N=18kW ,带变频控制、起吊装置</t>
  </si>
  <si>
    <t>进水闸门(厌氧)</t>
  </si>
  <si>
    <t>不锈钢附壁方闸门, B × H=1200 × 700mm , N=1.5kW ,带手电一体启闭机</t>
  </si>
  <si>
    <t>42000
（800X1000）</t>
  </si>
  <si>
    <t>52800（B*H=900*2000m）</t>
  </si>
  <si>
    <t>回流闸门(好氧 ~ 缺氧)</t>
  </si>
  <si>
    <t>不锈钢附壁方闸门, B × H=1600 × 700mm , N=1.5kW ,带手电一体启闭机</t>
  </si>
  <si>
    <t>57000
（1800X1000）</t>
  </si>
  <si>
    <t>进水闸门(缺氧)</t>
  </si>
  <si>
    <t>回流闸门(膜池 ~ 好氧)</t>
  </si>
  <si>
    <t>不锈钢附壁方闸门, B × H=2200 × 700mm , N=1.5kW ,带手电一体启闭机</t>
  </si>
  <si>
    <t>61200（B×H=0.80×2.60m，渠深3.3m，N=1.5kW）</t>
  </si>
  <si>
    <t>巴氏计量槽</t>
  </si>
  <si>
    <t>膜池回流渠,喉道宽度 1200mm ,量程 0.035~2m3/s ,不锈钢材质,含明渠流量计</t>
  </si>
  <si>
    <t>好氧回流渠,喉道宽度 1000mm ,量程 0.03~1.5m3/s ,不锈钢材质,含明渠流量计</t>
  </si>
  <si>
    <t>34000
（1200mm）</t>
  </si>
  <si>
    <t>絮凝搅拌器</t>
  </si>
  <si>
    <t>不锈钢立式搅拌器, D=2m , N=5.5kW ,转速 48rpm</t>
  </si>
  <si>
    <t>55000（D=580mm;转速475rpm；N=7.6kw）</t>
  </si>
  <si>
    <t>111550（N=3.5kW  D=2100mm 44rpm）</t>
  </si>
  <si>
    <t>普罗名特</t>
  </si>
  <si>
    <t>吴健良13450431558</t>
  </si>
  <si>
    <t>米顿罗</t>
  </si>
  <si>
    <t>任行卓13052536000</t>
  </si>
  <si>
    <t>格兰富-ALLDOS</t>
  </si>
  <si>
    <t>宋思亮13802905937</t>
  </si>
  <si>
    <t>不锈钢立式搅拌器, D=2m , N=4kW ,转速 28rpm</t>
  </si>
  <si>
    <t>出水闸门</t>
  </si>
  <si>
    <t>不锈钢附壁方闸门, B × H=2000 × 2000mm , N=1.5kW ,带手电一体启闭机,下开式</t>
  </si>
  <si>
    <t>60000（BXH=2.2mX2.0m,P=2.2kW）</t>
  </si>
  <si>
    <t>膜池回流泵</t>
  </si>
  <si>
    <t>不锈钢穿墙泵, Q=2604m3/h , H=1.2m , N=15kW ,带变频控制、起吊装置</t>
  </si>
  <si>
    <t>138000
（Q=2344m3/h</t>
  </si>
  <si>
    <t>248800（Q=3480m3/h）</t>
  </si>
  <si>
    <t>手动对夹蝶阀</t>
  </si>
  <si>
    <t>DN200，PN10，SS304</t>
  </si>
  <si>
    <t>9773（电动）</t>
  </si>
  <si>
    <t>MBR膜池</t>
  </si>
  <si>
    <t>起重量5T，起吊高度12m，行程约340m，N=0.8×2+7.5kW</t>
  </si>
  <si>
    <t>碧水源</t>
  </si>
  <si>
    <t>车学理13380060528</t>
  </si>
  <si>
    <t>电动单梁起重机</t>
  </si>
  <si>
    <t>起重量2T，起吊高度10m，跨度5.4m，行程31m，N=3.4kW（含检修平台，领证，在原报价基础上+5500/台）</t>
  </si>
  <si>
    <t>90000（T=3t,LK=6.0m,H=24m,N=（4.5+0.4×2）+0.8×2kW）</t>
  </si>
  <si>
    <t>出水及消毒区</t>
  </si>
  <si>
    <t>紫外线消毒系统</t>
  </si>
  <si>
    <t>管道式,处理能力 2.5 万 m3/d ,变化系数 1.5 , N=21kW</t>
  </si>
  <si>
    <t>1900000（5万m/d）</t>
  </si>
  <si>
    <t>754000（发票金额2570000）</t>
  </si>
  <si>
    <t>安力斯</t>
  </si>
  <si>
    <t>叶林蓬13928833012</t>
  </si>
  <si>
    <t>特洁安</t>
  </si>
  <si>
    <t>麦均生13923216789</t>
  </si>
  <si>
    <t>威德高</t>
  </si>
  <si>
    <t>陈工18218182708</t>
  </si>
  <si>
    <t>手电两用蝶阀</t>
  </si>
  <si>
    <t>DN1200 1.0MPA 阀板:铸铁</t>
  </si>
  <si>
    <t>93812(电动)</t>
  </si>
  <si>
    <t>地面出水渠,喉道宽度 1200mm ,不锈钢材质,含明渠流量计</t>
  </si>
  <si>
    <t>30000（喉道处B=1000mm SS304 壁厚4mm）</t>
  </si>
  <si>
    <t>中水取水闸门</t>
  </si>
  <si>
    <t>不锈钢附壁圆闸门 φ D400 , N=1.5kW ,带手电一体启闭机</t>
  </si>
  <si>
    <t>37536（DN800）</t>
  </si>
  <si>
    <t>恒压供水系统</t>
  </si>
  <si>
    <t>立式多级泵组( 3 个泵), 160m3/h , H=50m ,单泵功率N=15kW ,带稳压罐系统、变频控制、导轨及自耦系统及排气阀</t>
  </si>
  <si>
    <t>DN300 1.0MPA 阀板:铸铁</t>
  </si>
  <si>
    <t>双法手动蝶阀</t>
  </si>
  <si>
    <t>DN900 PN10</t>
  </si>
  <si>
    <t>DN500 PN10</t>
  </si>
  <si>
    <t>双法橡胶接头</t>
  </si>
  <si>
    <t>DN1400 PN10 Q235B</t>
  </si>
  <si>
    <t>双法手动闸阀</t>
  </si>
  <si>
    <t>DN100 PN0 Q235B</t>
  </si>
  <si>
    <t>2295
（DN200）</t>
  </si>
  <si>
    <t>DN80 PN10</t>
  </si>
  <si>
    <t>双法止回阀</t>
  </si>
  <si>
    <t>排气阀</t>
  </si>
  <si>
    <t>DN15</t>
  </si>
  <si>
    <t>八</t>
  </si>
  <si>
    <t>浓缩池</t>
  </si>
  <si>
    <t>污泥浓缩机</t>
  </si>
  <si>
    <t>中心传动悬挂式,Φ 12.0m , N=0.75kW ,水下部件不锈钢材质</t>
  </si>
  <si>
    <t>广东新环</t>
  </si>
  <si>
    <t>排泥泵</t>
  </si>
  <si>
    <t>单螺杆泵, Q=65m 3 /h , H=20m , N=7.5kW ,带变频控制</t>
  </si>
  <si>
    <t>35800（Q=30m3/h,H=10m,3kw）</t>
  </si>
  <si>
    <t>耐驰</t>
  </si>
  <si>
    <t>葛银祖13902234800</t>
  </si>
  <si>
    <t>西派克</t>
  </si>
  <si>
    <t>陈浩13681732464</t>
  </si>
  <si>
    <t>不报价</t>
  </si>
  <si>
    <t>尼科</t>
  </si>
  <si>
    <t>陈生13166269987</t>
  </si>
  <si>
    <t>手动闸阀（法兰式带加长杆）</t>
  </si>
  <si>
    <t>DN150，PN10，L=1m</t>
  </si>
  <si>
    <t>手动闸阀</t>
  </si>
  <si>
    <t>483（对夹式）</t>
  </si>
  <si>
    <t>九</t>
  </si>
  <si>
    <t>放空泵房</t>
  </si>
  <si>
    <t>起重量 3T ,起吊高度 13m ,行程 14m , N=4.5kW</t>
  </si>
  <si>
    <t>放空泵</t>
  </si>
  <si>
    <t>潜污泵, 300m3/h , H=16m , N=22kW ,带变频控制、导轨及自耦系统</t>
  </si>
  <si>
    <t>148000（H=20m）</t>
  </si>
  <si>
    <t>46500（Q=210m3/h）</t>
  </si>
  <si>
    <t>荏原</t>
  </si>
  <si>
    <t>韦国13798148955</t>
  </si>
  <si>
    <t>南方泵业</t>
  </si>
  <si>
    <t>曾工13825006787</t>
  </si>
  <si>
    <t>未生产</t>
  </si>
  <si>
    <t>凯泉泵业</t>
  </si>
  <si>
    <t>舒尧溢13825001721</t>
  </si>
  <si>
    <t>排涝泵</t>
  </si>
  <si>
    <t>潜污泵, 700m3/h , H=22m , N=75kW ,带变频控制、导轨及自耦系统</t>
  </si>
  <si>
    <t>109000（Q=1000m3/h）</t>
  </si>
  <si>
    <t>DN300 , PN10 ,开关型</t>
  </si>
  <si>
    <t>31200（DN350）</t>
  </si>
  <si>
    <t>DN300，PN10</t>
  </si>
  <si>
    <t>十</t>
  </si>
  <si>
    <t>DN300 , PN10 ,不锈钢,耐高温, N=0.37kW , 120 ℃,开关型</t>
  </si>
  <si>
    <t>76820.1（DN800）</t>
  </si>
  <si>
    <t>M=2t,H=4.5m,Lk=9m,N=5.5kW</t>
  </si>
  <si>
    <t>20000（T=5t，H=6m，N=9.8KW）</t>
  </si>
  <si>
    <t>十一</t>
  </si>
  <si>
    <t>PAC 加药泵</t>
  </si>
  <si>
    <t>隔膜计量泵, PVC 泵头, Q=450L/h , P=7bar , N=0.55kW ,带变频调速,投加生化池末端</t>
  </si>
  <si>
    <t>32000（Q=300L/h，H=20m，N=0.42kW，变频控制）硫酸铝隔膜加药泵</t>
  </si>
  <si>
    <t>控制箱</t>
  </si>
  <si>
    <t>西门子PLC，10 寸触摸屏，主要电气元器件采用施耐德、ABB等进口品牌。碳钢喷塑，户内柜，板厚 2mm，带避雷装置，带滤波装置，所有控制回路带漏电保护，带过载</t>
  </si>
  <si>
    <t>PAC 卸药泵</t>
  </si>
  <si>
    <t>卧式氟塑料泵, Q=50m3/h , H=8m , N=5.5kW</t>
  </si>
  <si>
    <t>48000（Q=80.0m3/h，H=15m，N=3kW）硫酸铝卸药泵</t>
  </si>
  <si>
    <t>PAC 药池搅拌器</t>
  </si>
  <si>
    <t>折桨搅拌器, D=1.6m ,碳钢衬塑材质, N=4.0kW</t>
  </si>
  <si>
    <t>29978（N=4.0kW）</t>
  </si>
  <si>
    <t>NaClO 加药泵</t>
  </si>
  <si>
    <t>隔膜计量泵, PVC 泵头, Q=300L/h , P=7bar , N=0.55kW ,带变频调速,投加中水池</t>
  </si>
  <si>
    <t>32000（Q=200L/h）</t>
  </si>
  <si>
    <t>卧式氟塑料泵, Q=6.9m3/h , H=20m , N=1.1kW ,变频控制,用于 MBR 清洗</t>
  </si>
  <si>
    <t>36000（3m3/h）</t>
  </si>
  <si>
    <t>NaClO 卸药泵</t>
  </si>
  <si>
    <t>卧式氟塑料泵, Q=20m3/h , H=10m , N=2.2kW</t>
  </si>
  <si>
    <t>NaClO 储罐</t>
  </si>
  <si>
    <t>立式 PE 储罐, V=15m3 ,带加强筋及爬梯,配套远传液位计</t>
  </si>
  <si>
    <t>60000（V=25m3）</t>
  </si>
  <si>
    <t>柠檬酸加药泵</t>
  </si>
  <si>
    <t>卧式氟塑料泵, Q=6.6m3/h , H=20m , N=1.1kW ,变频控制,用于 MBR 清洗</t>
  </si>
  <si>
    <t>37200（20m3/h）</t>
  </si>
  <si>
    <t>柠檬酸药池搅拌器</t>
  </si>
  <si>
    <t>化料器</t>
  </si>
  <si>
    <t>200kg/ 次, V=400L ,带加热器, N=1.5+7.5kW</t>
  </si>
  <si>
    <t>NaOH 加药泵</t>
  </si>
  <si>
    <t>卧式氟塑料泵, Q=4m3/h , H=20m , N=2.2kW ,带变频调速</t>
  </si>
  <si>
    <t>NaOH 卸药泵</t>
  </si>
  <si>
    <t>乙酸钠加药泵</t>
  </si>
  <si>
    <t>隔膜计量泵,塑料泵头, Q=150L/h , P=7bar , N=0.55kW ,带变频调速</t>
  </si>
  <si>
    <t>32000（Q=450L/h）</t>
  </si>
  <si>
    <t>乙酸钠药池搅拌器</t>
  </si>
  <si>
    <t>电动球阀</t>
  </si>
  <si>
    <t>DN80 , PN10 , N=0.25kW ,开关型</t>
  </si>
  <si>
    <t>DN50 , PN10 , N=0.25kW ,开关型</t>
  </si>
  <si>
    <t>DN40 , PN10 , N=0.25kW ,开关型</t>
  </si>
  <si>
    <t>Y型过滤器</t>
  </si>
  <si>
    <t>DN20，PN10</t>
  </si>
  <si>
    <t>倒流防止器阀组</t>
  </si>
  <si>
    <t>包括闸阀、过滤器、倒流防止器、排水管、支架等，DN80，PN10</t>
  </si>
  <si>
    <t>手动球阀</t>
  </si>
  <si>
    <t>DN15，PN10，UPVC</t>
  </si>
  <si>
    <t>DN20，PN10，UPVC</t>
  </si>
  <si>
    <t>DN32，PN10，UPVC</t>
  </si>
  <si>
    <t>DN40，PN10，UPVC</t>
  </si>
  <si>
    <t>DN40，PN13,UPVC</t>
  </si>
  <si>
    <t>DN50，PN10,UPVC</t>
  </si>
  <si>
    <t>DN65，PN10,UPVC</t>
  </si>
  <si>
    <t>DN80，PN10,UPVC</t>
  </si>
  <si>
    <t>无</t>
  </si>
  <si>
    <t>DN40，PN10,UPVC</t>
  </si>
  <si>
    <t>十二</t>
  </si>
  <si>
    <t>危废间及机修间</t>
  </si>
  <si>
    <t>起重量 3T ,起吊高度 5m ,跨度 4.9m ,行程约 11.2m ,N=4.9kW</t>
  </si>
  <si>
    <t>十三</t>
  </si>
  <si>
    <t>工艺综合管线</t>
  </si>
  <si>
    <t>对夹法兰蝶阀</t>
  </si>
  <si>
    <t>DN700 PN10 Q235B</t>
  </si>
  <si>
    <t>双法对夹式蝶阀</t>
  </si>
  <si>
    <t>DN200 PN10 Q235B</t>
  </si>
  <si>
    <t>双法限位伸缩接头</t>
  </si>
  <si>
    <t>8039
（DN600）</t>
  </si>
  <si>
    <t>起重量 2T ,起吊高度 9m ,行程约 84m , N=4.5kW</t>
  </si>
  <si>
    <t>起重量 2T ,起吊高度 9m ,行程约 45m , N=4.5kW</t>
  </si>
  <si>
    <t>消防潜水泵</t>
  </si>
  <si>
    <t>10L/S H=20m N=5.5kW</t>
  </si>
  <si>
    <t>11000（H=30m）</t>
  </si>
  <si>
    <t>潜污泵</t>
  </si>
  <si>
    <t>10L/S H=10m N=1.5kW</t>
  </si>
  <si>
    <t xml:space="preserve"> </t>
  </si>
  <si>
    <t>中部净水厂投资估算表</t>
  </si>
  <si>
    <t>洛溪岛净水厂审核概算表</t>
  </si>
  <si>
    <t>对比结果</t>
  </si>
  <si>
    <t>概  算  价  值（万元）</t>
  </si>
  <si>
    <t>投资增减（万元）</t>
  </si>
  <si>
    <t>指标增减比例</t>
  </si>
  <si>
    <t>主要原因分析</t>
  </si>
  <si>
    <t>设备安装规模不同及土建原因</t>
  </si>
  <si>
    <t>基坑支护、土石方、地基处理</t>
  </si>
  <si>
    <t>池容、材差</t>
  </si>
  <si>
    <t>地下处理厂框架、池体及辅助建筑</t>
  </si>
  <si>
    <t>面积、材差</t>
  </si>
  <si>
    <t>出水管道  DN1200</t>
  </si>
  <si>
    <t>长度、管径、洛溪D1800穿堤</t>
  </si>
  <si>
    <t>工艺、规模不同，洛溪初雨处理</t>
  </si>
  <si>
    <t>工艺设备安装</t>
  </si>
  <si>
    <t>洛溪膜工艺及初雨处理</t>
  </si>
  <si>
    <t>通风除臭设备安装</t>
  </si>
  <si>
    <t>规范调整</t>
  </si>
  <si>
    <t>电气设备安装</t>
  </si>
  <si>
    <t>自控及仪表设备安装</t>
  </si>
  <si>
    <t>增加智慧水务</t>
  </si>
  <si>
    <t>洛溪未计</t>
  </si>
  <si>
    <t>C</t>
  </si>
  <si>
    <t>污泥干化系统设备安装</t>
  </si>
  <si>
    <t>洛溪增加初雨污泥处理</t>
  </si>
  <si>
    <t>景观面积增大、标准提高</t>
  </si>
  <si>
    <t>单位工程：甲供设备</t>
  </si>
  <si>
    <t>南站水厂（5万m³/d）</t>
  </si>
  <si>
    <t>环城北（100000m3/d）</t>
  </si>
  <si>
    <t>中部水厂（100000m3/d）</t>
  </si>
  <si>
    <t>采购子包1:提升泵及配套设备</t>
  </si>
  <si>
    <t>提升水泵</t>
  </si>
  <si>
    <t>潜污泵，Q=2083m3/h，H=9.5m，N=75kW，带变频控制、导轨及自耦系统</t>
  </si>
  <si>
    <t>383004（Q=1300m3/h,H=25m,P=140kW）</t>
  </si>
  <si>
    <t>440000（Q=1565m3/h，H=9.0m，N=55kw）</t>
  </si>
  <si>
    <t>322908（Q=1880m3/h ，H=6.0m ，N=55kW）</t>
  </si>
  <si>
    <t>KSB</t>
  </si>
  <si>
    <t>飞力</t>
  </si>
  <si>
    <t>ABS</t>
  </si>
  <si>
    <t>潜污泵，Q=1041m3/h，H=9.5m，N=37kW，带变频控制、导轨及自耦系统</t>
  </si>
  <si>
    <t>240025（Q=1460m3/h ，H=6.0m ，N=37kW）</t>
  </si>
  <si>
    <t>采购子包2:内进流格栅除污机及其配套设备</t>
  </si>
  <si>
    <t>内进流孔板式格栅，渠宽1.5m，栅隙5mm，N=0.75kW，单台过水量≥2100m3/h，主体不锈钢</t>
  </si>
  <si>
    <t>531160
（Q=1565m3/h，b=5mm）</t>
  </si>
  <si>
    <t>北排</t>
  </si>
  <si>
    <t>刘小姐13560026763</t>
  </si>
  <si>
    <t>悉美</t>
  </si>
  <si>
    <t>王磷13602392272</t>
  </si>
  <si>
    <t>艾维</t>
  </si>
  <si>
    <t>谢泽才18620056917</t>
  </si>
  <si>
    <t>螺旋压榨机</t>
  </si>
  <si>
    <t>过滤精度3mm， N=2.2kW</t>
  </si>
  <si>
    <t>输渣管</t>
  </si>
  <si>
    <t>与格栅系统配套，长度≈12m，不锈钢材质，含支腿及观察口</t>
  </si>
  <si>
    <t>冲洗泵组</t>
  </si>
  <si>
    <t>立式多级泵组，单泵Q=8m³/h，H=81m，N=3kW，带变频控制、进口过滤器</t>
  </si>
  <si>
    <t>储水箱</t>
  </si>
  <si>
    <t>不锈钢方形水箱，V=12m3，含成套冲洗水管路控制阀门、接头、过滤器、仪表等</t>
  </si>
  <si>
    <t>膜格栅</t>
  </si>
  <si>
    <t>内进流孔板式格栅，渠宽1.6m，栅隙1mm，N=2.2kW ，网板宽度1800mm，单台过水量≥1580m3/h</t>
  </si>
  <si>
    <t>608160（Q=1565m3/h，b=1mm）</t>
  </si>
  <si>
    <t>过滤精度2mm，N=3kW</t>
  </si>
  <si>
    <t>与格栅系统配套，长度≈16m，不锈钢材质，含支腿及观察口</t>
  </si>
  <si>
    <t>恒压冲洗泵组</t>
  </si>
  <si>
    <t>立式多级泵组，单泵Q=30m³/h，H=80m，N=11kW，带变频控制、进口过滤器</t>
  </si>
  <si>
    <t>采购子包3:立式搅拌器及配套设备</t>
  </si>
  <si>
    <t>厌氧搅拌器</t>
  </si>
  <si>
    <t>不锈钢立式搅拌器，D=4m，N=4kW，带变频控制，缺氧Ⅰ</t>
  </si>
  <si>
    <t>55000（D=580mm；转速475rpm；N=7.6kw）</t>
  </si>
  <si>
    <t>菲力</t>
  </si>
  <si>
    <t>史伟15161663888</t>
  </si>
  <si>
    <t>莱宁</t>
  </si>
  <si>
    <t>王晨18664634927</t>
  </si>
  <si>
    <t>力维</t>
  </si>
  <si>
    <t>方经理13801994720</t>
  </si>
  <si>
    <t>缺氧搅拌器</t>
  </si>
  <si>
    <t>不锈钢立式搅拌器，D=4.2m，N=7.5kW，带变频控制，缺氧Ⅱ</t>
  </si>
  <si>
    <t>采购子包4:潜水推流器及配套设备</t>
  </si>
  <si>
    <t>缺氧推流器</t>
  </si>
  <si>
    <t>不锈钢低速推流器，N=15kW</t>
  </si>
  <si>
    <t>85000（D=2500mm;转速48rpm；N=6.8kw）</t>
  </si>
  <si>
    <t>采购子包5:MBR膜池工艺系统及配套设备（50%）</t>
  </si>
  <si>
    <t>膜组器系统</t>
  </si>
  <si>
    <t>PVDF中空纤维膜组器，单渠道出水量Q≥9375m3/d，组器框架不锈钢材质，含产水、曝气接头等</t>
  </si>
  <si>
    <t>PVDF中空纤维膜组器,单渠道出水量Q≥9375m3/d,组器框架不锈钢材质,含产水、曝气接头等,每个渠道含8套膜组器</t>
  </si>
  <si>
    <t>6507.31万元（100000m3/d），其中膜组器2860000.00元（Q=6250m3/d）</t>
  </si>
  <si>
    <t>三达膜</t>
  </si>
  <si>
    <t>王立才13459293295</t>
  </si>
  <si>
    <t>立升</t>
  </si>
  <si>
    <t>房明亮15050461263</t>
  </si>
  <si>
    <t>不锈钢附壁方闸门，B×H=1000×1000mm，N=0.75kW，带手电一体启闭机</t>
  </si>
  <si>
    <t>产水泵</t>
  </si>
  <si>
    <t>卧式离心泵，Q=481m3/h，H=17m，N=37kW，汽蚀余量≤3m，带变频控制</t>
  </si>
  <si>
    <t>卧式离心泵，Q=481m3/h，H=20m，N=37kW，汽蚀余量≤3m，带变频控制</t>
  </si>
  <si>
    <t>产水专用设备</t>
  </si>
  <si>
    <t>Φ500×1100mm，SS316材质，每套含2个音叉液位计</t>
  </si>
  <si>
    <t>CIP泵</t>
  </si>
  <si>
    <t>卧式离心泵，Q=251m3/h,H=12m,N=15kW，带变频控制</t>
  </si>
  <si>
    <t>液环真空泵</t>
  </si>
  <si>
    <t>Q=165m3/h，最大真空度84%，N=4kW</t>
  </si>
  <si>
    <t>真空罐</t>
  </si>
  <si>
    <t>V=1m3，Φ800×2400mm</t>
  </si>
  <si>
    <t>气水分离罐</t>
  </si>
  <si>
    <t>V=0.12m3，φ500×780mm</t>
  </si>
  <si>
    <t>空压机</t>
  </si>
  <si>
    <t>螺杆式空压机，Q=1.0m3/min，P=0.80MPa，N=7.5kW</t>
  </si>
  <si>
    <t>冷干机</t>
  </si>
  <si>
    <t>Q=1.5m3/min，N=0.55kW</t>
  </si>
  <si>
    <t>储气罐</t>
  </si>
  <si>
    <t>V=1m3，工作压力0.8MPa</t>
  </si>
  <si>
    <t>剩余污泥泵</t>
  </si>
  <si>
    <t>无堵塞卧式离心泵，Q=65m3/h，H=20m，N=11kW</t>
  </si>
  <si>
    <t>手动对夹式蝶阀</t>
  </si>
  <si>
    <t>DN300,1.0MPa,阀板:铸铁</t>
  </si>
  <si>
    <t>DN250,1.0MPa,阀体阀板：UPVC</t>
  </si>
  <si>
    <t>DN150,1.0MPa,阀板:铸铁</t>
  </si>
  <si>
    <t>DN150,1.0MPa,阀板:铸铁（图纸的材质UPVC）</t>
  </si>
  <si>
    <t>DN125,1.0MPa,阀板:SS316</t>
  </si>
  <si>
    <t>DN100,1.0MPa,阀板:铸铁，涡轮式</t>
  </si>
  <si>
    <t>DN50,1.0MPa，阀板:铸铁，涡轮式</t>
  </si>
  <si>
    <t>DN200,1.0MPa,阀体阀板：UPVC</t>
  </si>
  <si>
    <t>DN200,1.0MPa,阀体阀板：铸铁</t>
  </si>
  <si>
    <t>DN80,1.0MPa,阀体阀板：铸铁</t>
  </si>
  <si>
    <t>DN150,1.0MPa,阀体阀板：铸铁</t>
  </si>
  <si>
    <t>DN50,1.0MPa,阀板:铸铁</t>
  </si>
  <si>
    <t>DN20,1.0MPa，铸铁</t>
  </si>
  <si>
    <t>DN50,1.0MPa，PVC-U</t>
  </si>
  <si>
    <t>DN15,1.0MPa，铜</t>
  </si>
  <si>
    <t>DN20,1.0MPa，PVC-U</t>
  </si>
  <si>
    <t>自动排气阀</t>
  </si>
  <si>
    <t>DN15,1.0MPa</t>
  </si>
  <si>
    <t>对夹式止回阀</t>
  </si>
  <si>
    <t>DN300,1.0MPa,阀板:铸铁，碟片式</t>
  </si>
  <si>
    <t>DN250,1.0MPa,阀板:SS316</t>
  </si>
  <si>
    <t>DN80,1.0MPa,阀板:铸铁</t>
  </si>
  <si>
    <t>单球体橡胶接头</t>
  </si>
  <si>
    <t>DN350</t>
  </si>
  <si>
    <t>DN300</t>
  </si>
  <si>
    <t>DN250</t>
  </si>
  <si>
    <t>DN150</t>
  </si>
  <si>
    <t>DN80</t>
  </si>
  <si>
    <t>管道混合器</t>
  </si>
  <si>
    <t>DN250,PVC-U</t>
  </si>
  <si>
    <t>DN250,30目,1.0MPa，PVC-U</t>
  </si>
  <si>
    <t>DN80,30目,1.0MPa，Q235</t>
  </si>
  <si>
    <t>DN20,30目,1.0MPa，PVC-U</t>
  </si>
  <si>
    <t>单法兰管道限位伸缩接头</t>
  </si>
  <si>
    <t>DN700</t>
  </si>
  <si>
    <t>快速接头</t>
  </si>
  <si>
    <t>DN100，SS304，含一个法兰</t>
  </si>
  <si>
    <t>DN125，SS316，含一个法兰</t>
  </si>
  <si>
    <t>气动三偏心蝶阀</t>
  </si>
  <si>
    <t>DN200</t>
  </si>
  <si>
    <t>DN125</t>
  </si>
  <si>
    <t>DN100</t>
  </si>
  <si>
    <t>气动球阀</t>
  </si>
  <si>
    <t>DN20</t>
  </si>
  <si>
    <t>电动调节阀</t>
  </si>
  <si>
    <t>气动法兰式蝶阀</t>
  </si>
  <si>
    <t>DN250，PN10，CIP管</t>
  </si>
  <si>
    <t>气动对夹式蝶阀</t>
  </si>
  <si>
    <t>DN150，PN10，剩余污泥总管</t>
  </si>
  <si>
    <t>DN80，PN10，产水专用设备抽真空</t>
  </si>
  <si>
    <t>DN80，PN10，真空罐进口</t>
  </si>
  <si>
    <t>DN50，PN10，真空罐排水</t>
  </si>
  <si>
    <t>DN20，PN10，真空罐排气</t>
  </si>
  <si>
    <t>DN15，PN10，气水分离罐补水</t>
  </si>
  <si>
    <t>电磁阀</t>
  </si>
  <si>
    <t>DN20，PN10，储气罐排污</t>
  </si>
  <si>
    <t>DN350，PN10，产水干管</t>
  </si>
  <si>
    <t>DN300，PN10，吹扫干管</t>
  </si>
  <si>
    <t>DN300,PN10, 清水池补水管</t>
  </si>
  <si>
    <t>在线MLSS仪</t>
  </si>
  <si>
    <t>量程0~20g/L，输出信号4~20mA</t>
  </si>
  <si>
    <t>静压式液位计</t>
  </si>
  <si>
    <t>量程0～5m，输出信号4～20mA</t>
  </si>
  <si>
    <t>压力变送器</t>
  </si>
  <si>
    <t>量程－100～200kPa，输出信号4～20mA，一体式</t>
  </si>
  <si>
    <t>电磁流量计</t>
  </si>
  <si>
    <t>DN300，量程0～750m3/h，橡胶衬里，不锈钢电极，输出信号4～20mA，1.0MPa，分体式</t>
  </si>
  <si>
    <t>在线浊度仪</t>
  </si>
  <si>
    <t>量程0～20NTU，输出信号4～20mA，分体式</t>
  </si>
  <si>
    <t>DN250，量程0～350m3/h，橡胶衬里,不锈钢电极，输出信号4～20mA，1.0MPa，分体式</t>
  </si>
  <si>
    <t>音叉液位计</t>
  </si>
  <si>
    <t>双叉标准型，螺纹连接</t>
  </si>
  <si>
    <t>液位计</t>
  </si>
  <si>
    <t>测量范围0～4m，介质：NaClO，输出信号4～20mA</t>
  </si>
  <si>
    <t>测量范围0～4m，介质：柠檬酸，输出信号4～20mA</t>
  </si>
  <si>
    <t>DN50，量程0～10m3/h，四氟衬里，钛电极，输出信号4～20mA，1.0MPa，分体式</t>
  </si>
  <si>
    <t>DN50，量程0～10m3/h，四氟衬里，钽电极，输出信号4～20mA，1.0MPa，分体式</t>
  </si>
  <si>
    <t>DN150，量程0～100m3/h，橡胶衬里,不锈钢电极，输出信号4～20mA，1.0MPa，分体式</t>
  </si>
  <si>
    <t>普通压力表</t>
  </si>
  <si>
    <t>0~1.0MPa</t>
  </si>
  <si>
    <t>浮球液位计</t>
  </si>
  <si>
    <t>0~1m</t>
  </si>
  <si>
    <t>低压进线柜</t>
  </si>
  <si>
    <t>1000(宽)*2200(高)*1000(深)，MNS</t>
  </si>
  <si>
    <t>低压母联柜</t>
  </si>
  <si>
    <t>有源滤波柜</t>
  </si>
  <si>
    <t>200A</t>
  </si>
  <si>
    <t>产水泵变频控制柜</t>
  </si>
  <si>
    <t>800(宽)*2200(高)*1000(深)，MNS</t>
  </si>
  <si>
    <t>污泥回流泵变频控制柜</t>
  </si>
  <si>
    <t>CIP泵变频控制柜</t>
  </si>
  <si>
    <t>加药泵变频控制柜</t>
  </si>
  <si>
    <t>低压电气柜</t>
  </si>
  <si>
    <t>气动阀箱</t>
  </si>
  <si>
    <t>非标定制，不锈钢304，IP55,支架安装</t>
  </si>
  <si>
    <t>电磁阀箱</t>
  </si>
  <si>
    <t>排水泵现场控制箱</t>
  </si>
  <si>
    <t>非标定制，不锈钢304，IP55,壁挂安装</t>
  </si>
  <si>
    <t>化料器控制箱</t>
  </si>
  <si>
    <t>工艺成套提供</t>
  </si>
  <si>
    <t>电动单梁悬挂起重机开关箱</t>
  </si>
  <si>
    <t>电动葫芦开关箱</t>
  </si>
  <si>
    <t>动力配电箱</t>
  </si>
  <si>
    <t>产水泵现场按钮箱</t>
  </si>
  <si>
    <t>CIP泵现场按钮箱</t>
  </si>
  <si>
    <t>剩余污泥泵现场按钮箱</t>
  </si>
  <si>
    <t>真空泵现场按钮箱</t>
  </si>
  <si>
    <t>污泥回流泵按钮箱</t>
  </si>
  <si>
    <t>污泥回流泵接线盒</t>
  </si>
  <si>
    <t>膜车间主站PLCA</t>
  </si>
  <si>
    <t>膜车间远程站PLCA.1-膜车间远程站PLCA.4</t>
  </si>
  <si>
    <t>交换机</t>
  </si>
  <si>
    <t>膜控制系统软件编制</t>
  </si>
  <si>
    <t>膜控制系统现场调试服务</t>
  </si>
  <si>
    <t>仪表保护箱</t>
  </si>
  <si>
    <t>安装</t>
  </si>
  <si>
    <t>工艺设备、电气设备、仪表、阀门安装，工艺管道、电缆等材料及安装</t>
  </si>
  <si>
    <t>采购子包6:精确曝气系统及配套设备</t>
  </si>
  <si>
    <t>电动线性空气调节阀</t>
  </si>
  <si>
    <t>适用于生化池空气管
道</t>
  </si>
  <si>
    <t>冰得</t>
  </si>
  <si>
    <t>郑饶15899960814</t>
  </si>
  <si>
    <t>西门子</t>
  </si>
  <si>
    <t>威立雅</t>
  </si>
  <si>
    <t>刘建源13590204531</t>
  </si>
  <si>
    <t>模式不合适</t>
  </si>
  <si>
    <t>赛莱默</t>
  </si>
  <si>
    <t>孙河洋18688805759</t>
  </si>
  <si>
    <t>热式气体流量计</t>
  </si>
  <si>
    <t>曝气就地控制系统</t>
  </si>
  <si>
    <t>鼓风机优化控制系统</t>
  </si>
  <si>
    <t>曝气氨氮优化控制系统</t>
  </si>
  <si>
    <t>曝气总氮优化控制系统</t>
  </si>
  <si>
    <t>曝气器运行状态评估系统</t>
  </si>
  <si>
    <t>系统集成标定与校验</t>
  </si>
  <si>
    <t>现场控制柜</t>
  </si>
  <si>
    <t>总管压力变送器</t>
  </si>
  <si>
    <t>0-2bar，±0.065%，
输出 4-20mA</t>
  </si>
  <si>
    <t>空气总管温度变送器</t>
  </si>
  <si>
    <t>0-200℃, ±0.2℃，输
出 4-20mA</t>
  </si>
  <si>
    <t>采购子包7:鼓风机及配套设备（50%）</t>
  </si>
  <si>
    <t>生化风机</t>
  </si>
  <si>
    <t>磁悬浮风机，Q=5040m3/h，P=0.9Bar，N=150kW,配套进口过滤器、进口过滤器转接头、消音器，出口柔性补偿器、消音器、止回阀、旁通放空阀、消音器及压力表、冷却系统等，配套就地控制柜和主控柜</t>
  </si>
  <si>
    <t>1248000（Q=4800m3/h，P=92kPa，N=160kW）</t>
  </si>
  <si>
    <t>1800000（Q=7200m3/h）</t>
  </si>
  <si>
    <t>1526000（Q=4500m3/h，P=7m N= 120kW）</t>
  </si>
  <si>
    <t>豪顿</t>
  </si>
  <si>
    <t>蔡联昌18620887355</t>
  </si>
  <si>
    <t>阿特拉斯</t>
  </si>
  <si>
    <t>黎蜜祥13711288140</t>
  </si>
  <si>
    <t>膜风机</t>
  </si>
  <si>
    <t>磁悬浮风机，Q=7500m3/h，P=0.45Bar，N=150kW，配套进口过滤器、进口过滤器转接头、消音器，出口柔性补偿器、消音器、止回阀、旁通放空阀、消音器及压力表、冷却系统等，配套就地控制柜和主控柜</t>
  </si>
  <si>
    <t>1370080-1600000（Q=6600m3/h-Q=15600m3/h）</t>
  </si>
  <si>
    <t>2198000（Q=9000m3/h，P=7m N= 120kW）</t>
  </si>
  <si>
    <t>进风过滤器</t>
  </si>
  <si>
    <t>电动帘式过滤器,Q≥26000m3/h,N=0.25kW</t>
  </si>
  <si>
    <t>8000(Q≥27600m3/h  N=0.3kW)</t>
  </si>
  <si>
    <t>64000（B=3.4m ，H=2.5m ，N=0.55kW）</t>
  </si>
  <si>
    <t>采购子包8:污泥装置设备（66%）</t>
  </si>
  <si>
    <t>调质池搅拌器</t>
  </si>
  <si>
    <t>立式桨叶式，D=1500，N=11kW</t>
  </si>
  <si>
    <t>复洁</t>
  </si>
  <si>
    <t>周可勇13760885309</t>
  </si>
  <si>
    <t>絮凝剂制配装置</t>
  </si>
  <si>
    <t>4000L/h，N=5kW</t>
  </si>
  <si>
    <t>混凝剂加药泵</t>
  </si>
  <si>
    <t>卧式离心泵，Q=6.3m3/h，H=20m，N=1.5kW，塑料泵头，带变频控制</t>
  </si>
  <si>
    <t>低温真空脱水干化主机</t>
  </si>
  <si>
    <t>过滤面积600m2，进泥含水率98%，出泥含水率＜40%工况下时，单套设计处理能力5.6tDS/d（最大7.2tDS/d），N=11kW，含主机密闭罩</t>
  </si>
  <si>
    <t>污泥脱水干化成套设备控制软件</t>
  </si>
  <si>
    <t>V2.0</t>
  </si>
  <si>
    <t>污泥切割机</t>
  </si>
  <si>
    <t>管道式，Q=70m³/h，N=3kW</t>
  </si>
  <si>
    <t>污泥进料泵</t>
  </si>
  <si>
    <t>单螺杆泵，Q=63m³/h，H=100m，N=30kW</t>
  </si>
  <si>
    <t>絮凝剂加药泵</t>
  </si>
  <si>
    <t>单螺杆泵，Q=3m³/h，H=20m，N=2.2kW</t>
  </si>
  <si>
    <t>静态混合器</t>
  </si>
  <si>
    <t>DN150，SS304</t>
  </si>
  <si>
    <t>压榨泵</t>
  </si>
  <si>
    <t>Q=30m3/h，H=100m，N=15kW</t>
  </si>
  <si>
    <t>热水箱</t>
  </si>
  <si>
    <t>V=75m3，不锈钢材质</t>
  </si>
  <si>
    <t>加热泵</t>
  </si>
  <si>
    <t>Q=200m3/h，H=20m，N=18.5kW</t>
  </si>
  <si>
    <t>水源热泵</t>
  </si>
  <si>
    <t>制热量1360kW</t>
  </si>
  <si>
    <t>热水循环泵</t>
  </si>
  <si>
    <t>Q=300m3/h，H=20m，N=18.5kW（规格与厂家不一致）</t>
  </si>
  <si>
    <t>真空泵</t>
  </si>
  <si>
    <t>Q=43m³/min，P=3300Pa，N=55kW</t>
  </si>
  <si>
    <t>冷凝器</t>
  </si>
  <si>
    <t>A=180m2</t>
  </si>
  <si>
    <t>缓冲罐</t>
  </si>
  <si>
    <t>V=0.8m3</t>
  </si>
  <si>
    <t>冷凝液储罐</t>
  </si>
  <si>
    <t>V=1.5m3</t>
  </si>
  <si>
    <t>冷却水泵</t>
  </si>
  <si>
    <t>Q=150m3/h，H=27m，N=22kW</t>
  </si>
  <si>
    <t>水箱排气冷凝器</t>
  </si>
  <si>
    <t>A=10m²</t>
  </si>
  <si>
    <t>螺杆式空压机，Q=2.1m3/min，P=PN10，N=15kW</t>
  </si>
  <si>
    <t>Q=2.4m3/ min，N=0.85kW</t>
  </si>
  <si>
    <t>压缩空气储罐</t>
  </si>
  <si>
    <t>V=12m3，1.05MPa</t>
  </si>
  <si>
    <t>仪表空气储罐</t>
  </si>
  <si>
    <t>V=3m3，1.05MPa</t>
  </si>
  <si>
    <t>空气主管路油水过滤器</t>
  </si>
  <si>
    <t>Q=4m3/min，3μ/0.1μ/0.01μ</t>
  </si>
  <si>
    <t>Q=20t/h，有效长度 L=10.3m，N=15kW</t>
  </si>
  <si>
    <t>破碎机</t>
  </si>
  <si>
    <t>Q=20t/h，N=30kW</t>
  </si>
  <si>
    <t>分料螺旋</t>
  </si>
  <si>
    <t>Q=20t/h，N=11kW</t>
  </si>
  <si>
    <t>卸料刮板输送机</t>
  </si>
  <si>
    <t>Q=20t/h，N=37kW</t>
  </si>
  <si>
    <t>干污泥料仓</t>
  </si>
  <si>
    <t>V=50m3，N=25kW</t>
  </si>
  <si>
    <t>装车刮板输送机</t>
  </si>
  <si>
    <t>Q=20t/h，N=27kW</t>
  </si>
  <si>
    <t>起重量2T，起吊高度8.5m，行程28.8m，N=5.3kW</t>
  </si>
  <si>
    <t>起重量5T，起吊高度14.7m，行程34.8m，N=7.5kW</t>
  </si>
  <si>
    <t>排水泵</t>
  </si>
  <si>
    <t>潜污泵，Q=35m³/h，H=15m，N=4kW，带导轨及自耦系统</t>
  </si>
  <si>
    <t>暗杆刀闸阀</t>
  </si>
  <si>
    <t>Q235-B，DN200，1.6MPa</t>
  </si>
  <si>
    <t>Q235-B，DN150，1.6MPa</t>
  </si>
  <si>
    <t>SS304，DN40，1.6MPa</t>
  </si>
  <si>
    <t>安全阀</t>
  </si>
  <si>
    <t>DN80，1.6MPa</t>
  </si>
  <si>
    <t>DN150，1.6MPa</t>
  </si>
  <si>
    <t>SS304，DN15，1.6MPa</t>
  </si>
  <si>
    <t>金属膨胀节</t>
  </si>
  <si>
    <t>锥形过滤器</t>
  </si>
  <si>
    <t>SS304，DN200，1.6MPa</t>
  </si>
  <si>
    <t>SS304，DN100，1.6MPa</t>
  </si>
  <si>
    <t>SS304，DN20，1.6MPa</t>
  </si>
  <si>
    <t>SS304，DN80，1.6MPa</t>
  </si>
  <si>
    <t>SS304，DN50，1.6MPa</t>
  </si>
  <si>
    <t>持压/泄压阀</t>
  </si>
  <si>
    <t>T型过滤器</t>
  </si>
  <si>
    <t>DN200，1.6MPa</t>
  </si>
  <si>
    <t>DN100，1.6MPa</t>
  </si>
  <si>
    <t>石英玻璃视镜</t>
  </si>
  <si>
    <t>Q235B，150，1.6MPa</t>
  </si>
  <si>
    <t>SS304，DN65，1.6MPa</t>
  </si>
  <si>
    <t>Q235-B，DN80，1.6MPa</t>
  </si>
  <si>
    <t>DN40，1.6MPa</t>
  </si>
  <si>
    <t>DN65，1.6MPa</t>
  </si>
  <si>
    <t>Q235-B，DN65，1.6MPa</t>
  </si>
  <si>
    <t>DN25，1.6MPa</t>
  </si>
  <si>
    <t>SS304，DN25，1.6MPa</t>
  </si>
  <si>
    <t>DN20，1.6MPa</t>
  </si>
  <si>
    <t>DN15，1.6MPa</t>
  </si>
  <si>
    <t>低压配电系统</t>
  </si>
  <si>
    <t>含低压柜及柜体与设备之间电缆</t>
  </si>
  <si>
    <t>仪表</t>
  </si>
  <si>
    <t>阀门</t>
  </si>
  <si>
    <t>电缆</t>
  </si>
  <si>
    <t>工控机及软件</t>
  </si>
  <si>
    <t>污泥干化区域除臭系统</t>
  </si>
  <si>
    <t>Q=37000m³/h</t>
  </si>
  <si>
    <t>污泥干化区域离子送风系统</t>
  </si>
  <si>
    <t>Q=60000m³/h</t>
  </si>
  <si>
    <t>预处理区离子送风系统</t>
  </si>
  <si>
    <t>Q=16000m³/h</t>
  </si>
  <si>
    <t>采购子包9：在线仪表设备</t>
  </si>
  <si>
    <t>酸碱度/温度（pH/T）检测仪</t>
  </si>
  <si>
    <t>pH:0-14/0-100;精度测量值的±0.75%,测量灵敏度:&lt;0.005pH;重复性:&lt;±全量程浸入式数字传感器IP68,带悬挂支架传感器电缆30m;双通道数字式变送器带壁装式不锈钢保护箱及附件;pH/T及故障状态,工业现场总线通讯接口与本工程PLC总线接口一致);在线式检测仪表,LCD现场显示自动温度补偿带自动清洗装置;</t>
  </si>
  <si>
    <t>哈希</t>
  </si>
  <si>
    <t>张锐熙15626146220</t>
  </si>
  <si>
    <t>E+H</t>
  </si>
  <si>
    <t>黄应文13326426530</t>
  </si>
  <si>
    <t>WTW</t>
  </si>
  <si>
    <t>廖昌平18218221882</t>
  </si>
  <si>
    <t>固态悬浮物（SS）检测仪</t>
  </si>
  <si>
    <t>1)0-500mg/l,电源AC220V自带适配器;2)精度:±5%测量值;响应时间:&lt;1秒工作温度:2℃～40℃;3)浸入式数字传感器IP68,带悬挂支架传感器电缆30m;4)数字式变送器IP65,带壁装式不锈钢保护箱及附件;5)SS及故障状态工业现场总线通讯接口(与本工程PLC总线接口一致);6)在线式检测仪表,LCD现场显示带自动清洗装置;</t>
  </si>
  <si>
    <t>总磷（TP）检测仪</t>
  </si>
  <si>
    <t>1)0-20mg/l;重复性:±3%FS;高温化学分解与分光光度钼蓝法,电源AC220V;2)TP值/故障状态,工业现场总线通讯接口(与本工程PLC总线接口一致);</t>
  </si>
  <si>
    <t>总氮（TN）检测仪</t>
  </si>
  <si>
    <t>1)0-100mg/l,重复性:±3%FS,碱性过硫酸钾消解紫外分光光度法电源,AC220V;2)TN值故障状态工业现场总线通讯接口与本工程PLC总线接口一致);3)在线式检测仪表,LCD现场显示,自动校正、自动清洗功能;</t>
  </si>
  <si>
    <t>氨氮（NH3-N）检测仪</t>
  </si>
  <si>
    <t>1)0-80mg/l,水杨酸腚酚蓝法,电源AC220V；2)低量程:0.10~20.00mg/L;高量程:3.00~80.00mg/L;3)重复性≤3%；稳定性:±10%；零点漂移:±5%F.S;4)NH3N值/故障状态,工业现场总线通讯接口与本工程PLC总线接口一致);5)在线式检测仪表,LCD现场显示,自动校正、自动清洗功能;</t>
  </si>
  <si>
    <t>化学需氧量（COD）检测仪</t>
  </si>
  <si>
    <t>1)测量范围10~5000mg/L,重铬酸钾法高温消解电源AC220V;2)示值误差:±10%；重复性:5％示值稳定性:±5％;3)COD值/故障状态,工业现场总线通讯接口(与本工程PLC总线接口一致);4)在线式检测仪表,LCD现场显示,自动校正、自动清洗功能;</t>
  </si>
  <si>
    <t>采购子包10：智慧水厂及配套设备</t>
  </si>
  <si>
    <t>智慧水厂管控平台</t>
  </si>
  <si>
    <t>上海昊沧</t>
  </si>
  <si>
    <t>021-61261198</t>
  </si>
  <si>
    <t>深圳水务科技</t>
  </si>
  <si>
    <t>黄泽贵13825515102</t>
  </si>
  <si>
    <t>蓝色代表厂家报价单中的深化设备</t>
  </si>
  <si>
    <t>黄色代表需要核对图纸数量及子项</t>
  </si>
  <si>
    <t>电气序号</t>
  </si>
  <si>
    <t>设备编号</t>
  </si>
  <si>
    <t>类型</t>
  </si>
  <si>
    <t>规格</t>
  </si>
  <si>
    <t>单台功率</t>
  </si>
  <si>
    <t>安装功率</t>
  </si>
  <si>
    <t>使用功率</t>
  </si>
  <si>
    <t>工作台数</t>
  </si>
  <si>
    <t>备用台数</t>
  </si>
  <si>
    <t>冷备台数</t>
  </si>
  <si>
    <t>安装位置</t>
  </si>
  <si>
    <t>进水总管及进水池</t>
  </si>
  <si>
    <t>01进水井</t>
  </si>
  <si>
    <t>铸铁镶铜速闭闸门</t>
  </si>
  <si>
    <t>速闭闸门</t>
  </si>
  <si>
    <t>方形附壁式1400X1400,2.5t</t>
  </si>
  <si>
    <t>进水总管闸门井</t>
  </si>
  <si>
    <t>远期工程进水闸门，配电动启闭机,P=5kw,用电为二级负荷，闸门关闭时间为30s内</t>
  </si>
  <si>
    <t>圆形管道式∅1600,1.5t</t>
  </si>
  <si>
    <t>二期工程进水闸门，配电动启闭机,P=4kw,用电为二级负荷，闸门关闭时间为30s内</t>
  </si>
  <si>
    <t>速闭阀</t>
  </si>
  <si>
    <t>全通径偏心球阀</t>
  </si>
  <si>
    <t>DN1600，PN10，P=4kw，液压驱动蓄能式</t>
  </si>
  <si>
    <t>阀门关闭时间8s~18s,配蓄能式液压控制柜，P=4kw,1t，用电为二级负荷，远程控制启闭。液压站带备用24V控制电源，交流电断电后可自动控制液压回路实现关阀。</t>
  </si>
  <si>
    <t>02-28M-01</t>
  </si>
  <si>
    <t>W=5T，行程16.5m，P=7.5Kw，起吊高度15m</t>
  </si>
  <si>
    <t>硫化氢气体检测与报警设备</t>
  </si>
  <si>
    <t>计入仪表自控专业</t>
  </si>
  <si>
    <t>超声波液位计</t>
  </si>
  <si>
    <t>0~20m</t>
  </si>
  <si>
    <t>02预处理</t>
  </si>
  <si>
    <t>粗格栅系统</t>
  </si>
  <si>
    <t>02-24M-01</t>
  </si>
  <si>
    <t>移动式自动抓斗</t>
  </si>
  <si>
    <t>抓斗宽度1400mm，栅隙20mm，提升电机N1=2kW，液压泵N2=1.5kW，行走电机N3=0.37kW，提升高度10m，轨道L=15m</t>
  </si>
  <si>
    <t>进水池</t>
  </si>
  <si>
    <t>配套轨道及吊钩</t>
  </si>
  <si>
    <t>02-1M-1~2</t>
  </si>
  <si>
    <t>电动速闭闸门</t>
  </si>
  <si>
    <t>速闭闸</t>
  </si>
  <si>
    <t>铸铁镶铜方闸门1400x1400，P=0.75kw，速闭启闭，关闭时间小于30秒</t>
  </si>
  <si>
    <t>粗格栅进水端</t>
  </si>
  <si>
    <t>材质为SS304</t>
  </si>
  <si>
    <t>02-3M-1~2</t>
  </si>
  <si>
    <t>B=2.2m,b=20mm,a=75°,SS304，N=2.2KW/台</t>
  </si>
  <si>
    <t>粗格栅池</t>
  </si>
  <si>
    <t>自带冲洗设备</t>
  </si>
  <si>
    <t>02-2M-1~2</t>
  </si>
  <si>
    <t>电动铸铁闸门</t>
  </si>
  <si>
    <t>附壁闸</t>
  </si>
  <si>
    <t>1200x1200，P=1.1kw</t>
  </si>
  <si>
    <t>粗格栅出水端</t>
  </si>
  <si>
    <t>提升泵</t>
  </si>
  <si>
    <t>02-4M-1</t>
  </si>
  <si>
    <t>1500X1500，P=1.1kw</t>
  </si>
  <si>
    <t>提升泵池</t>
  </si>
  <si>
    <t>双向承压</t>
  </si>
  <si>
    <t>02-5M-1~4</t>
  </si>
  <si>
    <t>污水提升泵1</t>
  </si>
  <si>
    <t>Q=2083m3/h，H=12m，N=55KW/台</t>
  </si>
  <si>
    <t>配自耦装置，三用一备，两台变频</t>
  </si>
  <si>
    <t>污水提升泵2</t>
  </si>
  <si>
    <t>Q=1041m3/h，H=12m，N=55KW/台</t>
  </si>
  <si>
    <t>02-6M-1</t>
  </si>
  <si>
    <t>皮带输送机</t>
  </si>
  <si>
    <t>B=500mm,L=9m,N=3kw</t>
  </si>
  <si>
    <t>水平安装,带密封罩</t>
  </si>
  <si>
    <t>02-7M-1</t>
  </si>
  <si>
    <t>无轴螺旋压榨机</t>
  </si>
  <si>
    <t>P=2.2kw</t>
  </si>
  <si>
    <t>细格栅系统</t>
  </si>
  <si>
    <t>02-8M-1~4</t>
  </si>
  <si>
    <t>电动渠道闸门</t>
  </si>
  <si>
    <t>BxH=1.6X1.7m,P=2.2kw</t>
  </si>
  <si>
    <t>细格栅池</t>
  </si>
  <si>
    <t>暗杆式，带密封罩，配启闭机</t>
  </si>
  <si>
    <t>02-9M-1~2</t>
  </si>
  <si>
    <t>B=2.2M，b=6mm,a=60°,SUS304
N=驱动电机1.5KW+毛刷清洗电机1.5KW/台，配套中压泵</t>
  </si>
  <si>
    <t>需配格栅高压冲洗装置，细格栅恒压冲洗装置，冲洗水量：10.5L/s,  压力：3-5bar，与格栅配套带PLC自控，含配套阀门、管件及冲洗管道，2用1备，配SS304+透明塑料板密闭除臭罩，自带PLC及反冲洗系统，细格栅上方需预留吊装孔</t>
  </si>
  <si>
    <t>02-10M-1</t>
  </si>
  <si>
    <t>无轴螺旋输送机</t>
  </si>
  <si>
    <t>DN300，L＝9m，P=1.1kw</t>
  </si>
  <si>
    <t>02-11M-1</t>
  </si>
  <si>
    <t>螺旋直径300mm，功率1.1kw</t>
  </si>
  <si>
    <t>02-09M-01~02</t>
  </si>
  <si>
    <t>电动渠道闸门及启闭机</t>
  </si>
  <si>
    <t>插板闸</t>
  </si>
  <si>
    <t>BxH=1500X2000mm,P=1.1kw</t>
  </si>
  <si>
    <t>曝气沉砂池进水口</t>
  </si>
  <si>
    <t>02-10M-01~02</t>
  </si>
  <si>
    <t>链板式刮砂机</t>
  </si>
  <si>
    <t>非金属链板刮渣机</t>
  </si>
  <si>
    <t>B=1.4m，L=20m，N=0.55kW</t>
  </si>
  <si>
    <t>刮板材质为玻璃钢，链条和轴材质为铸尼龙</t>
  </si>
  <si>
    <t>02-11M-01~03</t>
  </si>
  <si>
    <t>罗茨风机</t>
  </si>
  <si>
    <t>Q=500m3/h,H=29.4Kpa,N=15kw</t>
  </si>
  <si>
    <t>2用1备</t>
  </si>
  <si>
    <t>02-12M-01</t>
  </si>
  <si>
    <t>螺旋砂水分离器</t>
  </si>
  <si>
    <t>Q=35~40L/s,N=1.10kw，材质：SS304</t>
  </si>
  <si>
    <t>02-13M-01</t>
  </si>
  <si>
    <t>电动撇渣管</t>
  </si>
  <si>
    <t>DN300,L=10m,N=1.0kw,坡度2-5度</t>
  </si>
  <si>
    <t>含立式排出消声器、减震系统</t>
  </si>
  <si>
    <t>02-14M-01~02</t>
  </si>
  <si>
    <t>抽砂泵</t>
  </si>
  <si>
    <t>砂泵</t>
  </si>
  <si>
    <t>Q=15L/s，H=20m，P=8.5Kw</t>
  </si>
  <si>
    <t>2用1冷备</t>
  </si>
  <si>
    <t>02-15M-01~02</t>
  </si>
  <si>
    <t>电动调节堰门及启闭机</t>
  </si>
  <si>
    <t>上部开口式</t>
  </si>
  <si>
    <t>BxH=3000X1200mm,P=1.1kw</t>
  </si>
  <si>
    <t>曝气沉砂池出水口</t>
  </si>
  <si>
    <t>精细格栅系统</t>
  </si>
  <si>
    <t>02-16M-01~04</t>
  </si>
  <si>
    <t>BxH=900X2500mm,P=1.1kw</t>
  </si>
  <si>
    <t>02-17M-01~03</t>
  </si>
  <si>
    <t>内进流式孔板精细格栅</t>
  </si>
  <si>
    <t>内进流式孔板格栅</t>
  </si>
  <si>
    <t>b=2mm,N=1.5kw，渠道宽度1600mm，渠深3450mm，单台最大处理水量2708m³/h，水头损失350mm</t>
  </si>
  <si>
    <t>2用1备，配SS304+透明塑料板密闭除臭罩，自带PLC及反冲洗系统，精细格栅上方需预留吊装孔</t>
  </si>
  <si>
    <t>02-18M-01~03</t>
  </si>
  <si>
    <t>BxH=1600X2500mm,P=1.1kw</t>
  </si>
  <si>
    <t>02-19M-01</t>
  </si>
  <si>
    <t>管道闸</t>
  </si>
  <si>
    <t>DN1200mm,P=1.1kw</t>
  </si>
  <si>
    <t>预处理出水口</t>
  </si>
  <si>
    <t>附属设施</t>
  </si>
  <si>
    <t>02-20M-01</t>
  </si>
  <si>
    <t>B=500mm,L=10m,N=3kw</t>
  </si>
  <si>
    <t>粗格栅出料</t>
  </si>
  <si>
    <t>02-21-01</t>
  </si>
  <si>
    <t>手推式垃圾桶</t>
  </si>
  <si>
    <t>1100L，材质为HDPE</t>
  </si>
  <si>
    <t>02-22M-01</t>
  </si>
  <si>
    <t>自流式外溜槽</t>
  </si>
  <si>
    <t>L=10m，材质SS304</t>
  </si>
  <si>
    <t>精细格栅出料</t>
  </si>
  <si>
    <t>用于精细格栅，配落渣斗</t>
  </si>
  <si>
    <t>02-23M-01~02</t>
  </si>
  <si>
    <t>P=2.2kw，材质SS304</t>
  </si>
  <si>
    <t>02-25-01~03</t>
  </si>
  <si>
    <t>垃圾斗</t>
  </si>
  <si>
    <t>容积1立方米，与压榨机配套</t>
  </si>
  <si>
    <t>螺旋压榨机下料配套</t>
  </si>
  <si>
    <t>02-26M-01~04</t>
  </si>
  <si>
    <t>中压冲洗水泵</t>
  </si>
  <si>
    <t>立式离心泵</t>
  </si>
  <si>
    <t>25m³/h，H=80m，15kW</t>
  </si>
  <si>
    <t>细格栅系统和精细格栅系统各自配套反冲洗水泵2台，均为1用1热备，并配套电动蝶阀、手动蝶阀、止回阀、Y型过滤器、冲洗水管及配套管配件，配套管道压力1.6Mpa。</t>
  </si>
  <si>
    <t>02-27-01~02</t>
  </si>
  <si>
    <t>冲洗水箱</t>
  </si>
  <si>
    <t>V=10m3，Q235防腐</t>
  </si>
  <si>
    <t>配套阀门、法兰接口等</t>
  </si>
  <si>
    <t>02-31M-01~03</t>
  </si>
  <si>
    <t>Q=200m3/h,H=7m,P=11kw</t>
  </si>
  <si>
    <t>用于废水池放空</t>
  </si>
  <si>
    <t>02-29M-01</t>
  </si>
  <si>
    <t>W=3T，行程6.5m，P=7.5Kw，起吊高度10m</t>
  </si>
  <si>
    <t>废液池潜污泵</t>
  </si>
  <si>
    <t>03-01F-1~4</t>
  </si>
  <si>
    <t>DN1200，N=0.25kW</t>
  </si>
  <si>
    <t>预处理-生化进水管</t>
  </si>
  <si>
    <t>附属仪表</t>
  </si>
  <si>
    <t>02-H2S01</t>
  </si>
  <si>
    <t>02-H2S02</t>
  </si>
  <si>
    <t>02-CH401</t>
  </si>
  <si>
    <t>甲烷气体检测与报警设备</t>
  </si>
  <si>
    <t>02-CH402</t>
  </si>
  <si>
    <t>COD，NH/3-N,TN,TP,SS,Ph</t>
  </si>
  <si>
    <t>水质在线测定仪</t>
  </si>
  <si>
    <t>检测项目：COD，NH/3-N,TN,TP,SS,Ph</t>
  </si>
  <si>
    <t xml:space="preserve">沉砂池进水渠 </t>
  </si>
  <si>
    <t>02-LV01-01</t>
  </si>
  <si>
    <t>0~6.5m</t>
  </si>
  <si>
    <t>02-LV02-01~03</t>
  </si>
  <si>
    <t>超声波液位差计</t>
  </si>
  <si>
    <t>0~6.5m，探头2个</t>
  </si>
  <si>
    <t>粗格栅设备统一配置</t>
  </si>
  <si>
    <t>02-LV03-01~03</t>
  </si>
  <si>
    <t>0~5m，探头2个，分体式安装</t>
  </si>
  <si>
    <t>细格栅设备统一配置</t>
  </si>
  <si>
    <t>02-LV04-01~03</t>
  </si>
  <si>
    <t>0~5m，探头2个</t>
  </si>
  <si>
    <t>精细格栅设备统一配置</t>
  </si>
  <si>
    <t>02-LV05-01~2</t>
  </si>
  <si>
    <t>0~2m</t>
  </si>
  <si>
    <t>沉砂池内</t>
  </si>
  <si>
    <t>02-LV06-01</t>
  </si>
  <si>
    <t>0-5m</t>
  </si>
  <si>
    <t>废液池液位计</t>
  </si>
  <si>
    <t>02-QL01-01</t>
  </si>
  <si>
    <t>DN1200，0～4m/s</t>
  </si>
  <si>
    <t>预处理至生化进水管</t>
  </si>
  <si>
    <t>02-QL02-01</t>
  </si>
  <si>
    <t>空气流量计</t>
  </si>
  <si>
    <t>热质流量计</t>
  </si>
  <si>
    <t>DN150,   0~1m/s（曝气沉砂池用）</t>
  </si>
  <si>
    <t>曝气沉砂池曝气主管</t>
  </si>
  <si>
    <t>03 生化池</t>
  </si>
  <si>
    <t>设备</t>
  </si>
  <si>
    <t>03-01M-1~8</t>
  </si>
  <si>
    <t>潜水搅拌器</t>
  </si>
  <si>
    <t>叶轮直2200mm,r=47 RPM,N=7.5kW，水深7.8m，配套可提升装置</t>
  </si>
  <si>
    <t>厌氧区</t>
  </si>
  <si>
    <t>03-02M-1~8</t>
  </si>
  <si>
    <t>潜水推流器</t>
  </si>
  <si>
    <t>叶轮直2200mm,r=47 RPM,N=12kW，水深7.8m，配套可提升装置</t>
  </si>
  <si>
    <t>缺氧区1</t>
  </si>
  <si>
    <t>叶轮直580mm,r=475 RPM,N=7.5kW，水深7.8m，配套可提升装置</t>
  </si>
  <si>
    <t>缺氧区2</t>
  </si>
  <si>
    <t>可变及二级缺氧</t>
  </si>
  <si>
    <t>03-03</t>
  </si>
  <si>
    <t>板条式微孔曝气器</t>
  </si>
  <si>
    <t>L=5310/3210/2160</t>
  </si>
  <si>
    <t>好氧区</t>
  </si>
  <si>
    <t>配套池底上1m以下管配件</t>
  </si>
  <si>
    <t>曝气器清洗装置</t>
  </si>
  <si>
    <t>板条式微孔曝气器配套</t>
  </si>
  <si>
    <t>03-04M-1~4</t>
  </si>
  <si>
    <t>内回流泵</t>
  </si>
  <si>
    <t>穿墙泵</t>
  </si>
  <si>
    <t>Q=2500m3/h，H=0.5m，N=7.5kW，配套可提升装置</t>
  </si>
  <si>
    <t>一级好氧区出水</t>
  </si>
  <si>
    <t>一级内回流泵；变频;4用1备</t>
  </si>
  <si>
    <t>03-05M-1~4</t>
  </si>
  <si>
    <t>Q=3125m3/h，H=0.5m，N=13kW，配套可提升装置</t>
  </si>
  <si>
    <t>二级好氧区出水</t>
  </si>
  <si>
    <t>二级内回流泵；变频；4用1备</t>
  </si>
  <si>
    <t>03-06M-1~2</t>
  </si>
  <si>
    <t>污泥回流泵</t>
  </si>
  <si>
    <t>Q=1250m3/h，H=1.7m，N=25kW，配套可提升装置</t>
  </si>
  <si>
    <t>污泥回流池</t>
  </si>
  <si>
    <t>变频；4用1备</t>
  </si>
  <si>
    <t>03-07M-1~4</t>
  </si>
  <si>
    <t>Q=150m3/h，H=8m，N=7.5kW</t>
  </si>
  <si>
    <t>变频；2用2备</t>
  </si>
  <si>
    <t>铸铁镶铜闸门</t>
  </si>
  <si>
    <t>2000X1500</t>
  </si>
  <si>
    <t>切断闸</t>
  </si>
  <si>
    <t>03-08M-1~2</t>
  </si>
  <si>
    <t>电动调节堰门</t>
  </si>
  <si>
    <t>调节堰门</t>
  </si>
  <si>
    <t>闸门尺寸1600X500，启闭力80KN,Q235B，N=1.5kW，材料：Cl，配不锈钢丝杆、支架</t>
  </si>
  <si>
    <t>污泥回流渠</t>
  </si>
  <si>
    <t>材料：Cl，配不锈钢丝杆、支架</t>
  </si>
  <si>
    <t>03-09M-1~2</t>
  </si>
  <si>
    <t>插板闸门及电动启闭机</t>
  </si>
  <si>
    <t>闸门尺寸1800×1800，启闭力40KN,Q235B，N=2.2kW，材料：Cl，配不锈钢丝杆、支架</t>
  </si>
  <si>
    <t>出水渠</t>
  </si>
  <si>
    <t>03-10M-1~2</t>
  </si>
  <si>
    <t>闸门尺寸1200×1550，启闭力40KN,Q235B，N=2.2kW，材料：Cl，配不锈钢丝杆、支架</t>
  </si>
  <si>
    <t>03-11M-1~4</t>
  </si>
  <si>
    <t>闸门尺寸1400×1550，启闭力40KN,Q235B，N=2.2kW，材料：Cl，配不锈钢丝杆、支架</t>
  </si>
  <si>
    <t>03-12M-1~2</t>
  </si>
  <si>
    <t>电动镶铜铸铁闸门</t>
  </si>
  <si>
    <t>管道闸门</t>
  </si>
  <si>
    <t>DN1200，P=1.1kw,双向受力</t>
  </si>
  <si>
    <t>一级进水端</t>
  </si>
  <si>
    <t>双向受力</t>
  </si>
  <si>
    <t>03-13M-1~2</t>
  </si>
  <si>
    <t>DN1000，P=1.1kw,双向受力</t>
  </si>
  <si>
    <t>二级进水端</t>
  </si>
  <si>
    <t>DN1000，N=0.25kW</t>
  </si>
  <si>
    <t>二级进水管</t>
  </si>
  <si>
    <t>03-02F-1~6</t>
  </si>
  <si>
    <t>DN300，N=0.25kW</t>
  </si>
  <si>
    <t>曝气管</t>
  </si>
  <si>
    <t>04-08M-1~4</t>
  </si>
  <si>
    <t>DN500 P=0.75KW</t>
  </si>
  <si>
    <t>一级生化池放空管道</t>
  </si>
  <si>
    <t>03-D0-1~14</t>
  </si>
  <si>
    <t>溶解氧测定仪</t>
  </si>
  <si>
    <t>量程：0-8mg/L</t>
  </si>
  <si>
    <t>03-LV-1~6</t>
  </si>
  <si>
    <t>量程：0~9.0m</t>
  </si>
  <si>
    <t>生化池一级好氧区，缺氧/好氧区、污泥回流池</t>
  </si>
  <si>
    <t>03-ORP-1~2</t>
  </si>
  <si>
    <t>ORP氧化还原电位计</t>
  </si>
  <si>
    <t>便携式</t>
  </si>
  <si>
    <t>03-NH3/NO3-1~4</t>
  </si>
  <si>
    <t>氨氮-硝氮检测仪</t>
  </si>
  <si>
    <t>生化池缺氧池（一级、二级）、出水端</t>
  </si>
  <si>
    <t>03-MLSS-1~6</t>
  </si>
  <si>
    <t>污泥浓度计</t>
  </si>
  <si>
    <t>生化池缺氧池（一级、二级）、污泥回流池</t>
  </si>
  <si>
    <t>03-F01-1~2</t>
  </si>
  <si>
    <t>DN200，输出4~20mA，传感器IP68，分体式;量程：0-200m3/min</t>
  </si>
  <si>
    <t>剩余污泥管</t>
  </si>
  <si>
    <t>03-F02-1</t>
  </si>
  <si>
    <t>DN1000，输出4~20mA，传感器IP68，分体式;量程：0-100m3/min</t>
  </si>
  <si>
    <t>03-F03-1~6</t>
  </si>
  <si>
    <t>DN300,0.25Mpa，量程：0~3500m³/h，介质温度：-40~150℃</t>
  </si>
  <si>
    <t>DN300曝气管支管</t>
  </si>
  <si>
    <t>03-PI-1~12</t>
  </si>
  <si>
    <t>插入式</t>
  </si>
  <si>
    <t>量程：0~0.25Mpa，介质温度：-40~150℃</t>
  </si>
  <si>
    <t>04 二沉池</t>
  </si>
  <si>
    <t>04-01M-1~10</t>
  </si>
  <si>
    <t>链式刮泥刮渣机</t>
  </si>
  <si>
    <t>B=8.80m,L=50m,V=0.305m/min,N=0.75KW</t>
  </si>
  <si>
    <t>二沉池内</t>
  </si>
  <si>
    <t>03-05M-01~10</t>
  </si>
  <si>
    <t>电动旋转撇渣管</t>
  </si>
  <si>
    <t>DN300 L=6.10m P=1.5KW</t>
  </si>
  <si>
    <t>由链式刮泥刮渣机配套提供</t>
  </si>
  <si>
    <t>04-05-1~30</t>
  </si>
  <si>
    <t>手动闸门</t>
  </si>
  <si>
    <t>铸铁镶铜，600X600，配手动启闭机</t>
  </si>
  <si>
    <t>二沉池进水分配孔</t>
  </si>
  <si>
    <t>04-06M-1~2</t>
  </si>
  <si>
    <t>排空泵</t>
  </si>
  <si>
    <t>排污泵干式安装</t>
  </si>
  <si>
    <t>100m3/h，H=10m，N=7.5kW</t>
  </si>
  <si>
    <t>二沉池管廊</t>
  </si>
  <si>
    <t>二级生化池放空管道</t>
  </si>
  <si>
    <t>04-09-1~4</t>
  </si>
  <si>
    <t>手动葫芦</t>
  </si>
  <si>
    <t>W=2T， H=4.5m</t>
  </si>
  <si>
    <t>排空泵及电动蝶阀上方正上方</t>
  </si>
  <si>
    <t>04-10M-1~4</t>
  </si>
  <si>
    <t>W=3T，行程75m，H=12m，P=7.5Kw</t>
  </si>
  <si>
    <t>二沉池斜板检修口上方</t>
  </si>
  <si>
    <t>04-SS-1</t>
  </si>
  <si>
    <t>SS在线检测仪</t>
  </si>
  <si>
    <t>二沉池出水渠</t>
  </si>
  <si>
    <t>05 高效沉淀池</t>
  </si>
  <si>
    <t>15-01-1~2</t>
  </si>
  <si>
    <t>进水手动闸门</t>
  </si>
  <si>
    <t>闸门尺寸900×900，手动启闭机，,铸铁，材料：Cl，配不锈钢丝杆、支架</t>
  </si>
  <si>
    <t>高效沉淀池集成系统内</t>
  </si>
  <si>
    <t>进水渠</t>
  </si>
  <si>
    <t>05-02M-1~2</t>
  </si>
  <si>
    <t>快速搅拌器</t>
  </si>
  <si>
    <t>竖式搅拌器</t>
  </si>
  <si>
    <t>直径=1.6m, SS304L</t>
  </si>
  <si>
    <t>混凝池</t>
  </si>
  <si>
    <t>05-03M-1~2</t>
  </si>
  <si>
    <t>慢速搅拌器</t>
  </si>
  <si>
    <t>直径=1.9m, SS304L</t>
  </si>
  <si>
    <t>絮凝池</t>
  </si>
  <si>
    <t>05-04-1~2</t>
  </si>
  <si>
    <t>导流筒</t>
  </si>
  <si>
    <t>配有整流器及挡流板，SS304</t>
  </si>
  <si>
    <t>05-05-1~2</t>
  </si>
  <si>
    <t>出水导流板</t>
  </si>
  <si>
    <t xml:space="preserve"> SS304</t>
  </si>
  <si>
    <t>05-06-1~2</t>
  </si>
  <si>
    <t>斜板</t>
  </si>
  <si>
    <t>ABS，L=1m, d=40mm</t>
  </si>
  <si>
    <t>沉淀池</t>
  </si>
  <si>
    <t>05-07M-1~2</t>
  </si>
  <si>
    <t>刮泥机</t>
  </si>
  <si>
    <t>直径7.8m</t>
  </si>
  <si>
    <t>05-08-1~2</t>
  </si>
  <si>
    <t>集水槽</t>
  </si>
  <si>
    <t>SS304</t>
  </si>
  <si>
    <t>05-09-1~2</t>
  </si>
  <si>
    <t>出水叠梁闸</t>
  </si>
  <si>
    <t>尺寸=0.9x0.9m，1套铝合金闸板，2套不锈钢闸框</t>
  </si>
  <si>
    <t>05-10M-1~4</t>
  </si>
  <si>
    <t>微砂循环泵</t>
  </si>
  <si>
    <t xml:space="preserve">Q=90m3/h, H=17m, </t>
  </si>
  <si>
    <t>高效沉淀池集成系统内，微砂循环系统</t>
  </si>
  <si>
    <t>高效沉淀池设备间</t>
  </si>
  <si>
    <t>05-11M-1~4</t>
  </si>
  <si>
    <t>微砂高效分离器</t>
  </si>
  <si>
    <t>Q=90m3/h</t>
  </si>
  <si>
    <t>絮凝池池面</t>
  </si>
  <si>
    <t>05-12M</t>
  </si>
  <si>
    <t>鼓风机</t>
  </si>
  <si>
    <t>Q=110m3/h, 0.5bar</t>
  </si>
  <si>
    <t>高效沉淀池集成系统内，斜管自动冲洗系统（冷备）</t>
  </si>
  <si>
    <t>负一层板面</t>
  </si>
  <si>
    <t>5-13-1~2</t>
  </si>
  <si>
    <t>冲洗管网</t>
  </si>
  <si>
    <t>高效沉淀池集成系统内，斜管自动冲洗系统</t>
  </si>
  <si>
    <t>05-14M-1~2</t>
  </si>
  <si>
    <t>污泥排放泵</t>
  </si>
  <si>
    <t>潜污泵（干式安装）</t>
  </si>
  <si>
    <t>立式排污泵（干式卧式安装），Q=240m3/h，扬程H=12m，P=7.5kW</t>
  </si>
  <si>
    <t>05-15M-1~3</t>
  </si>
  <si>
    <t>PAC加药泵</t>
  </si>
  <si>
    <t>隔膜泵</t>
  </si>
  <si>
    <t>变频，Q=190l/h， H=20m，两用一备</t>
  </si>
  <si>
    <t>高效沉淀池集成系统内，混凝剂投加系统</t>
  </si>
  <si>
    <t>05-16M</t>
  </si>
  <si>
    <t>PAM泡药机（阴离子）</t>
  </si>
  <si>
    <t>高效沉淀池集成系统内，絮凝剂投加系统</t>
  </si>
  <si>
    <t>05-17M-1~3</t>
  </si>
  <si>
    <t>高效沉淀池PAM投加泵</t>
  </si>
  <si>
    <t>变频，Q=650l/h， H=20m，2用1备</t>
  </si>
  <si>
    <t>5-18</t>
  </si>
  <si>
    <t>超越渠闸门</t>
  </si>
  <si>
    <t>闸门尺寸1200×2400，启闭力40KN,铸铁，N=0.75kW，材料：Cl，配不锈钢丝杆、支架</t>
  </si>
  <si>
    <t>超越渠</t>
  </si>
  <si>
    <t>05-01F-1~4</t>
  </si>
  <si>
    <t>加药流量控制阀</t>
  </si>
  <si>
    <t>磷酸盐检测仪</t>
  </si>
  <si>
    <t>0~6m</t>
  </si>
  <si>
    <t>中间提升泵池 前后</t>
  </si>
  <si>
    <t>进水流量计</t>
  </si>
  <si>
    <t>DN1200 0~5000m3/h</t>
  </si>
  <si>
    <t>二沉池-高效沉淀进水管</t>
  </si>
  <si>
    <t>加药计量流量计</t>
  </si>
  <si>
    <t>浮子流量计</t>
  </si>
  <si>
    <t>PAC</t>
  </si>
  <si>
    <t>高效沉淀池PAM（阴离子）</t>
  </si>
  <si>
    <t>06 污泥干化车间</t>
  </si>
  <si>
    <t>脱水车间</t>
  </si>
  <si>
    <t>07-1M-01~03</t>
  </si>
  <si>
    <t>Q=70m3//h，N=3KW</t>
  </si>
  <si>
    <t>污泥间</t>
  </si>
  <si>
    <t>铸铁</t>
  </si>
  <si>
    <t>07-2M-01~03</t>
  </si>
  <si>
    <t>进泥螺杆泵</t>
  </si>
  <si>
    <t>螺杆泵</t>
  </si>
  <si>
    <t>Q=15~70m3//h，H=30m，N=18.5KW</t>
  </si>
  <si>
    <t>07-3M-01~03</t>
  </si>
  <si>
    <t>卧螺离心脱水机</t>
  </si>
  <si>
    <t>离心脱水机</t>
  </si>
  <si>
    <t xml:space="preserve">单台处理能力不小于70m3//h（99.2%含水率污泥）,  N=75+22kw
</t>
  </si>
  <si>
    <t>不锈钢</t>
  </si>
  <si>
    <t>07-4M-01~03</t>
  </si>
  <si>
    <t>排泥口电动
插板阀</t>
  </si>
  <si>
    <t>N=0.09KW</t>
  </si>
  <si>
    <t>安装于正反转螺旋输送机固液相出口处</t>
  </si>
  <si>
    <t>07-5M-01</t>
  </si>
  <si>
    <t>W=5T，H=4m，P=7.5Kw，行程23m，起吊高度4.5m</t>
  </si>
  <si>
    <t>包含吊轨+起吊机</t>
  </si>
  <si>
    <t>07-6M-01</t>
  </si>
  <si>
    <t>一体化加药装置（PAM）</t>
  </si>
  <si>
    <t>4000L, 粉剂2~8 kg/h,制备浓度0.1%~0.4% ，P=5.5kW</t>
  </si>
  <si>
    <t>配备包含粉剂储料罐、计量衡器、药剂调配罐、三叶式推进叶轮搅拌器、稀释混合器等</t>
  </si>
  <si>
    <t>07-7M-01~03</t>
  </si>
  <si>
    <t>加药螺杆泵</t>
  </si>
  <si>
    <t>Q=200-2000L/h，H=30m，N=1.5KW</t>
  </si>
  <si>
    <t>铸铁，3用1冷备</t>
  </si>
  <si>
    <t>07-8-01~03</t>
  </si>
  <si>
    <t>在线稀释装置</t>
  </si>
  <si>
    <t>Q=6000L/h，</t>
  </si>
  <si>
    <t>路</t>
  </si>
  <si>
    <t>07-9M-01~03</t>
  </si>
  <si>
    <t>冲洗水泵</t>
  </si>
  <si>
    <t>Q=30m3//h，H=30m，N=4KW</t>
  </si>
  <si>
    <t>铸铁，3用1冷备，</t>
  </si>
  <si>
    <t>07-10-01</t>
  </si>
  <si>
    <t>LxBxh=3mx2mx3m</t>
  </si>
  <si>
    <t>Q235 非标设备，配套连接短管及法兰及附属管件。</t>
  </si>
  <si>
    <t>干化车间</t>
  </si>
  <si>
    <t>07-11M-01</t>
  </si>
  <si>
    <t>冷凝水排水泵</t>
  </si>
  <si>
    <t>Q=7m3//h，H=11.5m，N=0.75KW</t>
  </si>
  <si>
    <t>冷凝水排水泵坑</t>
  </si>
  <si>
    <t>一用一备</t>
  </si>
  <si>
    <t>07-12M-01~03</t>
  </si>
  <si>
    <t>污泥除湿干化机</t>
  </si>
  <si>
    <t>热泵低温除湿干化</t>
  </si>
  <si>
    <t>去水量:27吨/天，装机功率：373.2KW，运行总功率：255KW</t>
  </si>
  <si>
    <t>配切条机及配电柜，不锈钢</t>
  </si>
  <si>
    <t>07-13-01</t>
  </si>
  <si>
    <t>膨胀水箱</t>
  </si>
  <si>
    <t>2m³</t>
  </si>
  <si>
    <t>污泥干化机配套，自带液位传感器，配软水器</t>
  </si>
  <si>
    <t>07-14M-01~03</t>
  </si>
  <si>
    <t>流量40m3/h，功率4KW，扬程20m</t>
  </si>
  <si>
    <t>污泥干化机配套</t>
  </si>
  <si>
    <t>07-15M-01~03</t>
  </si>
  <si>
    <t>正反转螺旋输送机</t>
  </si>
  <si>
    <t>输送量：3.2m3/h，功率:4KW，长度4m 螺旋正反转</t>
  </si>
  <si>
    <t>304不锈钢机身+碳钢支架</t>
  </si>
  <si>
    <t>07-16M-01~03</t>
  </si>
  <si>
    <t>湿料缓存仓</t>
  </si>
  <si>
    <t>2m3；</t>
  </si>
  <si>
    <t>体304不锈钢,仓壁δ=4.0mm；阻旋料位计：2个；</t>
  </si>
  <si>
    <t>07-17M-01</t>
  </si>
  <si>
    <t>污泥料仓</t>
  </si>
  <si>
    <t>D=6.0m，H=4.5m, Q=125m3，有效容积100m3，N=32KW</t>
  </si>
  <si>
    <t>料仓仓体和支撑为碳钢Q234，系统还包含：料位计，液压滑架系统（碳钢），卸料螺旋（碳钢），液压闸刀阀，PLC控制箱</t>
  </si>
  <si>
    <t>07-18M-01</t>
  </si>
  <si>
    <t>污泥刮板机-料仓进料</t>
  </si>
  <si>
    <t>L=25.92m，H=8.15m, Q=6m3//h，N=15KW</t>
  </si>
  <si>
    <t>刮板机与物料接触部位主要材质为碳钢Q235B，链条材质为40Cr</t>
  </si>
  <si>
    <t>07-19M-01</t>
  </si>
  <si>
    <t>污泥垂直刮板机-料仓出料</t>
  </si>
  <si>
    <t>L=17.0m，H=9.3m, Q=8~20m3//h，N=15KW</t>
  </si>
  <si>
    <t>刮板机与物料接触部位主要材质为碳钢Q235B，链条材质为41Cr</t>
  </si>
  <si>
    <t>07-20M-01~03</t>
  </si>
  <si>
    <t>应急螺杆泵</t>
  </si>
  <si>
    <t>Q=2m3//h，H=20m，N=7.5KW</t>
  </si>
  <si>
    <t>离心机出泥至料仓</t>
  </si>
  <si>
    <t>07-21M-01~03</t>
  </si>
  <si>
    <t>密闭式冷却塔</t>
  </si>
  <si>
    <t>工况：47℃/32℃/28℃/22m3∕h电动机：3相，380V，1.5KW,源立水泵：1.5KW长2100mm×宽1650mm×高2600mm</t>
  </si>
  <si>
    <t>浓缩池、储泥池</t>
  </si>
  <si>
    <t>直径∅12000,周边线速度1.56m/min，N=0.75kw</t>
  </si>
  <si>
    <t>07-22M-01~04</t>
  </si>
  <si>
    <t>D=368mm，P=2.5Kw.</t>
  </si>
  <si>
    <t>安装于储泥池，</t>
  </si>
  <si>
    <t>配套移动式提升装置</t>
  </si>
  <si>
    <t>07-QL01-01~03</t>
  </si>
  <si>
    <t>污泥流量计</t>
  </si>
  <si>
    <t>DN150, 量程15-80m3//h</t>
  </si>
  <si>
    <t>07-QL02-01~03</t>
  </si>
  <si>
    <t>加药流量计</t>
  </si>
  <si>
    <t>DN25, 量程0~5m3//h</t>
  </si>
  <si>
    <t>07-LV01-01~02</t>
  </si>
  <si>
    <t>超声波泥位计</t>
  </si>
  <si>
    <t>99.2%污泥</t>
  </si>
  <si>
    <t>0~6.0m</t>
  </si>
  <si>
    <t>储泥池</t>
  </si>
  <si>
    <t>07-LV02-01</t>
  </si>
  <si>
    <t>污泥料仓物料计</t>
  </si>
  <si>
    <t>30%~80%污泥</t>
  </si>
  <si>
    <t>0~5m</t>
  </si>
  <si>
    <t>污泥间污泥料仓</t>
  </si>
  <si>
    <t>07-H2S-01~02</t>
  </si>
  <si>
    <t>污泥间及卸料区</t>
  </si>
  <si>
    <t>07-CH4-01~02</t>
  </si>
  <si>
    <t>07-PP-01~02</t>
  </si>
  <si>
    <t>粉尘检测与报警设备</t>
  </si>
  <si>
    <t>07消毒及出水泵房</t>
  </si>
  <si>
    <t>07-01M=1~4</t>
  </si>
  <si>
    <t>紫外线消毒反应器</t>
  </si>
  <si>
    <t>管式消毒器</t>
  </si>
  <si>
    <t>Q=750000m3/d,消毒剂量20mJ/cm，N=54kw；外壳SS304</t>
  </si>
  <si>
    <t>0</t>
  </si>
  <si>
    <t>含石英套管、镇流器中控一体柜、紫外强度监测系统、自动清洗系统及反应器支架</t>
  </si>
  <si>
    <t>紫外线消毒间</t>
  </si>
  <si>
    <t>07-02M=1</t>
  </si>
  <si>
    <t>悬挂单梁起重机</t>
  </si>
  <si>
    <t>5T，跨度6.5m，行程20.5m，起吊高度13m，P=15kW</t>
  </si>
  <si>
    <t>08-01M-1~4</t>
  </si>
  <si>
    <t>出水泵</t>
  </si>
  <si>
    <t>潜污泵干式安装</t>
  </si>
  <si>
    <t>Q=2083m3/h，H=18m，N=110KW/台</t>
  </si>
  <si>
    <t>配高低液位开关；2台变频；三用一备</t>
  </si>
  <si>
    <t>出水综合泵房</t>
  </si>
  <si>
    <t>Q=1041m3/h，H=18m，N=55KW/台</t>
  </si>
  <si>
    <t>08-02M-1~2</t>
  </si>
  <si>
    <t>消防补水泵</t>
  </si>
  <si>
    <t>离心泵</t>
  </si>
  <si>
    <t>Q=25 L/s，H=16m，P=5.5kW，吸程3.5m</t>
  </si>
  <si>
    <t>配高低液位开关；一用一备；两台变频</t>
  </si>
  <si>
    <t>06-03M-01</t>
  </si>
  <si>
    <t>中水泵组</t>
  </si>
  <si>
    <t>中水泵组集成设备</t>
  </si>
  <si>
    <t>含有中水泵三台，2用1备，参数Q=130m³/h,H=18m，P=11kW</t>
  </si>
  <si>
    <t>尾水泵房集水池</t>
  </si>
  <si>
    <t xml:space="preserve">配高低液位开关；设备商成套提供；泵组中水泵为两用一备；配套气压罐1套（H=485mm，直径270mm），配套管道、阀门，仪表等；成套配置配电控制柜；配备机组机架和其他附件
</t>
  </si>
  <si>
    <t>08-06M-1~2</t>
  </si>
  <si>
    <t>DN1000，P=1.5kW</t>
  </si>
  <si>
    <t>08-LV-01</t>
  </si>
  <si>
    <t xml:space="preserve">H=0~10m </t>
  </si>
  <si>
    <t>计入自控专业</t>
  </si>
  <si>
    <t>加氯消毒池</t>
  </si>
  <si>
    <t>08-LV-02</t>
  </si>
  <si>
    <t>08-LV-03</t>
  </si>
  <si>
    <t>出水池</t>
  </si>
  <si>
    <t>检测项目：COD，NH/3-N,TN,TP,SS,pH</t>
  </si>
  <si>
    <t>尾水池</t>
  </si>
  <si>
    <t>08-QL-01</t>
  </si>
  <si>
    <t xml:space="preserve">DN1000
</t>
  </si>
  <si>
    <t>总出水管</t>
  </si>
  <si>
    <t>08 鼓风机房</t>
  </si>
  <si>
    <t>08-01M-1~3</t>
  </si>
  <si>
    <t>单级离心鼓风机</t>
  </si>
  <si>
    <t>导叶可调单机离心鼓风机</t>
  </si>
  <si>
    <t>Q=120m³/min，风压H=9.0m，P=330kw，采用导叶片调节风量</t>
  </si>
  <si>
    <t>2用1备，包括进口过滤器、消音器，出口柔性补偿器、消音器、逆止阀，隔音罩等附件。</t>
  </si>
  <si>
    <t>08-02M-1</t>
  </si>
  <si>
    <t>自动卷帘空气过滤器</t>
  </si>
  <si>
    <t>过滤器</t>
  </si>
  <si>
    <t>BXH=1500x2500，P=0.75kw</t>
  </si>
  <si>
    <t>鼓风机房进风井</t>
  </si>
  <si>
    <t>08-03M-1~3</t>
  </si>
  <si>
    <t>电动碟闸</t>
  </si>
  <si>
    <t>DN400，PN=1MPa，P=1.5kw</t>
  </si>
  <si>
    <t>鼓风机出风管</t>
  </si>
  <si>
    <t>08-04M-1~2</t>
  </si>
  <si>
    <t>DN700，PN=1MPa，P=1.5kw</t>
  </si>
  <si>
    <t>08-05M-1</t>
  </si>
  <si>
    <t>电动桥式单梁起重机</t>
  </si>
  <si>
    <t>起重机</t>
  </si>
  <si>
    <t>起重重量5T，跨度S=9.0m，配低净空电动葫芦，电动葫芦起升高度3.5m，起升速度≥2m/min，P=5.0kw，行程20m</t>
  </si>
  <si>
    <t>鼓风机房顶板</t>
  </si>
  <si>
    <t xml:space="preserve">空气 DN450 </t>
  </si>
  <si>
    <t>精确曝气控制系统</t>
  </si>
  <si>
    <t>09 加药间</t>
  </si>
  <si>
    <t>11-05M</t>
  </si>
  <si>
    <t>乙酸钠卸料泵</t>
  </si>
  <si>
    <t>化学内腐蚀离心泵</t>
  </si>
  <si>
    <t>Q=10m3/h，H=10m，N=1.5kW，耐腐蚀离心泵</t>
  </si>
  <si>
    <t>09-01M-1~4</t>
  </si>
  <si>
    <t>乙酸钠投加泵</t>
  </si>
  <si>
    <t>计量泵</t>
  </si>
  <si>
    <t>Q=1000L/h;H=4.2bar;N=0.55kW，材料：塑料</t>
  </si>
  <si>
    <t>乙酸钠加药间</t>
  </si>
  <si>
    <t>2用2备，计量泵，配阻尼器、泄压阀、背压阀、Y型过滤器</t>
  </si>
  <si>
    <t>浮子流量计（信号输出）</t>
  </si>
  <si>
    <t>乙酸钠加药管</t>
  </si>
  <si>
    <t>09-LV01-1~2</t>
  </si>
  <si>
    <t>压力式</t>
  </si>
  <si>
    <t>乙酸钠储池</t>
  </si>
  <si>
    <t>11-01M-1~2</t>
  </si>
  <si>
    <t>次氯酸钠中水消毒投加泵</t>
  </si>
  <si>
    <t xml:space="preserve">Q=0~200L/h H=30m </t>
  </si>
  <si>
    <t>11-02</t>
  </si>
  <si>
    <t>次氯酸钠储药灌</t>
  </si>
  <si>
    <t>PE储罐</t>
  </si>
  <si>
    <t>V=30m3，成品PE罐</t>
  </si>
  <si>
    <t>11-03</t>
  </si>
  <si>
    <t>紧急洗眼器</t>
  </si>
  <si>
    <t>DN32,带喷淋装置，材质：不锈钢</t>
  </si>
  <si>
    <t>11-04M</t>
  </si>
  <si>
    <t>次氯酸钠卸料泵</t>
  </si>
  <si>
    <t>次氯酸钠加药管</t>
  </si>
  <si>
    <t>09-LV04-1~3</t>
  </si>
  <si>
    <t>次氯酸钠储罐</t>
  </si>
  <si>
    <t>11-06M</t>
  </si>
  <si>
    <t>液体PAC卸料泵</t>
  </si>
  <si>
    <t>11-09</t>
  </si>
  <si>
    <t>钢制平台</t>
  </si>
  <si>
    <t>2t</t>
  </si>
  <si>
    <t>投药用</t>
  </si>
  <si>
    <t>09-04M-1~3</t>
  </si>
  <si>
    <t>Q=380L/h;H=6.1bar;N=0.37kW，材料：泵头PVC</t>
  </si>
  <si>
    <t>PAC加药间</t>
  </si>
  <si>
    <t>2用1备，计量泵，配阻尼器、泄压阀、背压阀、Y型过滤器，计入高效沉淀池配套</t>
  </si>
  <si>
    <t>PAC加药管</t>
  </si>
  <si>
    <t>计入高效沉淀池配套</t>
  </si>
  <si>
    <t>09-05M-1~4</t>
  </si>
  <si>
    <t>加药计量控制阀</t>
  </si>
  <si>
    <t>PAC、PAM加药管</t>
  </si>
  <si>
    <t>投药分配用，计入高效沉淀池配套</t>
  </si>
  <si>
    <t>09-LV05-1~2</t>
  </si>
  <si>
    <t>09-06M-1</t>
  </si>
  <si>
    <t>高效沉淀池PAM泡药机</t>
  </si>
  <si>
    <t>制备能力2500l/h，N=5kW</t>
  </si>
  <si>
    <t>PAM加药间</t>
  </si>
  <si>
    <t>09-07M-1~3</t>
  </si>
  <si>
    <t>Q=1500l/h，0.75KW</t>
  </si>
  <si>
    <t>2用1备，计入高效沉淀池配套</t>
  </si>
  <si>
    <t>PAM加药管</t>
  </si>
  <si>
    <t>11-08-1</t>
  </si>
  <si>
    <t>钛芯过滤器</t>
  </si>
  <si>
    <t>中水进水管</t>
  </si>
  <si>
    <t>11-09-1</t>
  </si>
  <si>
    <t>DN32,带喷淋装置，不锈钢</t>
  </si>
  <si>
    <t>10 给排水</t>
  </si>
  <si>
    <t>地下水厂</t>
  </si>
  <si>
    <t>10-1M-1~24</t>
  </si>
  <si>
    <t>潜水排污泵</t>
  </si>
  <si>
    <t>Q=15m3/h，H=15m，P=1.5kw</t>
  </si>
  <si>
    <t>10-2M-1~6</t>
  </si>
  <si>
    <t>液位传感器式液位计</t>
  </si>
  <si>
    <t>H=0-2m</t>
  </si>
  <si>
    <t>10-3M-1~2</t>
  </si>
  <si>
    <t>室内消火栓泵</t>
  </si>
  <si>
    <t>Q=40L/s,H=60m,P=45kw</t>
  </si>
  <si>
    <t>10-4M-1~2</t>
  </si>
  <si>
    <t>自动喷淋泵</t>
  </si>
  <si>
    <t>Q=25L/s，H=33m,P=15kw</t>
  </si>
  <si>
    <t>插入式，H=0-5m</t>
  </si>
  <si>
    <t>屋顶层</t>
  </si>
  <si>
    <t>10-5M-1~2</t>
  </si>
  <si>
    <t>室内消火栓稳压泵</t>
  </si>
  <si>
    <t>Q=1.5L/s，H=18m，P=0.55kw</t>
  </si>
  <si>
    <t>一用一备，配控制柜及气压罐1000-0.6mpa</t>
  </si>
  <si>
    <t>10-6M-1~2</t>
  </si>
  <si>
    <t>自动喷淋稳压泵</t>
  </si>
  <si>
    <t>插入式，H=0-3m</t>
  </si>
  <si>
    <t>高位消防水箱</t>
  </si>
  <si>
    <t>单位工程：电气专业</t>
  </si>
  <si>
    <t>中部水厂</t>
  </si>
  <si>
    <t>洛溪水厂(首期)</t>
  </si>
  <si>
    <t>询价最低价</t>
  </si>
  <si>
    <t>光伏发电</t>
  </si>
  <si>
    <t>31.5KW</t>
  </si>
  <si>
    <t>易事特</t>
  </si>
  <si>
    <t>陈焰明13925004039</t>
  </si>
  <si>
    <t>天合光能</t>
  </si>
  <si>
    <t>马少凯18620931285</t>
  </si>
  <si>
    <t>博燃环保</t>
  </si>
  <si>
    <t>齐春军18923836432</t>
  </si>
  <si>
    <t>电梯</t>
  </si>
  <si>
    <t>载重1350kg，速度1.75m/s</t>
  </si>
  <si>
    <t>部</t>
  </si>
  <si>
    <t>奥的斯</t>
  </si>
  <si>
    <t>王勇13922471918</t>
  </si>
  <si>
    <t>日立</t>
  </si>
  <si>
    <t>陈总13246889088</t>
  </si>
  <si>
    <t>三菱</t>
  </si>
  <si>
    <t>夏林涛13823799205</t>
  </si>
  <si>
    <t>高压柜、直流屏</t>
  </si>
  <si>
    <t>KYN28-12kV,800x1500x2300(WxDxH)</t>
  </si>
  <si>
    <t>颢成电气</t>
  </si>
  <si>
    <t>张总13352866588</t>
  </si>
  <si>
    <t>白云电器</t>
  </si>
  <si>
    <t>江德州15902087618</t>
  </si>
  <si>
    <t>尔安</t>
  </si>
  <si>
    <t>冯总13424037926</t>
  </si>
  <si>
    <t>WxDxH=800x1000x2200mm</t>
  </si>
  <si>
    <t>变压器</t>
  </si>
  <si>
    <t>SCB17-2500kVA,10kV/0.4kV,Uk=6%</t>
  </si>
  <si>
    <t>SCB15-2500kVA,10kV/0.4kV,Uk=6%</t>
  </si>
  <si>
    <t>特变电工</t>
  </si>
  <si>
    <t>魏龙13380043790</t>
  </si>
  <si>
    <t>明珠</t>
  </si>
  <si>
    <t>甘经理13928809635</t>
  </si>
  <si>
    <t>广高高压</t>
  </si>
  <si>
    <t>020-82266589</t>
  </si>
  <si>
    <t>固定式柴油发电机组</t>
  </si>
  <si>
    <t>静音型,长行功率1600kW，自带ATS切换柜</t>
  </si>
  <si>
    <t>进口卡特彼勒</t>
  </si>
  <si>
    <t>张总13041675888</t>
  </si>
  <si>
    <t>进口珀金斯</t>
  </si>
  <si>
    <t>俞经理15985867496</t>
  </si>
  <si>
    <t>进口康明斯</t>
  </si>
  <si>
    <t>施总13802395095</t>
  </si>
  <si>
    <t>成本分析表</t>
  </si>
  <si>
    <t>成本基础数据</t>
  </si>
  <si>
    <t>成本指标</t>
  </si>
  <si>
    <t>日耗用量</t>
  </si>
  <si>
    <t>年耗用量</t>
  </si>
  <si>
    <t>金额</t>
  </si>
  <si>
    <t>单位成本</t>
  </si>
  <si>
    <t>折旧费</t>
  </si>
  <si>
    <t>摊销费</t>
  </si>
  <si>
    <t>修理费</t>
  </si>
  <si>
    <t>电费</t>
  </si>
  <si>
    <t>4.1</t>
  </si>
  <si>
    <t>基本电费</t>
  </si>
  <si>
    <t>23元/KVA.月，5000KVA</t>
  </si>
  <si>
    <t>4.2</t>
  </si>
  <si>
    <t>运行电费</t>
  </si>
  <si>
    <t>度</t>
  </si>
  <si>
    <t>0.6104元/度（工业用电平段价格）</t>
  </si>
  <si>
    <t>药剂费</t>
  </si>
  <si>
    <t>分项计算</t>
  </si>
  <si>
    <t>5.1</t>
  </si>
  <si>
    <t>PAC（10％）</t>
  </si>
  <si>
    <t>T</t>
  </si>
  <si>
    <t>5.2</t>
  </si>
  <si>
    <t>PAM</t>
  </si>
  <si>
    <t>5.3</t>
  </si>
  <si>
    <t>重介质</t>
  </si>
  <si>
    <t>5.4</t>
  </si>
  <si>
    <t>以乙酸钠计</t>
  </si>
  <si>
    <t>5.5</t>
  </si>
  <si>
    <t>次氯酸钠（10％）</t>
  </si>
  <si>
    <t>工资福利费</t>
  </si>
  <si>
    <t>污泥处置费</t>
  </si>
  <si>
    <t>7.1</t>
  </si>
  <si>
    <t>7.2</t>
  </si>
  <si>
    <t>污泥处置</t>
  </si>
  <si>
    <t>水费</t>
  </si>
  <si>
    <t>工业用水3.46元/吨</t>
  </si>
  <si>
    <t>管理费及其它</t>
  </si>
  <si>
    <t>总成本</t>
  </si>
  <si>
    <t>经营成本</t>
  </si>
  <si>
    <t>(10)-(1)-(2)</t>
  </si>
  <si>
    <t>单位总成本</t>
  </si>
  <si>
    <t>单位经营成本</t>
  </si>
  <si>
    <t>单位工程：室外景观绿化给排水设备</t>
  </si>
  <si>
    <t>安装及设备购置费四厂对比表</t>
  </si>
  <si>
    <t>环城北金额</t>
  </si>
  <si>
    <t>洛溪厂（首期）</t>
  </si>
  <si>
    <t>中部大龙水厂金额</t>
  </si>
  <si>
    <t>偏差原因分析</t>
  </si>
  <si>
    <t>首期</t>
  </si>
  <si>
    <t>二期预估</t>
  </si>
  <si>
    <t>总厂</t>
  </si>
  <si>
    <t>污水处理规模（万吨/日）</t>
  </si>
  <si>
    <t>工艺</t>
  </si>
  <si>
    <t>AAO+MBR</t>
  </si>
  <si>
    <t>A/A/O-AO</t>
  </si>
  <si>
    <t>安装专业工程费用</t>
  </si>
  <si>
    <t>(一)</t>
  </si>
  <si>
    <t>南站水厂的甲供设备部分</t>
  </si>
  <si>
    <t>提升泵及配套设备
（首期66%、远期34%）</t>
  </si>
  <si>
    <t>近期4台，远期安装2台</t>
  </si>
  <si>
    <t>内进流格栅除污机及其配套设备
（首期66%、远期34%）</t>
  </si>
  <si>
    <t>膜格栅：洛溪用的品牌都是进口的</t>
  </si>
  <si>
    <t>细格栅近期3台，远期安装1台；膜格栅近期3台，远期安装2台</t>
  </si>
  <si>
    <t>立式搅拌器及配套设备
（首期50%、远期50%）</t>
  </si>
  <si>
    <t>近期5台（4用1库备），远期4台</t>
  </si>
  <si>
    <t>潜水推流器及配套设备
（首期50%、远期50%）</t>
  </si>
  <si>
    <t>MBR膜池工艺系统及配套设备
（首期50%、远期50%）</t>
  </si>
  <si>
    <t>近期1座，远期1座</t>
  </si>
  <si>
    <t>精确曝气系统及配套设备
（首期85%、远期15%）</t>
  </si>
  <si>
    <t>近期4台，远期4台</t>
  </si>
  <si>
    <t>鼓风机及配套设备
（首期50%、远期50%）</t>
  </si>
  <si>
    <t>近期3台（2用1备），远期3台</t>
  </si>
  <si>
    <t>污泥装置设备
（首期66%、远期34%）</t>
  </si>
  <si>
    <t>近期2台，远期1台</t>
  </si>
  <si>
    <t>在线仪表设备
（首期100%）</t>
  </si>
  <si>
    <t>智慧水厂及配套设备
（首期100%）</t>
  </si>
  <si>
    <t>环城北该项金额是为对应南站水厂的范围剥离出来的金额</t>
  </si>
  <si>
    <t>南站水厂的乙供设备部分</t>
  </si>
  <si>
    <t>生物反应池</t>
  </si>
  <si>
    <t>维修车间</t>
  </si>
  <si>
    <t>暖通</t>
  </si>
  <si>
    <t>除臭</t>
  </si>
  <si>
    <t>化验室、维修间设备</t>
  </si>
  <si>
    <t>智慧水厂</t>
  </si>
  <si>
    <t>（三）</t>
  </si>
  <si>
    <t>单位工程：仪表自控专业设备</t>
  </si>
  <si>
    <t>工艺自控系统</t>
  </si>
  <si>
    <t>中控室设备</t>
  </si>
  <si>
    <t>I/O服务器</t>
  </si>
  <si>
    <t>1.名称:I/O服务器
2.规格:1)双路10核芯Xeon Silver 4210(2.20GHz)处理器;3)内存:  64GB ECC DDR4 RDIMM内存,最大支持640GB;
4)硬盘: 4x2.4TB 2.5" SAS(10K rpm)热插拔硬盘,最大支持16块热插拔硬盘,支持组建RAID0/1/1+0/5/7(本工程组建RAID 1+0);
5)I/O插槽: 1个全长PCI-E x16, 4个全长PCI-E x8和2个全长PCI-E x4插槽;
6)网卡: 双口千/百兆自适应工业以太网卡;
7)显示组件: 独立显卡(显存4GB);22"LCD显示器;
8)操作系统: 预装Windows Server 2019 企业版;
9)服务器机柜(合用): 工业标准,2000Hx1000Wx600D(mm),配22"LCD显示器专用托架,1U键盘托架1个;带鼠标键盘及显示器共享器(KVM转换器):PS/2 KVM接口适配器4口,VGA KVM切换口4个,RS485及RS-232 通讯口各2个;
10)其它: 4U机架式服务器;服务器采用工业标准服务器,电源、CPU、内存、I/O控制组件均采用冗余配置,服务器完全采用单机冗余方式;键盘、鼠标一套;16X DVD+/-RW;带通讯接口转换器:RS-485-&gt;PLC现场总线通讯接口;</t>
  </si>
  <si>
    <t>武宝凤
13826219800</t>
  </si>
  <si>
    <t>ABB</t>
  </si>
  <si>
    <t>张勇勤 18736008728</t>
  </si>
  <si>
    <t>监控服务器(组成双机热备服务器)</t>
  </si>
  <si>
    <t>1)双路10核芯Xeon Silver 4210(2.20GHz)处理器;3)内存:  64GB ECC DDR4 RDIMM内存,最大支持640GB;
4)硬盘: 4x2.4TB 2.5" SAS(10K rpm)热插拔硬盘,最大支持16块热插拔硬盘,支持组建RAID0/1/1+0/5/7(本工程组建RAID 1+0);
5)I/O插槽: 1个全长PCI-E x16, 4个全长PCI-E x8和2个全长PCI-E x4插槽;
6)网卡: 双口千/百兆自适应工业以太网卡;
7)显示组件: 独立显卡(显存4GB);22"LCD显示器;
8)操作系统: 预装Windows Server 2019 企业版;
9)服务器机柜(合用): 工业标准,2000Hx1000Wx600D(mm),配22"LCD显示器专用托架,1U键盘托架1个;带鼠标键盘及显示器共享器(KVM转换器):PS/2 KVM接口适配器4口,VGA KVM切换口4个,RS485及RS-232 通讯口各2个;
10)其它: 4U机架式服务器;服务器采用工业标准服务器,电源、CPU、内存、I/O控制组件均采用冗余配置,服务器完全采用单机冗余方式;键盘、鼠标一套;16X DVD+/-RW;带通讯接口转换器:RS-485-&gt;PLC现场总线通讯接口;</t>
  </si>
  <si>
    <t>工业以太网交换机</t>
  </si>
  <si>
    <t>支持工业光纤环以太网(冗余环,全负载状态下自愈时间&lt;20ms);支持VLN功能,支持三层交换,支持流量控制,存储转发,带网管功能</t>
  </si>
  <si>
    <t>不间断电源</t>
  </si>
  <si>
    <t>在线式UPS,输入:380VAC,输出220VAC;10kVA120min备电,功率因数不小于0.98, RS232通讯接口</t>
  </si>
  <si>
    <t>施扬辉
 13459466252</t>
  </si>
  <si>
    <t>张新芬
 13425171172</t>
  </si>
  <si>
    <t>刘经理
 15601761158</t>
  </si>
  <si>
    <t>梅兰日兰</t>
  </si>
  <si>
    <t>大屏幕无缝拼接墙系统(小间距LED拼接显示技术)</t>
  </si>
  <si>
    <t>点间距：5.400(L)*1.920(H)=10.368m2;厚度(mm):≤14.50;  推荐最小观看距离≥3.0m;  视角(水平/垂直) ≥170度;屏幕亮度(cd/m2) ≥1000;  扫描驱动方式:1/32 扫描,恒流驱动;</t>
  </si>
  <si>
    <t>广州市炬诚电子科技</t>
  </si>
  <si>
    <t>雷曼</t>
  </si>
  <si>
    <t>洲明</t>
  </si>
  <si>
    <t>便携式复合气体检测仪</t>
  </si>
  <si>
    <t>可充电锂电池供电,外壳防护等级IP67,防爆: 不低于Exd IIBT6;带RS232及USB接口,带95分贝声音报警(可设置多种报警音频);便携式,背光LCD同时显示各通道的气体浓度值,柱状图形显示电量;-10%%DC~+60%%DC; 工作湿度:≤95%RH,无冷凝(湿度&gt;90%RH);测量范围:H2S: 0-100mg/m3; CH4:0-100%LEL; NH3:0-100ppm; O2: 0-25%VOL;</t>
  </si>
  <si>
    <t>英思科</t>
  </si>
  <si>
    <t>罗斯蒙特</t>
  </si>
  <si>
    <t>霍尼威尔</t>
  </si>
  <si>
    <t>科尔康</t>
  </si>
  <si>
    <t>中控室软件</t>
  </si>
  <si>
    <t>上位机软件狗</t>
  </si>
  <si>
    <t>运行版,无限点,软件与PLC实际硬件的一致</t>
  </si>
  <si>
    <t>开发版+运行版,无限点,软件与PLC实际硬件的一致</t>
  </si>
  <si>
    <t>上位机画面开发</t>
  </si>
  <si>
    <t>已含于工程师站软件内</t>
  </si>
  <si>
    <t>PLC编程软件</t>
  </si>
  <si>
    <t>与PLC硬件系统配套,含编程电缆</t>
  </si>
  <si>
    <t>数据库管理软件</t>
  </si>
  <si>
    <t>SQL SERVER 2016企业版</t>
  </si>
  <si>
    <t>实时历史数据库管理软件</t>
  </si>
  <si>
    <t>Historian实时数据库,用于实时监测数据的记录,60000点授权</t>
  </si>
  <si>
    <t>自控系统二次开发</t>
  </si>
  <si>
    <t>网络电话系统设备</t>
  </si>
  <si>
    <t>网络电话机</t>
  </si>
  <si>
    <t>1) VOIP标准, 壁挂式, 防潮型, RJ45接口,PoE供电,IP65;
2) 支持WAN/LAN口桥模式与路由模式的选择,可以同时接入IP语音和数据业务;
3) 基于SIP标准协议,兼容任何采用SIP标准的IP电话系统;支持全部标准PBX功能; 4) 2路来电显示支
持2个同时并存的呼叫;NAT穿透, 支持STUN方式穿透;</t>
  </si>
  <si>
    <t>鼎信通达</t>
  </si>
  <si>
    <t>陈玉楼
13825193113</t>
  </si>
  <si>
    <t>Alcatel阿尔卡特H2</t>
  </si>
  <si>
    <t>谢海锋18620817000</t>
  </si>
  <si>
    <t>申瓯</t>
  </si>
  <si>
    <t>IP PBX（IP电话网关）</t>
  </si>
  <si>
    <t>1) 用户容量最大容量:300(最大224个本地模拟用户/300个IP用户)
2) 终端类型:模拟话机、IP话机、视频话机
3) 中继接口:提供16路FXO、2E1/T1接口
4) 信令协议:SS7、R2、PRI、QSIG、SIP
5) AC:100V~240V;50Hz/60Hz;
6) 标准19英寸2U机框;
7) 可管理性:支持集中/远程设备管理、信令跟踪、资源管理、告警管理、快速开局</t>
  </si>
  <si>
    <t>星纵</t>
  </si>
  <si>
    <t>三汇</t>
  </si>
  <si>
    <t>IP电话交换软件</t>
  </si>
  <si>
    <t>可通过以太网与外线电话、内部IP电话进行呼叫、通话(含电话话费)</t>
  </si>
  <si>
    <t>松下</t>
  </si>
  <si>
    <t>含于整体设备</t>
  </si>
  <si>
    <t>爱立信</t>
  </si>
  <si>
    <t>地面设备间</t>
  </si>
  <si>
    <t>地面自控室PLC测控站（1PLC站）</t>
  </si>
  <si>
    <t>可编程控制器系统(含冗余CPU模块、冗余电源模块、冗余通讯模块)1) 104xDI,32xDO,4xAI,4xAO,I/O隔离,带电源、信号浪涌保护器;2) 支持工业以太网/Profibus/ControlNet/MB+;带工业以太网、工业现场总线通讯接口(注:污水厂全厂PLC自控设备的工业现场总线通讯接口应统一)及
RS485接口,带相关总线通讯适配器;3) 10.4英寸工业用带背光TFT彩色LCD触摸屏(1024x768像素);4) 配套在线式UPS 220VAC 5kVA 120min不间断电源;5) 含导轨式,24电口(不少于4个PoE口),8光口千兆工业以太网PoE交换机(支持光纤环,网管型),防潮型,IP65。6) 含导轨式,8路,485通信管理机。7) 1套PLC机柜2200Hx800Wx1000D(mm),(含PLC程序及触摸屏组态)。</t>
  </si>
  <si>
    <t>施耐德</t>
  </si>
  <si>
    <t>李越13826163590</t>
  </si>
  <si>
    <t>多通道有毒气体检测仪
(氧气、毒气和可燃气体)</t>
  </si>
  <si>
    <t>1) 控制器电源输入: DC24V%%P10%, 50Hz;电源输出:DC24V%%P10%;2) 报警方式:声、光报警,数字及光柱显示;控制器及每路探测器均带独立声光报警;3) 工作温度:-20%%DC~+55%%DC; 工作湿度:≤95%RH, 不凝露;4) 背光TFT彩色触摸屏,全中文菜单操作; 带温、湿度监测功能；5) 内置防浪涌功能, 有效防止感应雷及浪涌对设备的伤害;6) 功耗:正常及报警不大于7W/路;自带24V后备电源(5小时电量)；7) 壁挂式控制器,8通道,不锈钢外壳,防护等级IP66, 防爆: 不低于Exd IIBT6;8) 输出信号:Modbus协议 RS485工业现场总线;每路探头带2级报警(自定义);9) 支持8路气体检测,气体检测探头输入信号:带RS485工业现场总线长度≥100米；10) 附气体检测探头(均独立, 不锈钢IP67,防爆: 不低于ExdIIBT6;精度%%P1%FS):1# H2S: 0-25mg/m3; 2# CH4: 0-100%LEL; 3#NH3: 0-100ppm;4# O2: 0-25%VOL; 5# 温度: -40%%DC~120%%DC; 6# 湿度: 0%RH~100%RH;</t>
  </si>
  <si>
    <t>预处理区PLC测控站（2PLC站）</t>
  </si>
  <si>
    <t>可编程控制器系统(含冗余CPU模块、冗余电源模块、冗余通讯模块)1) 416xDI,104xDO,32xAI,24xAO,I/O隔离,带电源、信号浪涌保护器;
2) 支持工业以太网/Profibus/ControlNet/MB+;带工业以太网、工业现场总线通讯接口(注:污水厂全厂PLC自控设备的工业现场总线通讯接口应统一)及RS485接口,带相关总线通讯适配器;3) 10.4英寸工业用带背光TFT彩色LCD触摸屏(1024x768像素);4) 配套在线式UPS 220VAC 5kVA 120min不间断电源;5) 含导轨式,16电口(不少于4个PoE口),16光口千兆工业以太网PoE交换机(支持光纤环,网管型),防潮型,IP65。6) 含导轨式,8路,485通信管理机。7) 3套PLC机柜2200Hx800Wx1000D(mm),(含PLC程序及触摸屏组态)。</t>
  </si>
  <si>
    <t>1)24xDI,8xDO,I/O隔离,带电源、信号浪涌保护器。2)支持工业以太网/Profibus/ControlNet/MB+;带工业以太网、工业现场总线通讯接口(注:污水厂全厂PLC自控设备的工业现场总线通讯接口应统一)及RS485接口,带相关总线通讯适配器。3)I/O站机箱800Hx600Wx250D(mm)IP54。</t>
  </si>
  <si>
    <t>1) 绝对液位:0-12m,精度%%P0.5%,分体式,电源AC220V;2) 一对传感器IP68,波束角4%%D,传感器电缆15m/15m;3) 双通道变送器IP65,带立柱式不锈钢保护箱及附件;4) 栅前及栅后液位/液位差/故障状态,工业现场总线通讯+4~20mA模拟量接口;5) LCD现场显示</t>
  </si>
  <si>
    <t>黄13326426530</t>
  </si>
  <si>
    <t>1) DN1200,PN1.0Mpa,0~2m3/s,精度%%P0.5%,电源AC220V;2) 分体式,法兰连接,传感器IP68,聚四氟乙烯衬里,钽电极,带接地环等;3) 变送器IP67,传感器电缆15m,带立柱式不锈钢保护箱及附件;4) 带非满管及空管检测功能:在空管时,可靠零输出并显示和输出报警信号;5) 瞬时值/累计值/故障状态,工业现场总线通讯接口;6) LCD现场显示,带自清洗系统.</t>
  </si>
  <si>
    <t>1) DN1000,PN1.0Mpa,0~2m3/s,精度%%P0.5%,电源AC220V;2) 分体式,法兰连接,传感器IP68,聚四氟乙烯衬里,钽电极,带接地环等;3) 变送器IP67,传感器电缆15m,带立柱式不锈钢保护箱及附件;4) 带非满管及空管检测功能:在空管时,可靠零输出并显示和输出报警信号;5) 瞬时值/累计值/故障状态,工业现场总线通讯接口;6) LCD现场显示,带自清洗系统</t>
  </si>
  <si>
    <t>生化池PLC测控站（3PLC站）</t>
  </si>
  <si>
    <t>可可编程控制器系统(含CPU模块、电源模块、冗余通讯模块)1) 200xDI,64xDO,36xAI,32xAO,I/O隔离,带电源、信号浪涌保护器; 2) 支持工业以太网/Profibus/ControlNet/MB+;带工业以太网、工业现场总线通讯接口(注:污水厂全厂PLC自控设备的工业现场总线通讯接口应统一)及
RS485接口,带相关总线通讯适配器;3) 10.4英寸工业用带背光TFT彩色LCD触摸屏(1024x768像素);4) 配套在线式UPS 220VAC 5kVA 120min不间断电源;5) 含导轨式,24电口(不少于4个PoE口),8光口千兆工业以太网PoE交换机(支持光纤环,网管型),防潮型,IP65。6) 含导轨式,8路,485通信管理机。7) 2套PLC机柜2200Hx800Wx1000D(mm),(含PLC程序及触摸屏组态)。</t>
  </si>
  <si>
    <t>Emerson(GE)</t>
  </si>
  <si>
    <t>厂家不配合报价</t>
  </si>
  <si>
    <t>MISS在线检测仪</t>
  </si>
  <si>
    <t>1) 0-10g/l,精度%%P1%,电源AC220V;
2) 浸入式传感器IP68,带悬挂支架,传感器电缆15m;
3) 变送器IP66,带立柱式不锈钢保护箱及附件;
4) MLSS值/故障状态,工业现场总线通讯接口;
5) 在线式检测仪表,LCD现场显示</t>
  </si>
  <si>
    <t>HACH</t>
  </si>
  <si>
    <t>廖昌平
18218221882</t>
  </si>
  <si>
    <t>DO在线检测仪</t>
  </si>
  <si>
    <t>1) DO:0~10mg/L,精度%%P1%,荧光法,电源AC220V;2) 浸入式传感器IP68,带悬挂支架,传感器电缆15;3) 变送器IP66,带立柱式不锈钢保护箱及附件;4) DO值/故障状态,工业现场总线通讯接口;5) 在线式检测仪表,LCD现场显示,自动清洗装置</t>
  </si>
  <si>
    <t>OPR在线分析仪</t>
  </si>
  <si>
    <t>1) ORP:-1500~1500mv,精度%%P1mv,电源AC220V;2) 数字差分浸入式传感器IP68,带悬挂支架,传感器电缆8m;3) 变送器IP66,带立柱式不锈钢保护箱及附件;4) ORP/故障状态,Modbus工业现场总线通讯接口;5) LCD现场显示,自动清洗装置</t>
  </si>
  <si>
    <t>氨氮检测仪</t>
  </si>
  <si>
    <t>1) 0-30mg/l, 精度%%P5%,离子选择电极法,电源AC220V;2) 混合水样测量,带采样水泵(20m扬程)及预处理取样系统(250ml/h);3) 预处理取样系统及分析仪表带不锈钢IP54保护柜及附件,含悬挂支架;4) 采样及预处理装置至分析仪表的电缆及采样管道各30m;5) NH3N值/故障状态,工业现场总线通讯接口;6) 在线式检测仪表,LCD现场显示,带自清洗装置;自动标样核查功能模块;</t>
  </si>
  <si>
    <t>1) 0-10m,精度%%P0.5%,分体式,电源AC220V;2) 传感器IP68,波束角8%%D,传感器电缆15m;3) 变送器IP65,带立柱式不锈钢保护箱及附件;4) 液位/故障状态,工业现场总线通讯+4~20mA模拟量接口;5) LCD现场显示</t>
  </si>
  <si>
    <t>放空泵房PLC测控站（5PLC站）</t>
  </si>
  <si>
    <t>可编程控制器系统(含CPU模块、电源模块、冗余通讯模块)1) 72xDI,32xDO,16xAI,12xAO,I/O隔离,带电源、信号浪涌保护器;2) 支持工业以太网/Profibus/ControlNet/MB+;带工业以太网、工业现场总线通讯接口(注:污水厂全厂PLC自控设备的工业现场总线通讯接口应统一)及RS485接口,带相关总线通讯适配器;3) 10.4英寸工业用带背光TFT彩色LCD触摸屏(1024x768像素);4) 配套在线式UPS 220VAC 5kVA 120min不间断电源;5) 含导轨式,24电口(不少于4个PoE口),8光口千兆工业以太网PoE交换机(支持光纤环,网管型),防潮型,IP65。6) 含导轨式,8路,485通信管理机。7) 1套PLC机柜2200Hx800Wx1000D(mm),(含PLC程序及触摸屏组态)。</t>
  </si>
  <si>
    <t>1) 0.35-10m,精度%%P0.5%,分体式,电源AC220V;2) 传感器IP68,波束角8%%D,传感器电缆15m;3) 变送器IP65,带立柱式不锈钢保护箱及附件;4) 液位/故障状态,工业现场总线通讯+4~20mA模拟量接口;5) LCD现场显示</t>
  </si>
  <si>
    <t>投入静压液位计</t>
  </si>
  <si>
    <t>1) 0-5m,精度%%P0.3%,分体式,电源AC220V;2) 适合于废/污水测量的陶瓷测量传感器探头IP68,传感器电缆(氟化乙烯丙烯绝缘)及电缆套管35m;传感器套管:PPS(聚亚苯基) 热缩套管/盖:聚烯烃;3) 密封的电子电路和双过滤器压力补偿抗气候变化,输出信号具有集成过压保护;4) 含配套固定夹及G1 1/2 A螺纹的加长电缆固定螺丝;5) 变送器IP65,带立柱式不锈钢保护箱及附件;探头含定制不锈钢探头保护笼;6) 液位/故障状态,工业现场总线通讯接口;7) LCD现场显示</t>
  </si>
  <si>
    <t>中水泵房</t>
  </si>
  <si>
    <t>中水泵房PLC测控站（6PLC站）</t>
  </si>
  <si>
    <t>可编程控制器系统(含CPU模块、电源模块、冗余通讯模块)1) 144xDI,48xDO,8xAI,8xAO,I/O隔离,带电源、信号浪涌保护器;2) 支持工业以太网/Profibus/ControlNet/MB+;带工业以太网、工业现场总线通讯接口(注:污水厂全厂PLC自控设备的工业现场总线通讯接口应统一)及RS485接口,带相关总线通讯适配器;3) 10.4英寸工业用带背光TFT彩色LCD触摸屏(1024x768像素);4) 在线式UPS 220VAC 5kVA 60min备电;5) 含导轨式,24电口(不少于4个PoE口),8光口千兆工业以太网PoE交换机(支持光纤环,网管型),防潮型,IP65。6) 含导轨式,8路,485通信管理机。7) 2套PLC机柜2200Hx800Wx1000D(mm),(含PLC程序及触摸屏组态)。</t>
  </si>
  <si>
    <t>1) DN200,PN1.0Mpa,0~20m3/h,精度%%P0.5%,电源AC220V;2) 分体式,法兰连接,传感器IP68,聚四氟乙烯衬里,钽电极,带接地环等;3) 变送器IP67,传感器电缆15m,带立柱式不锈钢保护箱及附件;4) 带非满管及空管检测功能:在空管时,可靠零输出并显示和输出报警信号;5) 瞬时值/累计值/故障状态,工业现场总线通讯接口;6) LCD现场显示,带自清洗系统</t>
  </si>
  <si>
    <t>1) DN300,PN1.0Mpa,0~30m3/h,精度%%P0.5%,电源AC220V;2) 分体式,法兰连接,传感器IP68,聚四氟乙烯衬里,钽电极,带接地环等;3) 变送器IP67,传感器电缆15m,带立柱式不锈钢保护箱及附件;4) 带非满管及空管检测功能:在空管时,可靠零输出并显示和输出报警信号;5) 瞬时值/累计值/故障状态,工业现场总线通讯接口;6) LCD现场显示,带自清洗系统</t>
  </si>
  <si>
    <t>1) DN50,PN1.0Mpa,0~5m3/h,精度%%P0.5%,电源AC220V;2) 分体式,法兰连接,传感器IP68,聚四氟乙烯衬里,钽电极,带接地环等;3) 变送器IP67,传感器电缆15m,带立柱式不锈钢保护箱及附件;4) 带非满管及空管检测功能:在空管时,可靠零输出并显示和输出报警信号;5) 瞬时值/累计值/故障状态,工业现场总线通讯接口;6) LCD现场显示,带自清洗系统</t>
  </si>
  <si>
    <t>进水在线监测系统</t>
  </si>
  <si>
    <t>水质自动采样器</t>
  </si>
  <si>
    <t>1) 全天候型,恒温控制;2) 吸液高度/距离/体积:8米/30米/20~200ml;3) 流量值/故障状态,RS485工业现场总线通讯接口;4) 远控或定时或按污水流量等比例自动采样;5) 满足国家标准HJ 353-2019的要求;带不锈钢保护柜IP54及附件;6) 具有采集瞬时水样及混合水样,混匀及暂存水样、自动润洁及排空混匀桶,以及留样功能;7) 采样方式:瞬时采样、分时混合采样、等比例混合采样;8) 供样方式:双桶轮换( A、B桶);混合方式:空气混合;
9) 人机界面:7寸触摸屏,TFT 液晶显示,真彩(LED 背光),分辨率:800x480正面防护等级IP65;10) 电源: 220VAC  10%@50 Hz; 环境温度: 5~45℃; 环境湿度:10 ~90%;11) 提供实时数据、历史报表、历史曲线、设置系统的相关参数。RS485工业现场总线通讯接口;12) 满足国家标准HJ 353-2019的要求; 带不锈钢保护柜IP54及附件;</t>
  </si>
  <si>
    <t>E+H
（格雷斯普）</t>
  </si>
  <si>
    <t>HOTEC</t>
  </si>
  <si>
    <t>环保数据采集传输仪</t>
  </si>
  <si>
    <t>1) 满足规范HJ353-2019及HJ 212-2017的一切要求;2) 可协调统一运行水污染源在线监测系统,采集、储存、显示监测数据及运行日志,向监控中心平台上传污染源监测数据;3) 可控制水质自动采样单元采样、送样及留样等操作;4) 可触发水污染源在线监测仪器进行测量、标液核查和校准等操作。5) 可读取各个水污染源在线监测仪器的测量数据,并实现实时数据、小时均值和日均值等项目的查询与显示,并通过数据采集传输仪上传至监控中心平台。6) 记录并上传的污染源监测数据,上报数据应带有时间和数据状态标识7) 数据控制单元可生成、显示各水污染源在线监测仪器监测数据的日、月、年统计表;8) 配置备用电源,在断电时数据采集传输仪可继续工作6h以上;9) 数据采集传输仪平均无故障连续运行时问应不小于17000h;10) 输入、输出端口应各有不少于2路冗余作为备用端口;11) 支持GPRS/3G/4G无线及以太网有线网络传输,8路RS485,支持多中心传送;12) 10英寸及以上TFT液晶触摸屏:13) 满足管理部门及当地环保门的一切技术要求;</t>
  </si>
  <si>
    <t>化一（原博控）</t>
  </si>
  <si>
    <t>E+H
（博控）</t>
  </si>
  <si>
    <t>出水在线监测系统</t>
  </si>
  <si>
    <t>预处理、控制单元及自动采样器</t>
  </si>
  <si>
    <t>E+H
（伊创ETI，格雷斯普）</t>
  </si>
  <si>
    <t>十四</t>
  </si>
  <si>
    <t>网络安全防护系统</t>
  </si>
  <si>
    <t>工业防火墙</t>
  </si>
  <si>
    <t>(1) 工业防火墙,DIN35导轨式,DC24V直流工业冗余电源; IP40;(2) 产品硬件应采用工业级芯片、无风扇、电源冗余、重负荷铝合金全封闭设计。(3) 标配4个10/100/1000Mbps自适应业务端口(支持2路ByPass)及4个1000LX单模
SC/LC口光纤接口,1个带外RJ45管理端口;(4) 运行模式及部署方式:支持透明模式/路由模式/混合模式/路由部署模式;(5) 系统功能:支持工控协议的深度解析不少于20种(包括但不限于OPC, Modbus TCP,ModbusUDP,Ethernet/IP(CIP),Profinet等;(6) 支持白名单自学习,内置工控威胁漏洞库,工控基础防火墙功能,VPN,NAT等;(7) 在线保护时延&lt;100us; 整机吞吐量≥900Mbps;最大并发连接数(TCP)≥100000;每秒新建连接数(TCP)≥5000;(8) 支持策略安全事件(包括黑名单、白名单、IPMAC、会话连接事件)、规约告警事件、系统事件告警或记录。(9) 具有公安部计算机信息系统安全专用产品销售许可证及公安部认证;(10) 满足《信息安全技术网络安全等级保护基本要求》GB/T 22239不低于二级要求</t>
  </si>
  <si>
    <t>威努特</t>
  </si>
  <si>
    <t>北京安盟华御</t>
  </si>
  <si>
    <t>王辰涛
13331007849</t>
  </si>
  <si>
    <t>北京神州慧安科技有限公司</t>
  </si>
  <si>
    <t>深信服科技</t>
  </si>
  <si>
    <t>工控入侵检测系统</t>
  </si>
  <si>
    <t>(1) DIN35导轨式,DC24V直流工业冗余电源,4个10/100/1000Mbps自适应电口及4个1000LX单模SC/LC口光纤接口,1个带外RJ45管理端口; IP40;(2) 对网络数据、事件进行实时监测、实时告警、快速识别出系统中存在的非法操作、异常事件及外部攻击。工控网络异常数据或行为识别与检测,工控通讯协议指令级检测与审计,流量日志、攻击日志,白名单自学习,数据留存等功能。(3) 支持无流量监测功能,对指定IP,指定工控协议(比如opcda,iec104等)进行持续监控,一旦出现异常,进行持续报警,直到异常恢复(4) 支持工控协议的深度解析不少于20种(包括但不限于OPC, Modbus TCP,ModbusUDP,Ethernet/IP(CIP),Profinet等;(5) 内置超过1200种公开漏洞库中的漏洞,包含工控设备漏洞、工控系统组态软件漏洞、监控软件、操作系统、应用软件漏洞等,并支持模板方式导入对规则库进行扩展。(6) 具有公安部计算机信息系统安全专用产品销售许可证及公安部认证;(7) 满足《信息安全技术网络安全等级保护基本要求》GB/T22239不低于二级要求</t>
  </si>
  <si>
    <t>集中安全管理系统</t>
  </si>
  <si>
    <t>(1) 标准1U机箱,包括1个10/100/1000M速率RJ45MGMT管理端口,4个10/100/1000M速率RJ45业务端口,2个USB 2.0端口,1个EXT扩展口,1个RJ45Console管理端口。(2) 最多管理100台安全设备,可以管理工业卫士。网络安全设备统一管理、配置、安全策略统一部署,设备状态监控,监测网络的通信流量与安全事件。监控工业卫士状态,对内网设备接入进行管控,统一收集与下发工业卫士白名单。(3) 系统功能:设备状态监视、设备发现、报警分析、安全设备管理、安全策略管理、安全审计日志、用户管理等功能。(4) 支持通过开放的网络协议,接收或吐给第三方设备日志;支持批量安全策略收集和配置;支持基于网络资产的风险关联性分析,从风险阶段、访问关系、服务端口、资产记录等多个角度识别风险。(5) 支持对系统中所有原始数据进行按需备份,并可对备份文件内容进行统计及查看;(6) 满足《信息安全技术网络安全等级保护基本要求》GB/T22239不低于二级要求;</t>
  </si>
  <si>
    <t>堡垒机</t>
  </si>
  <si>
    <t>(1)6个千兆电口,1T硬盘,1U机箱,冗余电源。包含100个被管理对象许可;(2)功能包括:用户认证、密码代填、密码代维、访问授权、操作审计、账号管理、认证管理、授权管理、操作管理、单点登陆等功能;(3)密钥登录模式:通过堡垒机生成密钥,下载后放置服务器内,实现单点直接输入账号即可登录操作;(4)支持联动手机Google身份验证动态码,实现双因素认证;可联动自带证书和身份验证动态码结合实现多因素认证;(5)系统支持短信授权申请、审批操作;(6)自动学习模式:可自动学习资产;对学习到的资产可以导入到资产列表中,并可根据导入的资产列表进行详情的编辑;(7)windows的改密至少可以通过ssh、agent、telnet、AD域数字证书这四种方式实现。支持以邮件、FTP上传的方式通知管理员;(8)支持以html、Excel、txt、word、csv、pdf方式输出;(9)具有公安部计算机信息系统安全专用产品销售许可证;(10) 满足《信息安全技术网络安全等级保护基本要求》GB/T22239不低于二级要求。</t>
  </si>
  <si>
    <t>漏洞扫描系统</t>
  </si>
  <si>
    <t>(1)不低于《信息安全技术网络安全等级保护基本要求》GB/T22239二级要求;(2)2U机架设备,1T硬盘,8G内存,6个100/1000M电口,1个RJ45串口,2个USB口,单电源;(3)支持系统漏洞扫描,系统漏洞知识库大于28万条,能够检测各种主流操作系统、应用服务、数据库、网络设备、工控设备等漏洞,支持恶意代码检测、补丁联动。(4)支持WEB网站漏洞扫描,支持敏感关键字检测、网马和暗链检测、网站钓鱼检测,支持Cookie认证、会话录制、漏洞验证等。(5)支持工控漏洞扫描(加强版),支持无损的工控漏洞扫描技术,漏洞知识库数量大于120000条,其中工控专有的漏洞知识库数量大于3000条。(6)支持弱口令扫描,支持SSH、TELNET、SMB、RDP、FTP、POP3、SMTP、SNMP、REDIS、ORACLE、MSSQL、MYSQL、RTSP、SIP、S7-300、VNC等20多种协议。(7)支持恶意代码检测,支持木马后门的离线检查,支持网站恶意代码的离线检查。支持空间资产探测管理,能够全面发现网络中的存活主机、网络设备、数据库,能够自动生成网络拓扑,也可以后期人工修改。(8)支持脆弱性大屏展示,支持通过大屏展示各类漏洞地理分布情况,资产统计,漏洞统计,最新漏洞,风险趋势等。(9)支持在线升级、本地升级、定时升级,每周至少升级一次。报表格式包括:HTML、DOC、PDF、XML等。(10)支持多用户多任务并发扫描。单任务可扫描IP数不少于8192个IP地址,允许最大并发扫描≥100个IP地址,允许最大并发任务≥10个任务。总可扫描IP数量无限制。总可扫描网站数量无限制。</t>
  </si>
  <si>
    <t>日志审计</t>
  </si>
  <si>
    <t>(1)6个千兆电口,2个扩展插槽,1T硬盘,2U机箱,冗余电源;(2)标配综合日志采集模块、数据统计分析模块、异常告警模块、资产管理模块、知识库管理模块等;(3)支持控制采集时间、采集级别、采集范围、采集路径、采集名称、采集文件、多文件采集、采集编码格式、采集正则表达式、自定义采集等;(4)提供可视化关联分析规则编辑视图,可根据实际业务编辑关联分析规则,关联内容支持不少于资产、源地址、源端口、目的地址、目的端口、事件级别、原始日志、关键词等信息;(5)支持实时日志查看,可选择任意时间节点进行查看全部日志或符合时间节点重要事件,无需进行二次查询;(6)支持在告警信息页面,点击统计图,以环形图形式对告警类型进行统计;(7)支持采集网络流量,解析协议不少于ICMP、AMQP、Cassandra、DNS、HTTP、Memcache、MySQL、PgSQL、TNS、Redis、Thrift、MongoDB、NFS、TDS、Sybase、Drda、Dameng、POP、SMTP、达梦等;(8)具有公安部计算机信息系统安全专用产品销售许可证;(9) 满足《信息安全技术网络安全等级保护基本要求》GB/T22239不低于二级要求。</t>
  </si>
  <si>
    <t>工控安全审计系统</t>
  </si>
  <si>
    <t>(1) DIN35导轨式,DC24V直流工业冗余电源; IP40;(2) 产品硬件应采用工业级芯片、无风扇、电源冗余、重负荷铝合金全封闭设计;(3) 4个10/100/1000M速率RJ45业务端口,4个100/1000M速率的SFP业务端口及4个1000LX单模SC/LC口光纤接口,支持电口/光口网络接口扩展。(3) 工控网络异常数据或行为识别与检测,工控通讯协议指令级检测与审计,流量日志、攻击日志,白名单自学习,数据留存等功能;网络安全日志留存时长不少于六个月;(4) 支持对网络数据报文基于IP地址,协议,端口号等元素的会话安全审计;(5) 支持工控协议的深度解析不少于20种(包括但不限于OPC, Modbus TCP,ModbusUDP,Ethernet/IP(CIP),Profinet等;(6) 支持基于机器学习方式自动记录并梳理工控协议中的操作行为规律,并通过这些行为和规则逐步形成白名单防护规则,支持规则的处理动作批量配置。(7) 具有公安部计算机信息系统安全专用产品销售许可证及公安部认证;(8) 满足《信息安全技术网络安全等级保护基本要求》GB/T 22239不低于二级要求</t>
  </si>
  <si>
    <t>安全卫士软件</t>
  </si>
  <si>
    <t>(1) 支持Windows操作系统,含Windows Server2008/2012/2016/2019;Windows XP/7/8/8.1/10操作系统(32位及64位)以及window7嵌入式;(2) 支持对系统进行一键固化操作,自动生成白名单库;支持安装即固化功能(3) 支持在启用白名单防护前提下对Windows中软件更新平台的自动更新软件;支持在启用白名单防护前提下对Windows下信任软件库中软件的安装和更新;(4) 支持安全专用U盘的注册、认证、授权,支持读写权限管理(5) 支持单机部署和网络部署;支持对特定注册表进行防篡改保护、支持对关键业务进程进行防杀保护、支持对操作系统的审核策略、安全选项等进行统一的设置;(6) 具有公安部计算机信息系统安全专用产品销售许可证及公安部认证;(7) 满足《信息安全技术网络安全等级保护基本要求》GB/T 22239不低于二级要求</t>
  </si>
  <si>
    <t>数据库审计</t>
  </si>
  <si>
    <t>(1)满足《信息安全技术网络安全等级保护基本要求》GB/T 22239不低于二级要求;(2)通过SQL语句合并归类实现对数据库语句共性的抽取,提升查询效率,节省存储空间,提供权威机构认可的原理说明;(3)支持与物理设备面板一一对应的网卡模拟展示,可根据实际连线情况实时展示网卡当前状态,包含光/电口识别、网卡连通、数据收发、网卡信息等状态,并以水量方式展示网卡当前负载,且支持面板与表格模式切换。(4)支持在IPV6环境下部署和管理,且支持在纯IPV4环境、纯IPV6环境及IPV4与IPV6混杂环境下对数据库操作行为进行审计,同时产品自身支持以IPV6方式进行管理(5)支持语句大小为30MB内的超长语句的审计与展示,页面不仅展示超长语句全文,还可统计出语句大小。(6)系统支持自定义查询条件和查询结果展示列,并自动记录最近5次的查询条件及内容,方便后续查询。同时,系统根据用户帐号记忆自定义设置,不同用户打开页面时自动加载用户自定义设置.(7)支持对高危报表元素进行二次编辑,使之产生更精确的报表,以图表方式展示各个字段,包括源IP、目标IP、SQL模板、操作方式、操作对象、规则编号、应用程序名的统计情况.(8)具有公安部计算机信息系统安全专用产品销售许可证;</t>
  </si>
  <si>
    <t>十五</t>
  </si>
  <si>
    <t>车辆识别系统设备</t>
  </si>
  <si>
    <t>车牌识别摄像机</t>
  </si>
  <si>
    <t>带语音显示屏(内置网络接口模块及总线电源)</t>
  </si>
  <si>
    <t>安快</t>
  </si>
  <si>
    <t>叶启灿13827442891</t>
  </si>
  <si>
    <t>捷顺</t>
  </si>
  <si>
    <t>周先生
15279083620</t>
  </si>
  <si>
    <t>红门</t>
  </si>
  <si>
    <t>富士</t>
  </si>
  <si>
    <t>高速自动闸机</t>
  </si>
  <si>
    <t>内置出入口控制器、网络接口模块及总线电源</t>
  </si>
  <si>
    <t>地感线圈</t>
  </si>
  <si>
    <t>无线遥控器</t>
  </si>
  <si>
    <t>用于遥控高速自动闸门机</t>
  </si>
  <si>
    <t>手动控制按钮</t>
  </si>
  <si>
    <t>车辆管理控制器</t>
  </si>
  <si>
    <t>门卫室管理工作站</t>
  </si>
  <si>
    <t>配套车辆识别系统软件及开发包</t>
  </si>
  <si>
    <t>8口交换机(2单模光口),IP65不锈钢立柱式保护箱</t>
  </si>
  <si>
    <t>减速带</t>
  </si>
  <si>
    <t>安全岛</t>
  </si>
  <si>
    <t>6000*600*200mm</t>
  </si>
  <si>
    <t>防撞立柱</t>
  </si>
  <si>
    <t>车辆识别系统软件</t>
  </si>
  <si>
    <t>车辆识别管理系统</t>
  </si>
  <si>
    <t>出入口控制及车辆管理平台集成设计</t>
  </si>
  <si>
    <t>综</t>
  </si>
  <si>
    <t>十七</t>
  </si>
  <si>
    <t>视频监控系统</t>
  </si>
  <si>
    <t>一体化彩色球形摄像机</t>
  </si>
  <si>
    <t>1) 一体化网络变速IP球机,1/1.8"CMOS,0.002Lux;支持PTZ控制;日夜全彩;
2) 白光功能:照射距离80m,具有逆光补偿和白平衡功能,轨迹巡航;配套视频监控软件
3) 4.7-110mm电动变焦镜头,23倍光学变焦,执行机构可360°水平无级旋转,垂直扫描角度15°~90°,视场角57.6°(远)~2.7°(近),音频监听、智能巡航、联动跟踪;
4) 内置数字运动图像检测器; 人脸识别; 动态追踪;动态录像;声光报警;深度学习硬件算法;人车精准分类侦测;异常报警及报警信息推送;符合GB/T17626.2/3/4/6四级标准
5) 含解码器、视频驱动光圈及视频、电源、控制信号浪涌保护器;
6) RJ45接口,支持H.265/H.264/MJPEG,分辨率2560x1440(60Hz:30fps)
7) 含安装支架及IP66保护壳,安装高度不低于3.5米;
8) 含灯光、报警、门磁联动辅助输入/输出节点模块数量:2/2;位置联动预设</t>
  </si>
  <si>
    <t>海康威视</t>
  </si>
  <si>
    <t>浙江大华</t>
  </si>
  <si>
    <t>美电贝尔</t>
  </si>
  <si>
    <t>一体化彩色球形摄像机(防爆)</t>
  </si>
  <si>
    <t>1) 一体化网络变速IP球机,1/1.8"CMOS,0.002Lux;支持PTZ控制;日夜全彩;
2) 白光功能:照射距离80m,具有逆光补偿和白平衡功能,轨迹巡航;配套视频监控软件
3) 4.7-110mm电动变焦镜头,23倍光学变焦,执行机构可360°水平无级旋转,垂直扫描角度15°~90°,视场角57.6°(远)~2.7°(近),音频监听、智能巡航、联动跟踪;
4) 内置数字运动图像检测器; 人脸识别; 动态追踪;动态录像;声光报警;深度学习硬件算法;人车精准分类侦测;异常报警及报警信息推送;符合GB/T17626.2/3/4/6四级标准
5) 含解码器、视频驱动光圈及视频、电源、控制信号浪涌保护器;
6) RJ45接口,支持H.265/H.264/MJPEG,分辨率2560x1440(60Hz:30fps)
7) 防爆等级不低于Exd IICT6及ExtD A21 T80°C ,含安装支架及IP66保护壳;
8) 含灯光、报警、门磁联动辅助输入/输出节点模块数量:2/2;位置联动预设</t>
  </si>
  <si>
    <t>1)一体化网络变速IP球机,1/1.8"CMOS, 0.002Lux;支持PTZ控制;日夜全彩;
2) 白光功能:照射距离80m,具有逆光补偿和白平衡功能,轨迹巡航;配套视频监控软件
3) 3-90mm 电动变焦镜头,30倍光学变焦,执行机构可360°水平无级旋转,垂直扫描角度-15°~90°,视场角57.6°(远)~2.7°(近),音频监听、智能巡航、联动跟踪;
4) 内置数字运动图像检测器; 人脸识别; 动态追踪;声光报警;深度学习硬件算法;人车精准分类侦测;异常报警及报警信息推送;符合GB/T17626.2/3/4/6四级标准;
5) 含解码器、视频驱动光圈及视频、电源、控制信号浪涌保护器; 音频输入输出;
6) RJ45接口,支持H.265/H.264/MJPEG,分辨率2560x1440(60Hz:30fps)
7) 遮阳罩,3.5米立柱/挂墙支架,雨刮,避雷针,含安装支架及IP66保护壳;
8) 含灯光、报警、门磁联动辅助输入/输出节点模块数量:2/2;位置联动预设</t>
  </si>
  <si>
    <t>一体化彩色摄像枪机</t>
  </si>
  <si>
    <t>1) 一体化网络枪机,1/1.8"CMOS, 0.002Lux;支持PTZ控制;日夜全彩;
2) 白光功能:照射距离80m,具有逆光补偿和白平衡功能,轨迹巡航;配套视频监控软件
3) 4.7-110mm电动变焦镜头,23倍光学变焦,视场角57.6°(远)~2.7°(近),音频监听;
4) 内置数字运动图像检测器; 人脸识别; 声光报警;深度学习硬件算法;人车精准分类侦测;异常报警及报警信息推送;符合GB/T17626.2/3/4/6四级标准
5) 含解码器、视频驱动光圈及视频、电源、控制信号浪涌保护器;
6) RJ45接口,支持H.265/H.264/MJPEG,分辨率2560x1440(60Hz:30fps)
7) 含安装支架及IP66保护壳,安装高度不低于3.5米;
8) 含灯光、报警输入/输出节点模块数量:2/2;</t>
  </si>
  <si>
    <t>1) 一体化网络枪机,1/1.8"CMOS, 0.002Lux;支持PTZ控制;日夜全彩;
2) 白光功能:照射距离80m,具有逆光补偿和白平衡功能,轨迹巡航;配套视频监控软件
3) 4.7-110mm电动变焦镜头,23倍光学变焦,视场角57.6°(远)~2.7°(近),音频监听;
4) 内置数字运动图像检测器; 人脸识别; 声光报警;深度学习硬件算法;人车精准分类侦测;异常报警及报警信息推送;符合GB/T17626.2/3/4/6四级标准
5) 含解码器、视频驱动光圈及视频、电源、控制信号浪涌保护器;
6) RJ45接口,支持H.265/H.264/MJPEG,分辨率2560x1440(60Hz:30fps)
7) 遮阳罩,3.5米立柱/挂墙支架,雨刮,避雷针,含安装支架及IP66保护壳;
8) 含灯光、报警输入/输出节点模块数量:2/2;</t>
  </si>
  <si>
    <t>网络数字型硬盘录像机</t>
  </si>
  <si>
    <t>1) 支持32路网络视频接入,网络视频接入带宽768Mbps,2路HDMI输出(4K分辨率),7英寸液晶触控显示屏;
2) 录像分辨率12MP/8MP/7MP/6MP/5MP/4MP/3MP/1080p/UXGA/720p/VGA/4CIF/2CIF/CIF/QCIF,支持16路同步回放;
3) 12盘位硬盘驱动器,12个SATA接口10TB硬盘(SATA6Gb/s 128M缓存);
4) 4个RJ45 10M/100M/1000M自适应以太网口;1个标准RS-485串行接口;
5) 报警输入:16路;报警输出:8路;
6) 解码格式:H.265、H.264、MPEG4
7) 网络协议:UPnP、SNMP、NTP、SADP、SMTP、NFS、PPPoE、DHCP等;
8) 电源:AC100V~240V,支持单电、冗余电源两种配置;4U标准机架,不死机,断电来电后自动恢复;
9) 工作温度:0°C~+50°C; 工作湿度:10%~90%;</t>
  </si>
  <si>
    <t>1) 支持64路网络视频入,网络视频接入带宽768Mbps,2路HDMI输出(4K分辨率),7英寸液晶触控显示屏;
2) 录像分辨率12MP/8MP/7MP/6MP/5MP/4MP/3MP/1080p/UXGA/720p/VGA/4CIF/2CIF/CIF/QCIF,支持16路同步回放;
3) 24盘位硬盘驱动器,24个SATA接口10TB硬盘(SATA6Gb/s 128M缓存);
4) 4个RJ45 10M/100M/1000M自适应以太网口;1个标准RS-485串行接口;
5) 报警输入:16路;报警输出:8路;
6) 解码格式:H.265、H.264、MPEG4
7) 网络协议:UPnP、SNMP、NTP、SADP、SMTP、NFS、PPPoE、DHCP等;
8) 电源:AC100V~240V,支持单电、冗余电源两种配置;4U标准机架,不死机,断电来电后自动恢复;
9) 工作温度:0°C~+50°C; 工作湿度:10%~90%;</t>
  </si>
  <si>
    <t>网络视频机架式解码器</t>
  </si>
  <si>
    <t>1) 提供不少于128路视频输出(BNC接口),128路VGA(DVI/HDMI)视频输出实时MPEG4编码,将以太网上多媒体数据流转换为模拟/数字视频信号;
2) 冗余电源设计,具有掉电保护,上电自动恢复功能;3U标准机箱,19"标准机架
3) 提供10/100 /1000Base-T自适应 RJ45接口及RS232/485接口;
4) 支持TCP/IP,RTP/RCP,HTTP,SNMP,UDP等协议;
5) 提供配套的授权不少于128点的网络视频监控/录像软件供客户机使用。</t>
  </si>
  <si>
    <t>视频光纤收发器</t>
  </si>
  <si>
    <t>1) 光纤接口:1个FC接口;发送器、接收器各一套
2) 光纤类型:单模单纤,9/125um,传输距离:0~20kM;
3) 输出Tx/输入Rx 波长:1310nm/1550nm;
4) 网络接口:2个RJ45,10/100BaseT(x);
5) 标准: IEEE802.3,802.3u,802.3x;交换容量:1.2Gbps;
6) LED指示灯:OPT光纤链路指示灯,PWR电源指示灯;
7) 操作温度:-30~70°C; 存储温度:-40~85° C;
8) IP40外壳金属材质,无风扇;</t>
  </si>
  <si>
    <t>对</t>
  </si>
  <si>
    <t>导轨式,RJ45接口:10/100/1000Base-TX自适应口x32;
光纤接口:1000LX单模SC/LC口x4,100LX单模SC/LC口x8;
规格:IP40,防潮型,支持基于国际标准IEC62439-6的环网协议,支持VLAN功能,支持流量控制,存储转发,带网管功能;</t>
  </si>
  <si>
    <t>导轨式,RJ45接口:10/100/1000Base-TX自适应口x16;
光纤接口:1000LX单模SC/LC口x4,100LX单模SC/LC口x8;
规格:IP40,防潮型,支持基于国际标准IEC62439-6的环网协议,支持VLAN功能,支持流量控制,存储转发,带网管功能;</t>
  </si>
  <si>
    <t>导轨式,RJ45接口:10/100/1000Base-TX自适应口x8;
光纤接口:1000LX单模SC/LC口x4;
规格:IP40,防潮型,支持基于国际标准IEC62439-6的环网协议,支持VLAN功能,支持流量控制,存储转发,带网管功能;</t>
  </si>
  <si>
    <t>十八</t>
  </si>
  <si>
    <t>周界防范系统</t>
  </si>
  <si>
    <t>防盗报警系统主机</t>
  </si>
  <si>
    <t>不少于50防区,支持两(探测)总线,总线键盘</t>
  </si>
  <si>
    <t>艾礼安</t>
  </si>
  <si>
    <t>报警扬声器</t>
  </si>
  <si>
    <t>双回路总线驱动器</t>
  </si>
  <si>
    <t>直流电源</t>
  </si>
  <si>
    <t>茂硕</t>
  </si>
  <si>
    <t>免维护电池</t>
  </si>
  <si>
    <t>备用时间应满足周界防范系统连续正常工作不小于8h</t>
  </si>
  <si>
    <t>科华</t>
  </si>
  <si>
    <t>数字主动红外探测器</t>
  </si>
  <si>
    <t>二十</t>
  </si>
  <si>
    <t>智能照明系统</t>
  </si>
  <si>
    <t>智能网关</t>
  </si>
  <si>
    <t>RS485转以太网</t>
  </si>
  <si>
    <t>深圳市宇川智能系统有限公司</t>
  </si>
  <si>
    <t>智能照明控制系统</t>
  </si>
  <si>
    <t>与照明箱内智能照明模块配套,安装在操作员站上</t>
  </si>
  <si>
    <t>技安</t>
  </si>
  <si>
    <t>奥杰特智能</t>
  </si>
  <si>
    <t>二十一</t>
  </si>
  <si>
    <t>门禁管理系统</t>
  </si>
  <si>
    <t>火灾强制开模块</t>
  </si>
  <si>
    <t>中控（熵基）</t>
  </si>
  <si>
    <t>李腾民
 13048115263</t>
  </si>
  <si>
    <t>汉王</t>
  </si>
  <si>
    <t>门磁</t>
  </si>
  <si>
    <t>电锁(24V DC)</t>
  </si>
  <si>
    <t>读卡器</t>
  </si>
  <si>
    <t>开门按钮</t>
  </si>
  <si>
    <t>带夜光灯</t>
  </si>
  <si>
    <t>人脸门禁一体机</t>
  </si>
  <si>
    <t>1) 7英寸广视角高清IPS触摸显示屏,分辨率600*1024,壁装式;
2) 嵌入式Linux系统,内存512M,数据存储8GB; 智能语音提示;
3) 200W双目活体摄像头,防止视频和照片攻击;支持强光/无光/弱光环境识别;
4) 人脸库容量:1:N,N≤20000(可升级扩容50000),对比时间&lt;0.2s/人;
5) 面部识别、检测距离0.3m~1.5m;人脸识别正确率≥99%;
6) 采用脱机人脸识别技术,识别不受网络状态影响;支持屏下刷卡(无接触);
7) 支持安全帽识别功能;口罩识别功能;
8) 支持门禁功能、考勤功能及黑、白名单;支持IC/ID卡和身份证等读卡读证功能;
9) 支持消防联动及门磁检测;支持防拆功能;支持侵入声光报警及信息推送;
10) 支持自助人脸采集和批量导入名单;支持U盘数据导入导出;
11) 使用环境:-30%%DC~+60%%DC,&lt;90%不凝露,防护等级:IP65;
12) 通讯方式:10/100/1000Mbps自适应有线以太网及无线Wifi;
13) 物理接口: RS485*1;Wiegandx1(支持双向);MicroUSBx1、电锁x2、门磁x2、开门按钮x2;RJ45x1; 紧急开门按钮(破玻按钮)x1;配套相关控制通讯线;
14) 电源:AC220V, 含门禁专用电源(含3h后备蓄电池);配套门禁安装支架及安装附件;</t>
  </si>
  <si>
    <t>导轨式,RJ45接口:10/100/1000Base-TX自适应口x8;
光纤接口:1000LX单模SC/LC口x4;电源:24 VDC冗余双电源输入;
规格:IP40,防潮型,支持基于国际标准IEC62439-6的环网协议,支持VLAN功能,支持流量控制,存储转发,带网管功能</t>
  </si>
  <si>
    <t>门禁系统管理软件</t>
  </si>
  <si>
    <t>门禁厂商配套提供</t>
  </si>
  <si>
    <t>含于设备</t>
  </si>
  <si>
    <t>编制项目建议书</t>
  </si>
  <si>
    <t>水量</t>
  </si>
  <si>
    <t>吨/日</t>
  </si>
  <si>
    <t>污泥量</t>
  </si>
  <si>
    <t>tDS/d</t>
  </si>
  <si>
    <t>一、用电</t>
  </si>
  <si>
    <t>名称</t>
  </si>
  <si>
    <t>日均耗量</t>
  </si>
  <si>
    <t>耗量/吨水</t>
  </si>
  <si>
    <t>日均费用（元）</t>
  </si>
  <si>
    <t>元/吨水</t>
  </si>
  <si>
    <t>用电</t>
  </si>
  <si>
    <t>自来水</t>
  </si>
  <si>
    <t>0.3吨/人</t>
  </si>
  <si>
    <t>吨</t>
  </si>
  <si>
    <t>合计</t>
  </si>
  <si>
    <t>二、药剂消耗</t>
  </si>
  <si>
    <t>15mg/L</t>
  </si>
  <si>
    <t>阴离子PAM</t>
  </si>
  <si>
    <t>1mg/L</t>
  </si>
  <si>
    <t>4mg/L</t>
  </si>
  <si>
    <t>次氯酸钠</t>
  </si>
  <si>
    <t>10mg/L回用水</t>
  </si>
  <si>
    <t>三、污泥处理处置</t>
  </si>
  <si>
    <t>污泥处置(含运费)</t>
  </si>
  <si>
    <t>320元/吨40%</t>
  </si>
  <si>
    <t>`</t>
  </si>
  <si>
    <t>（一+二+三）</t>
  </si>
  <si>
    <t>直接成本合计</t>
  </si>
  <si>
    <t>维修</t>
  </si>
  <si>
    <t>设备及安装投资</t>
  </si>
  <si>
    <t>万元</t>
  </si>
  <si>
    <t>年维护费为</t>
  </si>
  <si>
    <t>万元/年</t>
  </si>
  <si>
    <t>费率</t>
  </si>
  <si>
    <t>折合日维护费为（元）</t>
  </si>
  <si>
    <t>元/日</t>
  </si>
  <si>
    <t>人工及福利</t>
  </si>
  <si>
    <t>领导人员工资及福利</t>
  </si>
  <si>
    <t>元/月</t>
  </si>
  <si>
    <t>领导人员人数</t>
  </si>
  <si>
    <t>人</t>
  </si>
  <si>
    <t>管理人员工资及福利</t>
  </si>
  <si>
    <t>管理人员人数</t>
  </si>
  <si>
    <t>生产人员工资及福利</t>
  </si>
  <si>
    <t>生产人员人数</t>
  </si>
  <si>
    <t>人员总数</t>
  </si>
  <si>
    <t>年费用</t>
  </si>
  <si>
    <t>折合日费用</t>
  </si>
  <si>
    <t>其他</t>
  </si>
  <si>
    <t>后勤管理费用</t>
  </si>
  <si>
    <t>安全劳保维护费</t>
  </si>
  <si>
    <t>保险费</t>
  </si>
  <si>
    <t>环境监测费</t>
  </si>
  <si>
    <t>折算水</t>
  </si>
  <si>
    <t>元/吨</t>
  </si>
  <si>
    <t>不含污泥处置</t>
  </si>
  <si>
    <t>合价</t>
  </si>
  <si>
    <t>方形附壁式1200X1200,2.5t</t>
  </si>
  <si>
    <t>速闭阀（全通径偏心半球阀）</t>
  </si>
  <si>
    <t>B=2.2M，b=6mm,a=60°,SUS304</t>
  </si>
  <si>
    <t>N=驱动电机1.5KW+毛刷清洗电机1.5KW/台，配套中压泵</t>
  </si>
  <si>
    <t>番禺中部二期大龙项目：</t>
  </si>
  <si>
    <t>二沉池非金属链条式刮泥机：初步概算估价40万/套*10套=400万；</t>
  </si>
  <si>
    <t>6mm细格栅（含全套设备主机、压榨机、冲洗系统、自控系统等）：初步概算价80万/套*3=240万；</t>
  </si>
  <si>
    <t>2mm精细格栅（含全套设备主机、压榨机、冲洗系统、自控系统等）：初步概算价85万/套*4=340万；</t>
  </si>
  <si>
    <t>多层旋流沉砂器</t>
  </si>
  <si>
    <t>单池5万 m3/d工况下, 去除进水中85%以上粒径&gt;100微米, 比重2.65的砂粒；变化系数1.5</t>
  </si>
  <si>
    <t>涡流式提砂泵</t>
  </si>
  <si>
    <t>Q=45 m³/h  H=8 m N=3 kw</t>
  </si>
  <si>
    <t>立体旋流洗砂分砂一体机</t>
  </si>
  <si>
    <t>流量120 m³/h，Q≤120 m3/h工况下, 去除进水中85%以上粒径&gt;75微米, 比重2.65的砂粒，双口DN100</t>
  </si>
  <si>
    <t>反冲洗泵</t>
  </si>
  <si>
    <t>Q=15 m3/h, H=45 m, P=5.5 kW</t>
  </si>
  <si>
    <t>超声波流量计</t>
  </si>
  <si>
    <t>DN50, 1.6MPa</t>
  </si>
  <si>
    <t>一级内回流泵</t>
  </si>
  <si>
    <t>二级内回流泵</t>
  </si>
  <si>
    <t>闸门尺寸2000×1500，启闭力40KN,Q235B，N=1.5kW，材料：Cl，配不锈钢丝杆、支架</t>
  </si>
  <si>
    <t>DN600，P=1.1kw,双向受力</t>
  </si>
  <si>
    <t>DN600，N=0.25kW</t>
  </si>
  <si>
    <t>DN500 P=0.25KW</t>
  </si>
  <si>
    <t>DN300 L=8.80m P=1.5KW</t>
  </si>
  <si>
    <t>闸门尺寸1000×1550，启闭力40KN,Q235B，N=2.2kW，材料：Cl，配不锈钢丝杆、支架</t>
  </si>
  <si>
    <t>DN300 P=0.25KW</t>
  </si>
  <si>
    <t>DN1500，N=0.25kW</t>
  </si>
  <si>
    <t>DN1500，输出4~20mA，传感器IP68，分体式;量程：0-100m3/min</t>
  </si>
  <si>
    <t>05 精密过滤池</t>
  </si>
  <si>
    <t>精密过滤器</t>
  </si>
  <si>
    <t>设计流量：Qave＝10万m3/d，Qmax＝15万m3/d，液位自动控制；P=0.75kW</t>
  </si>
  <si>
    <t>反冲洗水泵</t>
  </si>
  <si>
    <t>反冲洗水泵，p=4kw</t>
  </si>
  <si>
    <t>污泥调质系统</t>
  </si>
  <si>
    <t>污泥调质池搅拌器</t>
  </si>
  <si>
    <t>潜水搅拌</t>
  </si>
  <si>
    <t>Q=100m3/h</t>
  </si>
  <si>
    <t>溶液池搅拌器</t>
  </si>
  <si>
    <t>D2000</t>
  </si>
  <si>
    <t>主机系统</t>
  </si>
  <si>
    <t>DZG-2000/500</t>
  </si>
  <si>
    <t>主控软件</t>
  </si>
  <si>
    <t>进料系统</t>
  </si>
  <si>
    <t>絮凝剂配制装置</t>
  </si>
  <si>
    <t>4000L/h</t>
  </si>
  <si>
    <t>热水系统</t>
  </si>
  <si>
    <t>V=60m3</t>
  </si>
  <si>
    <t>热泵</t>
  </si>
  <si>
    <t>软化水装置</t>
  </si>
  <si>
    <t>Q=2m3/h</t>
  </si>
  <si>
    <t>真空冷却系统</t>
  </si>
  <si>
    <t>A=150m2</t>
  </si>
  <si>
    <t>清洗泵</t>
  </si>
  <si>
    <t>空压系统</t>
  </si>
  <si>
    <t>螺杆式空压机</t>
  </si>
  <si>
    <t>冷冻式干燥机</t>
  </si>
  <si>
    <t>2.4m3/ min</t>
  </si>
  <si>
    <t>物料输送系统</t>
  </si>
  <si>
    <t>刮板输送机</t>
  </si>
  <si>
    <t>15t/h</t>
  </si>
  <si>
    <t>V=50m3</t>
  </si>
  <si>
    <t>臭气收集系统</t>
  </si>
  <si>
    <t>主机密闭罩</t>
  </si>
  <si>
    <t>生产辅助系统</t>
  </si>
  <si>
    <t>Q=750000m3/d,消毒剂量28mJ/cm，N=54kw；外壳SS304</t>
  </si>
  <si>
    <t>DN1000</t>
  </si>
  <si>
    <t>DN800，PN=1MPa，P=1.5kw</t>
  </si>
  <si>
    <t xml:space="preserve">空气 DN600 </t>
  </si>
  <si>
    <t>Q=2.5m3/h,工作压力:0.4MPa,过滤精度:5μm</t>
  </si>
  <si>
    <t>第一部分  工程费用</t>
  </si>
  <si>
    <t>永久外水接驳费用</t>
  </si>
  <si>
    <t>普通草坪</t>
  </si>
  <si>
    <t>镶嵌塑料草</t>
  </si>
  <si>
    <t>第二部分  工程建设其他费用</t>
  </si>
  <si>
    <t>按合同</t>
  </si>
  <si>
    <t>项目环境影响报告书编制费</t>
  </si>
  <si>
    <t>环境质量现状监测费</t>
  </si>
  <si>
    <t>7.3</t>
  </si>
  <si>
    <t>水文地质勘察费</t>
  </si>
  <si>
    <t>造价咨询服务费</t>
  </si>
  <si>
    <t>按合同，包括概算审核、招标清单及控制价编制、竣工结算审核等</t>
  </si>
  <si>
    <t>尾水排放对大龙涌口断面水质影响研究项目</t>
  </si>
  <si>
    <t>规划放线及规划条件核实</t>
  </si>
  <si>
    <t>20</t>
  </si>
  <si>
    <t>21</t>
  </si>
  <si>
    <r>
      <rPr>
        <rFont val="SimSun"/>
        <b val="false"/>
        <i val="false"/>
        <strike val="false"/>
        <color rgb="FF000000"/>
        <sz val="11"/>
      </rPr>
      <t>Q=20000m3/h</t>
    </r>
    <r>
      <rPr>
        <rFont val="等线"/>
        <b val="false"/>
        <i val="false"/>
        <strike val="false"/>
        <color rgb="FF000000"/>
        <sz val="11"/>
      </rPr>
      <t>，尺寸：</t>
    </r>
    <r>
      <rPr>
        <rFont val="tggj"/>
        <b val="false"/>
        <i val="false"/>
        <strike val="false"/>
        <color rgb="FF000000"/>
        <sz val="11"/>
      </rPr>
      <t>11.5*7.0*3.0m</t>
    </r>
  </si>
  <si>
    <r>
      <rPr>
        <rFont val="SimSun"/>
        <b val="false"/>
        <i val="false"/>
        <strike val="false"/>
        <color rgb="FF000000"/>
        <sz val="11"/>
      </rPr>
      <t>Q=20000m3/h</t>
    </r>
    <r>
      <rPr>
        <rFont val="等线"/>
        <b val="false"/>
        <i val="false"/>
        <strike val="false"/>
        <color rgb="FF000000"/>
        <sz val="11"/>
      </rPr>
      <t>，尺寸：</t>
    </r>
    <r>
      <rPr>
        <rFont val="tggj"/>
        <b val="false"/>
        <i val="false"/>
        <strike val="false"/>
        <color rgb="FF000000"/>
        <sz val="11"/>
      </rPr>
      <t>1.5*7.0*3.0m</t>
    </r>
  </si>
  <si>
    <r>
      <rPr>
        <rFont val="SimSun"/>
        <b val="false"/>
        <i val="false"/>
        <strike val="false"/>
        <color rgb="FF000000"/>
        <sz val="11"/>
      </rPr>
      <t>Q=20000m3/h</t>
    </r>
    <r>
      <rPr>
        <rFont val="等线"/>
        <b val="false"/>
        <i val="false"/>
        <strike val="false"/>
        <color rgb="FF000000"/>
        <sz val="11"/>
      </rPr>
      <t>，</t>
    </r>
    <r>
      <rPr>
        <rFont val="tggj"/>
        <b val="false"/>
        <i val="false"/>
        <strike val="false"/>
        <color rgb="FF000000"/>
        <sz val="11"/>
      </rPr>
      <t>P=3500Pa</t>
    </r>
    <r>
      <rPr>
        <rFont val="等线"/>
        <b val="false"/>
        <i val="false"/>
        <strike val="false"/>
        <color rgb="FF000000"/>
        <sz val="11"/>
      </rPr>
      <t>，</t>
    </r>
    <r>
      <rPr>
        <rFont val="tggj"/>
        <b val="false"/>
        <i val="false"/>
        <strike val="false"/>
        <color rgb="FF000000"/>
        <sz val="11"/>
      </rPr>
      <t>IP55</t>
    </r>
    <r>
      <rPr>
        <rFont val="等线"/>
        <b val="false"/>
        <i val="false"/>
        <strike val="false"/>
        <color rgb="FF000000"/>
        <sz val="11"/>
      </rPr>
      <t>，含隔音罩</t>
    </r>
  </si>
  <si>
    <r>
      <rPr>
        <rFont val="SimSun"/>
        <b val="false"/>
        <i val="false"/>
        <strike val="false"/>
        <color rgb="FF000000"/>
        <sz val="11"/>
      </rPr>
      <t>Q=8m3/h</t>
    </r>
    <r>
      <rPr>
        <rFont val="等线"/>
        <b val="false"/>
        <i val="false"/>
        <strike val="false"/>
        <color rgb="FF000000"/>
        <sz val="11"/>
      </rPr>
      <t>，</t>
    </r>
    <r>
      <rPr>
        <rFont val="tggj"/>
        <b val="false"/>
        <i val="false"/>
        <strike val="false"/>
        <color rgb="FF000000"/>
        <sz val="11"/>
      </rPr>
      <t>H=15m</t>
    </r>
    <r>
      <rPr>
        <rFont val="等线"/>
        <b val="false"/>
        <i val="false"/>
        <strike val="false"/>
        <color rgb="FF000000"/>
        <sz val="11"/>
      </rPr>
      <t>，</t>
    </r>
    <r>
      <rPr>
        <rFont val="tggj"/>
        <b val="false"/>
        <i val="false"/>
        <strike val="false"/>
        <color rgb="FF000000"/>
        <sz val="11"/>
      </rPr>
      <t>IP55</t>
    </r>
  </si>
  <si>
    <r>
      <rPr>
        <rFont val="等线"/>
        <b val="false"/>
        <i val="false"/>
        <strike val="false"/>
        <color rgb="FF000000"/>
        <sz val="11"/>
      </rPr>
      <t>含</t>
    </r>
    <r>
      <rPr>
        <rFont val="tggj"/>
        <b val="false"/>
        <i val="false"/>
        <strike val="false"/>
        <color rgb="FF000000"/>
        <sz val="11"/>
      </rPr>
      <t>PLC</t>
    </r>
    <r>
      <rPr>
        <rFont val="等线"/>
        <b val="false"/>
        <i val="false"/>
        <strike val="false"/>
        <color rgb="FF000000"/>
        <sz val="11"/>
      </rPr>
      <t>，</t>
    </r>
    <r>
      <rPr>
        <rFont val="tggj"/>
        <b val="false"/>
        <i val="false"/>
        <strike val="false"/>
        <color rgb="FF000000"/>
        <sz val="11"/>
      </rPr>
      <t>7</t>
    </r>
    <r>
      <rPr>
        <rFont val="等线"/>
        <b val="false"/>
        <i val="false"/>
        <strike val="false"/>
        <color rgb="FF000000"/>
        <sz val="11"/>
      </rPr>
      <t>寸触摸屏和以太网通讯协议，柜体</t>
    </r>
    <r>
      <rPr>
        <rFont val="tggj"/>
        <b val="false"/>
        <i val="false"/>
        <strike val="false"/>
        <color rgb="FF000000"/>
        <sz val="11"/>
      </rPr>
      <t>IP55</t>
    </r>
  </si>
  <si>
    <r>
      <rPr>
        <rFont val="等线"/>
        <b val="false"/>
        <i val="false"/>
        <strike val="false"/>
        <color rgb="FF000000"/>
        <sz val="11"/>
      </rPr>
      <t>电子式，</t>
    </r>
    <r>
      <rPr>
        <rFont val="tggj"/>
        <b val="false"/>
        <i val="false"/>
        <strike val="false"/>
        <color rgb="FF000000"/>
        <sz val="11"/>
      </rPr>
      <t>0~0.6MPa</t>
    </r>
    <r>
      <rPr>
        <rFont val="等线"/>
        <b val="false"/>
        <i val="false"/>
        <strike val="false"/>
        <color rgb="FF000000"/>
        <sz val="11"/>
      </rPr>
      <t>，带数字显示及</t>
    </r>
    <r>
      <rPr>
        <rFont val="tggj"/>
        <b val="false"/>
        <i val="false"/>
        <strike val="false"/>
        <color rgb="FF000000"/>
        <sz val="11"/>
      </rPr>
      <t>4-20mA</t>
    </r>
    <r>
      <rPr>
        <rFont val="等线"/>
        <b val="false"/>
        <i val="false"/>
        <strike val="false"/>
        <color rgb="FF000000"/>
        <sz val="11"/>
      </rPr>
      <t>信号输出</t>
    </r>
  </si>
  <si>
    <r>
      <rPr>
        <rFont val="SimSun"/>
        <b val="false"/>
        <i val="false"/>
        <strike val="false"/>
        <color rgb="FF000000"/>
        <sz val="11"/>
      </rPr>
      <t>1250mm*630mm</t>
    </r>
    <r>
      <rPr>
        <rFont val="等线"/>
        <b val="false"/>
        <i val="false"/>
        <strike val="false"/>
        <color rgb="FF000000"/>
        <sz val="11"/>
      </rPr>
      <t>，含直管、管件及支架</t>
    </r>
  </si>
  <si>
    <r>
      <rPr>
        <rFont val="等线"/>
        <b val="false"/>
        <i val="false"/>
        <strike val="false"/>
        <color rgb="FF000000"/>
        <sz val="11"/>
      </rPr>
      <t>法兰式采用口，</t>
    </r>
    <r>
      <rPr>
        <rFont val="tggj"/>
        <b val="false"/>
        <i val="false"/>
        <strike val="false"/>
        <color rgb="FF000000"/>
        <sz val="11"/>
      </rPr>
      <t>DN100</t>
    </r>
    <r>
      <rPr>
        <rFont val="等线"/>
        <b val="false"/>
        <i val="false"/>
        <strike val="false"/>
        <color rgb="FF000000"/>
        <sz val="11"/>
      </rPr>
      <t>，带盲板</t>
    </r>
  </si>
  <si>
    <r>
      <rPr>
        <rFont val="等线"/>
        <b val="false"/>
        <i val="false"/>
        <strike val="false"/>
        <color rgb="FF000000"/>
        <sz val="11"/>
      </rPr>
      <t>硫化氢、氨气检测仪，量程：</t>
    </r>
    <r>
      <rPr>
        <rFont val="tggj"/>
        <b val="false"/>
        <i val="false"/>
        <strike val="false"/>
        <color rgb="FF000000"/>
        <sz val="11"/>
      </rPr>
      <t>0-50ppm</t>
    </r>
    <r>
      <rPr>
        <rFont val="等线"/>
        <b val="false"/>
        <i val="false"/>
        <strike val="false"/>
        <color rgb="FF000000"/>
        <sz val="11"/>
      </rPr>
      <t>，精度</t>
    </r>
    <r>
      <rPr>
        <rFont val="tggj"/>
        <b val="false"/>
        <i val="false"/>
        <strike val="false"/>
        <color rgb="FF000000"/>
        <sz val="11"/>
      </rPr>
      <t>±p3%</t>
    </r>
    <r>
      <rPr>
        <rFont val="等线"/>
        <b val="false"/>
        <i val="false"/>
        <strike val="false"/>
        <color rgb="FF000000"/>
        <sz val="11"/>
      </rPr>
      <t>（</t>
    </r>
    <r>
      <rPr>
        <rFont val="tggj"/>
        <b val="false"/>
        <i val="false"/>
        <strike val="false"/>
        <color rgb="FF000000"/>
        <sz val="11"/>
      </rPr>
      <t>FS</t>
    </r>
    <r>
      <rPr>
        <rFont val="等线"/>
        <b val="false"/>
        <i val="false"/>
        <strike val="false"/>
        <color rgb="FF000000"/>
        <sz val="11"/>
      </rPr>
      <t>），带</t>
    </r>
    <r>
      <rPr>
        <rFont val="tggj"/>
        <b val="false"/>
        <i val="false"/>
        <strike val="false"/>
        <color rgb="FF000000"/>
        <sz val="11"/>
      </rPr>
      <t>LED</t>
    </r>
    <r>
      <rPr>
        <rFont val="等线"/>
        <b val="false"/>
        <i val="false"/>
        <strike val="false"/>
        <color rgb="FF000000"/>
        <sz val="11"/>
      </rPr>
      <t>显示，声、光报警及</t>
    </r>
    <r>
      <rPr>
        <rFont val="tggj"/>
        <b val="false"/>
        <i val="false"/>
        <strike val="false"/>
        <color rgb="FF000000"/>
        <sz val="11"/>
      </rPr>
      <t>4-20mA</t>
    </r>
    <r>
      <rPr>
        <rFont val="等线"/>
        <b val="false"/>
        <i val="false"/>
        <strike val="false"/>
        <color rgb="FF000000"/>
        <sz val="11"/>
      </rPr>
      <t>信号输出</t>
    </r>
  </si>
  <si>
    <r>
      <rPr>
        <rFont val="宋体"/>
        <b val="false"/>
        <i val="false"/>
        <strike val="false"/>
        <color rgb="FFFF0000"/>
        <sz val="12"/>
        <u val="none"/>
      </rPr>
      <t>单位指标都还比较合理，建议从设计上优化</t>
    </r>
    <r>
      <rPr>
        <rFont val="宋体"/>
        <b val="false"/>
        <i val="false"/>
        <strike val="false"/>
        <color rgb="FF000000"/>
        <sz val="12"/>
        <u val="none"/>
      </rPr>
      <t>，基坑支护大概压缩130万左右，土石方工程压缩500万左右，地下处理厂框架压缩1000万左右，综合用房300万左右，出水管道、仓库用房、开头房、管理用房250万左右，土建2200万左右，设备及安装工程调2000万左右</t>
    </r>
  </si>
  <si>
    <r>
      <rPr>
        <rFont val="宋体"/>
        <b val="true"/>
        <i val="false"/>
        <strike val="false"/>
        <color rgb="FF000000"/>
        <sz val="12"/>
        <u val="none"/>
      </rPr>
      <t>m3/d</t>
    </r>
  </si>
  <si>
    <r>
      <rPr>
        <rFont val="宋体"/>
        <b val="false"/>
        <i val="false"/>
        <strike val="false"/>
        <color rgb="FF000000"/>
        <sz val="12"/>
        <u val="none"/>
      </rPr>
      <t>m3</t>
    </r>
  </si>
  <si>
    <r>
      <rPr>
        <rFont val="宋体"/>
        <b val="false"/>
        <i val="false"/>
        <strike val="false"/>
        <color rgb="FF000000"/>
        <sz val="12"/>
        <u val="none"/>
      </rPr>
      <t>m2</t>
    </r>
  </si>
  <si>
    <r>
      <rPr>
        <rFont val="宋体"/>
        <b val="false"/>
        <i val="false"/>
        <strike val="false"/>
        <color theme="1" tint="0"/>
        <sz val="10"/>
        <u val="none"/>
      </rPr>
      <t>名</t>
    </r>
    <r>
      <rPr>
        <rFont val="宋体"/>
        <b val="false"/>
        <i val="false"/>
        <strike val="false"/>
        <color rgb="FF000000"/>
        <sz val="10"/>
        <u val="none"/>
      </rPr>
      <t xml:space="preserve">    称</t>
    </r>
  </si>
  <si>
    <r>
      <rPr>
        <rFont val="宋体"/>
        <b val="false"/>
        <i val="false"/>
        <strike val="false"/>
        <color theme="1" tint="0"/>
        <sz val="10"/>
        <u val="none"/>
      </rPr>
      <t>单组尺寸或总规模（</t>
    </r>
    <r>
      <rPr>
        <rFont val="Times New Roman"/>
        <b val="false"/>
        <i val="false"/>
        <strike val="false"/>
        <color rgb="FF000000"/>
        <sz val="10"/>
        <u val="none"/>
      </rPr>
      <t>m/m2</t>
    </r>
    <r>
      <rPr>
        <rFont val="宋体"/>
        <b val="false"/>
        <i val="false"/>
        <strike val="false"/>
        <color rgb="FF000000"/>
        <sz val="10"/>
        <u val="none"/>
      </rPr>
      <t>）</t>
    </r>
  </si>
  <si>
    <r>
      <rPr>
        <rFont val="Times New Roman"/>
        <b val="false"/>
        <i val="false"/>
        <strike val="false"/>
        <color theme="1" tint="0"/>
        <sz val="10"/>
        <u val="none"/>
      </rPr>
      <t>PAC</t>
    </r>
    <r>
      <rPr>
        <rFont val="宋体"/>
        <b val="false"/>
        <i val="false"/>
        <strike val="false"/>
        <color rgb="FF000000"/>
        <sz val="10"/>
        <u val="none"/>
      </rPr>
      <t>储池</t>
    </r>
  </si>
  <si>
    <r>
      <rPr>
        <rFont val="Times New Roman"/>
        <b val="false"/>
        <i val="false"/>
        <strike val="false"/>
        <color theme="1" tint="0"/>
        <sz val="10"/>
        <u val="none"/>
      </rPr>
      <t>B×L×H=5.3×8.</t>
    </r>
    <r>
      <rPr>
        <rFont val="宋体"/>
        <b val="false"/>
        <i val="false"/>
        <strike val="false"/>
        <color rgb="FF000000"/>
        <sz val="10"/>
        <u val="none"/>
      </rPr>
      <t>4</t>
    </r>
    <r>
      <rPr>
        <rFont val="Times New Roman"/>
        <b val="false"/>
        <i val="false"/>
        <strike val="false"/>
        <color rgb="FF000000"/>
        <sz val="10"/>
        <u val="none"/>
      </rPr>
      <t>×10</t>
    </r>
  </si>
  <si>
    <r>
      <rPr>
        <rFont val="Times New Roman"/>
        <b val="false"/>
        <i val="false"/>
        <strike val="false"/>
        <color theme="1" tint="0"/>
        <sz val="10"/>
        <u val="none"/>
      </rPr>
      <t>D×</t>
    </r>
    <r>
      <rPr>
        <rFont val="宋体"/>
        <b val="false"/>
        <i val="false"/>
        <strike val="false"/>
        <color rgb="FF000000"/>
        <sz val="10"/>
        <u val="none"/>
      </rPr>
      <t>H=Ø12</t>
    </r>
    <r>
      <rPr>
        <rFont val="Times New Roman"/>
        <b val="false"/>
        <i val="false"/>
        <strike val="false"/>
        <color rgb="FF000000"/>
        <sz val="10"/>
        <u val="none"/>
      </rPr>
      <t>×6.8</t>
    </r>
  </si>
  <si>
    <r>
      <rPr>
        <rFont val="宋体"/>
        <b val="false"/>
        <i val="false"/>
        <strike val="false"/>
        <color rgb="FF000000"/>
        <sz val="12"/>
        <u val="none"/>
      </rPr>
      <t>m3/d</t>
    </r>
  </si>
  <si>
    <r>
      <rPr>
        <rFont val="宋体"/>
        <b val="false"/>
        <i val="false"/>
        <strike val="false"/>
        <color theme="1" tint="0"/>
        <sz val="12"/>
        <u val="none"/>
      </rPr>
      <t>共4层，每层1.</t>
    </r>
    <r>
      <rPr>
        <rFont val="宋体"/>
        <b val="false"/>
        <i val="false"/>
        <strike val="false"/>
        <color rgb="FF000000"/>
        <sz val="12"/>
        <u val="none"/>
      </rPr>
      <t>3米，混凝土挡墙，拉丝石材饰面</t>
    </r>
  </si>
  <si>
    <r>
      <rPr>
        <rFont val="宋体"/>
        <b val="false"/>
        <i val="false"/>
        <strike val="false"/>
        <color rgb="FF000000"/>
        <sz val="12"/>
        <u val="none"/>
      </rPr>
      <t>基本预备费 (一+二)×5%</t>
    </r>
  </si>
  <si>
    <r>
      <rPr>
        <rFont val="宋体"/>
        <b val="false"/>
        <i val="false"/>
        <strike val="false"/>
        <color rgb="FF000000"/>
        <sz val="12"/>
        <u val="none"/>
      </rPr>
      <t>m</t>
    </r>
    <r>
      <rPr>
        <rFont val="宋体"/>
        <b val="true"/>
        <i val="false"/>
        <strike val="false"/>
        <color rgb="FF000000"/>
        <sz val="12"/>
        <u val="none"/>
      </rPr>
      <t>3/d</t>
    </r>
  </si>
  <si>
    <r>
      <rPr>
        <rFont val="SimSun"/>
        <b val="true"/>
        <i val="false"/>
        <strike val="false"/>
        <color rgb="FF000000"/>
        <sz val="9"/>
        <u val="none"/>
      </rPr>
      <t>洛溪水厂(首期)</t>
    </r>
    <r>
      <rPr>
        <rFont val="SimSun"/>
        <b val="true"/>
        <i val="false"/>
        <strike val="false"/>
        <color rgb="FF000000"/>
        <sz val="9"/>
        <u val="none"/>
      </rPr>
      <t xml:space="preserve">
（5万m³/d）</t>
    </r>
  </si>
  <si>
    <r>
      <rPr>
        <rFont val="SimSun"/>
        <b val="false"/>
        <i val="false"/>
        <strike val="false"/>
        <color rgb="FF000000"/>
        <sz val="9"/>
        <u val="none"/>
      </rPr>
      <t>黄志豪</t>
    </r>
    <r>
      <rPr>
        <rFont val="SimSun"/>
        <b val="false"/>
        <i val="false"/>
        <strike val="false"/>
        <color rgb="FF175CEB"/>
        <sz val="9"/>
        <u/>
      </rPr>
      <t>13826107878@163.com</t>
    </r>
  </si>
  <si>
    <r>
      <rPr>
        <rFont val="宋体"/>
        <b val="false"/>
        <i val="false"/>
        <strike val="false"/>
        <color rgb="FF000000"/>
        <sz val="11"/>
        <u val="none"/>
      </rPr>
      <t>Q=2.5m3/h,工作压力:0.4MPa,过滤精度:5μm</t>
    </r>
  </si>
  <si>
    <r>
      <rPr>
        <rFont val="宋体"/>
        <b val="false"/>
        <i val="false"/>
        <strike val="false"/>
        <color rgb="FF000000"/>
        <sz val="12"/>
        <u val="none"/>
      </rPr>
      <t>序号</t>
    </r>
  </si>
  <si>
    <r>
      <rPr>
        <rFont val="宋体"/>
        <b val="false"/>
        <i val="false"/>
        <strike val="false"/>
        <color rgb="FF000000"/>
        <sz val="12"/>
        <u val="none"/>
      </rPr>
      <t>项目或费用名称</t>
    </r>
  </si>
  <si>
    <r>
      <rPr>
        <rFont val="宋体"/>
        <b val="false"/>
        <i val="false"/>
        <strike val="false"/>
        <color rgb="FF000000"/>
        <sz val="12"/>
        <u val="none"/>
      </rPr>
      <t>万元</t>
    </r>
    <r>
      <rPr>
        <rFont val="Times New Roman"/>
        <b val="false"/>
        <i val="false"/>
        <strike val="false"/>
        <color rgb="FF000000"/>
        <sz val="12"/>
        <u val="none"/>
      </rPr>
      <t>/</t>
    </r>
    <r>
      <rPr>
        <rFont val="宋体"/>
        <b val="false"/>
        <i val="false"/>
        <strike val="false"/>
        <color rgb="FF000000"/>
        <sz val="12"/>
        <u val="none"/>
      </rPr>
      <t>年</t>
    </r>
  </si>
  <si>
    <r>
      <rPr>
        <rFont val="宋体"/>
        <b val="false"/>
        <i val="false"/>
        <strike val="false"/>
        <color rgb="FF000000"/>
        <sz val="12"/>
        <u val="none"/>
      </rPr>
      <t>综合折旧年限</t>
    </r>
    <r>
      <rPr>
        <rFont val="Times New Roman"/>
        <b val="false"/>
        <i val="false"/>
        <strike val="false"/>
        <color rgb="FF000000"/>
        <sz val="12"/>
        <u val="none"/>
      </rPr>
      <t>25</t>
    </r>
    <r>
      <rPr>
        <rFont val="宋体"/>
        <b val="false"/>
        <i val="false"/>
        <strike val="false"/>
        <color rgb="FF000000"/>
        <sz val="12"/>
        <u val="none"/>
      </rPr>
      <t>年</t>
    </r>
  </si>
  <si>
    <r>
      <rPr>
        <rFont val="宋体"/>
        <b val="false"/>
        <i val="false"/>
        <strike val="false"/>
        <color rgb="FF000000"/>
        <sz val="12"/>
        <u val="none"/>
      </rPr>
      <t>摊销率</t>
    </r>
    <r>
      <rPr>
        <rFont val="Times New Roman"/>
        <b val="false"/>
        <i val="false"/>
        <strike val="false"/>
        <color rgb="FF000000"/>
        <sz val="12"/>
        <u val="none"/>
      </rPr>
      <t>10%</t>
    </r>
  </si>
  <si>
    <r>
      <rPr>
        <rFont val="宋体"/>
        <b val="false"/>
        <i val="false"/>
        <strike val="false"/>
        <color rgb="FF000000"/>
        <sz val="12"/>
        <u val="none"/>
      </rPr>
      <t>修理费费率</t>
    </r>
    <r>
      <rPr>
        <rFont val="Times New Roman"/>
        <b val="false"/>
        <i val="false"/>
        <strike val="false"/>
        <color rgb="FF000000"/>
        <sz val="12"/>
        <u val="none"/>
      </rPr>
      <t>1.7%</t>
    </r>
  </si>
  <si>
    <r>
      <rPr>
        <rFont val="宋体"/>
        <b val="false"/>
        <i val="false"/>
        <strike val="false"/>
        <color rgb="FF000000"/>
        <sz val="12"/>
        <u val="none"/>
      </rPr>
      <t>KVA</t>
    </r>
  </si>
  <si>
    <r>
      <rPr>
        <rFont val="宋体"/>
        <b val="false"/>
        <i val="false"/>
        <strike val="false"/>
        <color rgb="FF000000"/>
        <sz val="12"/>
        <u val="none"/>
      </rPr>
      <t>定员40人，平均100000元/人.年</t>
    </r>
  </si>
  <si>
    <r>
      <rPr>
        <rFont val="宋体"/>
        <b val="false"/>
        <i val="false"/>
        <strike val="false"/>
        <color rgb="FF000000"/>
        <sz val="12"/>
        <u val="none"/>
      </rPr>
      <t>含水率</t>
    </r>
    <r>
      <rPr>
        <rFont val="Times New Roman"/>
        <b val="false"/>
        <i val="false"/>
        <strike val="false"/>
        <color rgb="FF000000"/>
        <sz val="12"/>
        <u val="none"/>
      </rPr>
      <t>35%</t>
    </r>
  </si>
  <si>
    <r>
      <rPr>
        <rFont val="宋体"/>
        <b val="false"/>
        <i val="false"/>
        <strike val="false"/>
        <color rgb="FF000000"/>
        <sz val="12"/>
        <u val="none"/>
      </rPr>
      <t>生产因素的</t>
    </r>
    <r>
      <rPr>
        <rFont val="Times New Roman"/>
        <b val="false"/>
        <i val="false"/>
        <strike val="false"/>
        <color rgb="FF000000"/>
        <sz val="12"/>
        <u val="none"/>
      </rPr>
      <t>10%</t>
    </r>
  </si>
  <si>
    <r>
      <rPr>
        <rFont val="Times New Roman"/>
        <b val="false"/>
        <i val="false"/>
        <strike val="false"/>
        <color rgb="FF000000"/>
        <sz val="12"/>
        <u val="none"/>
      </rPr>
      <t>1~9</t>
    </r>
    <r>
      <rPr>
        <rFont val="宋体"/>
        <b val="false"/>
        <i val="false"/>
        <strike val="false"/>
        <color rgb="FF000000"/>
        <sz val="12"/>
        <u val="none"/>
      </rPr>
      <t>之和</t>
    </r>
  </si>
  <si>
    <r>
      <rPr>
        <rFont val="宋体"/>
        <b val="false"/>
        <i val="false"/>
        <strike val="false"/>
        <color rgb="FF000000"/>
        <sz val="12"/>
        <u val="none"/>
      </rPr>
      <t>元</t>
    </r>
    <r>
      <rPr>
        <rFont val="Times New Roman"/>
        <b val="false"/>
        <i val="false"/>
        <strike val="false"/>
        <color rgb="FF000000"/>
        <sz val="12"/>
        <u val="none"/>
      </rPr>
      <t>/m3</t>
    </r>
  </si>
  <si>
    <r>
      <rPr>
        <rFont val="Times New Roman"/>
        <b val="false"/>
        <i val="false"/>
        <strike val="false"/>
        <color rgb="FF000000"/>
        <sz val="12"/>
        <u val="none"/>
      </rPr>
      <t>100%</t>
    </r>
    <r>
      <rPr>
        <rFont val="宋体"/>
        <b val="false"/>
        <i val="false"/>
        <strike val="false"/>
        <color rgb="FF000000"/>
        <sz val="12"/>
        <u val="none"/>
      </rPr>
      <t>负荷时日处理污水量</t>
    </r>
    <r>
      <rPr>
        <rFont val="Times New Roman"/>
        <b val="false"/>
        <i val="false"/>
        <strike val="false"/>
        <color rgb="FF000000"/>
        <sz val="12"/>
        <u val="none"/>
      </rPr>
      <t>10</t>
    </r>
    <r>
      <rPr>
        <rFont val="宋体"/>
        <b val="false"/>
        <i val="false"/>
        <strike val="false"/>
        <color rgb="FF000000"/>
        <sz val="12"/>
        <u val="none"/>
      </rPr>
      <t>万</t>
    </r>
    <r>
      <rPr>
        <rFont val="Times New Roman"/>
        <b val="false"/>
        <i val="false"/>
        <strike val="false"/>
        <color rgb="FF000000"/>
        <sz val="12"/>
        <u val="none"/>
      </rPr>
      <t>m3</t>
    </r>
    <r>
      <rPr>
        <rFont val="宋体"/>
        <b val="false"/>
        <i val="false"/>
        <strike val="false"/>
        <color rgb="FF000000"/>
        <sz val="12"/>
        <u val="none"/>
      </rPr>
      <t>，年处理污水量</t>
    </r>
    <r>
      <rPr>
        <rFont val="Times New Roman"/>
        <b val="false"/>
        <i val="false"/>
        <strike val="false"/>
        <color rgb="FF000000"/>
        <sz val="12"/>
        <u val="none"/>
      </rPr>
      <t>3650</t>
    </r>
    <r>
      <rPr>
        <rFont val="宋体"/>
        <b val="false"/>
        <i val="false"/>
        <strike val="false"/>
        <color rgb="FF000000"/>
        <sz val="12"/>
        <u val="none"/>
      </rPr>
      <t>万</t>
    </r>
    <r>
      <rPr>
        <rFont val="Times New Roman"/>
        <b val="false"/>
        <i val="false"/>
        <strike val="false"/>
        <color rgb="FF000000"/>
        <sz val="12"/>
        <u val="none"/>
      </rPr>
      <t>m3</t>
    </r>
  </si>
  <si>
    <r>
      <rPr>
        <rFont val="宋体"/>
        <b val="true"/>
        <i val="false"/>
        <strike val="false"/>
        <color rgb="FF000000"/>
        <sz val="12"/>
        <u val="none"/>
      </rPr>
      <t>安装费</t>
    </r>
    <r>
      <rPr>
        <rFont val="宋体"/>
        <b val="true"/>
        <i val="false"/>
        <strike val="false"/>
        <color rgb="FF000000"/>
        <sz val="12"/>
        <u val="none"/>
      </rPr>
      <t xml:space="preserve">
（万元）</t>
    </r>
  </si>
  <si>
    <r>
      <rPr>
        <rFont val="宋体"/>
        <b val="true"/>
        <i val="false"/>
        <strike val="false"/>
        <color rgb="FF000000"/>
        <sz val="12"/>
        <u val="none"/>
      </rPr>
      <t>设备购置费</t>
    </r>
    <r>
      <rPr>
        <rFont val="宋体"/>
        <b val="true"/>
        <i val="false"/>
        <strike val="false"/>
        <color rgb="FF000000"/>
        <sz val="12"/>
        <u val="none"/>
      </rPr>
      <t xml:space="preserve">
（万元）</t>
    </r>
  </si>
  <si>
    <r>
      <rPr>
        <rFont val="宋体"/>
        <b val="true"/>
        <i val="false"/>
        <strike val="false"/>
        <color rgb="FF000000"/>
        <sz val="12"/>
        <u val="none"/>
      </rPr>
      <t>K</t>
    </r>
    <r>
      <rPr>
        <rFont val="宋体"/>
        <b val="true"/>
        <i val="false"/>
        <strike val="false"/>
        <color rgb="FF000000"/>
        <sz val="8"/>
        <u val="none"/>
      </rPr>
      <t>设计</t>
    </r>
  </si>
  <si>
    <r>
      <rPr>
        <rFont val="宋体"/>
        <b val="false"/>
        <i val="false"/>
        <strike val="false"/>
        <color rgb="FF000000"/>
        <sz val="12"/>
        <u val="none"/>
      </rPr>
      <t xml:space="preserve">环城北：3台（Q=1300m3/h,H=25m）；
南站水厂：6台（4台Q=2083m3/h，H=9.5m、2台Q=1041m3/h，H=9.5m）；
中部净水厂：5台（Q=1565m3/h，H=9.0m）
洛溪首期：5台（3台Q=1460m3/h，H=6.0m、2台Q=1880m3/h，H=6.0m）；
</t>
    </r>
    <r>
      <rPr>
        <rFont val="宋体"/>
        <b val="true"/>
        <i val="false"/>
        <strike val="false"/>
        <color rgb="FF000000"/>
        <sz val="12"/>
        <u val="none"/>
      </rPr>
      <t>结论：1、经对比分析，“南站”、“洛溪”和“中部”设备配置及价值水平基本一致；</t>
    </r>
    <r>
      <rPr>
        <rFont val="宋体"/>
        <b val="true"/>
        <i val="false"/>
        <strike val="false"/>
        <color rgb="FF000000"/>
        <sz val="12"/>
        <u val="none"/>
      </rPr>
      <t xml:space="preserve">
2、“环城北”水泵设置在放空泵房，水泵投入数量、过水量偏差太大，不具备可比性。</t>
    </r>
  </si>
  <si>
    <r>
      <rPr>
        <rFont val="宋体"/>
        <b val="false"/>
        <i val="false"/>
        <strike val="false"/>
        <color rgb="FF000000"/>
        <sz val="12"/>
        <u val="none"/>
      </rPr>
      <t xml:space="preserve">环城北：5套细格栅（Q=1565m3/h，b=5mm）+5套膜格栅（Q=1565m3/h，b=1mm）；
南站水厂：4套细格栅（Q≥2100m3/h，b=5mm）+5膜格栅（Q≥1580m3/h，b=1mm）；
中部净水厂：3套细格栅（Q=3125m3/h，b=6mm）+4膜格栅（Q=2100m3/h，b=2mm）
洛溪首期：3套细格栅（Q=2917m3/h，b=3mm）+3套膜格栅（Q=1436m3/h，b=1mm）；
</t>
    </r>
    <r>
      <rPr>
        <rFont val="宋体"/>
        <b val="true"/>
        <i val="false"/>
        <strike val="false"/>
        <color rgb="FF000000"/>
        <sz val="12"/>
        <u val="none"/>
      </rPr>
      <t>结论：1、膜格栅：“南站水厂”与“环城北”选用品牌档次不一致，价格水平不具备可比性。</t>
    </r>
    <r>
      <rPr>
        <rFont val="宋体"/>
        <b val="true"/>
        <i val="false"/>
        <strike val="false"/>
        <color rgb="FF000000"/>
        <sz val="12"/>
        <u val="none"/>
      </rPr>
      <t xml:space="preserve">
2、经对比分析，“南站水厂”与“中部水厂”设备配置及价值水平基本一致。</t>
    </r>
  </si>
  <si>
    <r>
      <rPr>
        <rFont val="宋体"/>
        <b val="false"/>
        <i val="false"/>
        <strike val="false"/>
        <color rgb="FF000000"/>
        <sz val="12"/>
        <u val="none"/>
      </rPr>
      <t>环城北：30台潜水搅拌器（D=580mm）+26台潜水推进器（D=2500mm）；</t>
    </r>
    <r>
      <rPr>
        <rFont val="宋体"/>
        <b val="false"/>
        <i val="false"/>
        <strike val="false"/>
        <color rgb="FF000000"/>
        <sz val="12"/>
        <u val="none"/>
      </rPr>
      <t xml:space="preserve">
南站水厂：9台潜水搅拌器（D=4000mm）+9台潜水推流器；</t>
    </r>
    <r>
      <rPr>
        <rFont val="宋体"/>
        <b val="false"/>
        <i val="false"/>
        <strike val="false"/>
        <color rgb="FF000000"/>
        <sz val="12"/>
        <u val="none"/>
      </rPr>
      <t xml:space="preserve">
中部净水厂：6台潜水搅拌器（D=650mm）+16台潜水推流器；</t>
    </r>
    <r>
      <rPr>
        <rFont val="宋体"/>
        <b val="false"/>
        <i val="false"/>
        <strike val="false"/>
        <color rgb="FF000000"/>
        <sz val="12"/>
        <u val="none"/>
      </rPr>
      <t xml:space="preserve">
洛溪首期：15台潜水搅拌器+3台潜水推进器；</t>
    </r>
    <r>
      <rPr>
        <rFont val="宋体"/>
        <b val="true"/>
        <i val="false"/>
        <strike val="false"/>
        <color rgb="FF000000"/>
        <sz val="12"/>
        <u val="none"/>
      </rPr>
      <t xml:space="preserve">
结论：经过对比分析，“南站水厂”、“中部水厂”及“环城北”在设备投入数量、规格参数上都不具备可比性。</t>
    </r>
  </si>
  <si>
    <r>
      <rPr>
        <rFont val="宋体"/>
        <b val="false"/>
        <i val="false"/>
        <strike val="false"/>
        <color rgb="FF000000"/>
        <sz val="12"/>
        <u val="none"/>
      </rPr>
      <t xml:space="preserve">环城北：2台（Q=4800m3/h）+3台（Q=6600m3/h）+3台（Q=15600m3/h）；
南站水厂：6台（Q=5040m3/h）+6台（Q=7500m3/h）；
中部净水厂：4台（Q=7200m3/h）
洛溪首期：2台（Q=4500m3/h）+1台（Q=9000m3/h）+3台（Q=8940-11880m3/h）；
</t>
    </r>
    <r>
      <rPr>
        <rFont val="宋体"/>
        <b val="true"/>
        <i val="false"/>
        <strike val="false"/>
        <color rgb="FF000000"/>
        <sz val="12"/>
        <u val="none"/>
      </rPr>
      <t>结论：经过对比分析，“南站水厂”、“中部水厂”及“环城北”在设备投入数量、规格参数上都不具备可比性。</t>
    </r>
  </si>
  <si>
    <r>
      <rPr>
        <rFont val="宋体"/>
        <b val="false"/>
        <i val="false"/>
        <strike val="false"/>
        <color rgb="FF000000"/>
        <sz val="12"/>
        <u val="none"/>
      </rPr>
      <t xml:space="preserve">环城北：2套干化主机（土建预留1套设备不安装）；
南站水厂：3套干化主机；
中部水厂：3套干化主机；
洛溪首期：2套干化主机；
</t>
    </r>
    <r>
      <rPr>
        <rFont val="宋体"/>
        <b val="true"/>
        <i val="false"/>
        <strike val="false"/>
        <color rgb="FF000000"/>
        <sz val="12"/>
        <u val="none"/>
      </rPr>
      <t>结论：设备数量不一致，设备价值水平基本一致。</t>
    </r>
  </si>
  <si>
    <r>
      <rPr>
        <rFont val="宋体"/>
        <b val="true"/>
        <i val="false"/>
        <strike val="false"/>
        <color rgb="FF000000"/>
        <sz val="12"/>
        <u val="none"/>
      </rPr>
      <t>工艺专业</t>
    </r>
    <r>
      <rPr>
        <rFont val="宋体"/>
        <b val="true"/>
        <i val="false"/>
        <strike val="false"/>
        <color rgb="FF000000"/>
        <sz val="12"/>
        <u val="none"/>
      </rPr>
      <t xml:space="preserve">
（首期60%、远期40%）</t>
    </r>
  </si>
  <si>
    <r>
      <rPr>
        <rFont val="宋体"/>
        <b val="true"/>
        <i val="false"/>
        <strike val="false"/>
        <color rgb="FF000000"/>
        <sz val="12"/>
        <u val="none"/>
      </rPr>
      <t>偏差原因：</t>
    </r>
    <r>
      <rPr>
        <rFont val="宋体"/>
        <b val="true"/>
        <i val="false"/>
        <strike val="false"/>
        <color rgb="FF000000"/>
        <sz val="12"/>
        <u val="none"/>
      </rPr>
      <t xml:space="preserve">
一、设备购置费</t>
    </r>
    <r>
      <rPr>
        <rFont val="宋体"/>
        <b val="true"/>
        <i val="false"/>
        <strike val="false"/>
        <color rgb="FF000000"/>
        <sz val="12"/>
        <u val="none"/>
      </rPr>
      <t xml:space="preserve">
1、中部水厂：</t>
    </r>
    <r>
      <rPr>
        <rFont val="宋体"/>
        <b val="true"/>
        <i val="false"/>
        <strike val="false"/>
        <color rgb="FF000000"/>
        <sz val="12"/>
        <u val="none"/>
      </rPr>
      <t xml:space="preserve">
（1）工艺不同：中部水厂是含高效沉淀池和二沉池系统，南部水厂是膜系统；</t>
    </r>
    <r>
      <rPr>
        <rFont val="宋体"/>
        <b val="true"/>
        <i val="false"/>
        <strike val="false"/>
        <color rgb="FF000000"/>
        <sz val="12"/>
        <u val="none"/>
      </rPr>
      <t xml:space="preserve">
（2）中部水厂含精细格栅系统，而南部水厂无此系统；</t>
    </r>
    <r>
      <rPr>
        <rFont val="宋体"/>
        <b val="true"/>
        <i val="false"/>
        <strike val="false"/>
        <color rgb="FF000000"/>
        <sz val="12"/>
        <u val="none"/>
      </rPr>
      <t xml:space="preserve">
（3）中部水厂加药间甲供设备；</t>
    </r>
    <r>
      <rPr>
        <rFont val="宋体"/>
        <b val="true"/>
        <i val="false"/>
        <strike val="false"/>
        <color rgb="FF000000"/>
        <sz val="12"/>
        <u val="none"/>
      </rPr>
      <t xml:space="preserve">
（4）中部水厂出水及消毒区含精密过滤系统。</t>
    </r>
    <r>
      <rPr>
        <rFont val="宋体"/>
        <b val="true"/>
        <i val="false"/>
        <strike val="false"/>
        <color rgb="FF000000"/>
        <sz val="12"/>
        <u val="none"/>
      </rPr>
      <t xml:space="preserve">
2、环城北：</t>
    </r>
    <r>
      <rPr>
        <rFont val="宋体"/>
        <b val="true"/>
        <i val="false"/>
        <strike val="false"/>
        <color rgb="FF000000"/>
        <sz val="12"/>
        <u val="none"/>
      </rPr>
      <t xml:space="preserve">
（1）南站水厂预处理区格栅系统甲供设备。</t>
    </r>
    <r>
      <rPr>
        <rFont val="宋体"/>
        <b val="true"/>
        <i val="false"/>
        <strike val="false"/>
        <color rgb="FF000000"/>
        <sz val="12"/>
        <u val="none"/>
      </rPr>
      <t xml:space="preserve">
（2）南站水厂加药间系统乙供设备。</t>
    </r>
    <r>
      <rPr>
        <rFont val="宋体"/>
        <b val="true"/>
        <i val="false"/>
        <strike val="false"/>
        <color rgb="FF000000"/>
        <sz val="12"/>
        <u val="none"/>
      </rPr>
      <t xml:space="preserve">
3、洛溪水厂：</t>
    </r>
    <r>
      <rPr>
        <rFont val="宋体"/>
        <b val="true"/>
        <i val="false"/>
        <strike val="false"/>
        <color rgb="FF000000"/>
        <sz val="12"/>
        <u val="none"/>
      </rPr>
      <t xml:space="preserve">
（1）南站水厂预处理区格栅系统甲供，生物反应池和出水及消毒区设备乙供。</t>
    </r>
    <r>
      <rPr>
        <rFont val="宋体"/>
        <b val="true"/>
        <i val="false"/>
        <strike val="false"/>
        <color rgb="FF000000"/>
        <sz val="12"/>
        <u val="none"/>
      </rPr>
      <t xml:space="preserve">
二、安装费</t>
    </r>
    <r>
      <rPr>
        <rFont val="宋体"/>
        <b val="true"/>
        <i val="false"/>
        <strike val="false"/>
        <color rgb="FF000000"/>
        <sz val="12"/>
        <u val="none"/>
      </rPr>
      <t xml:space="preserve">
1、中部水厂：工艺不同，南站水厂无高效沉淀池和二沉池系统。</t>
    </r>
    <r>
      <rPr>
        <rFont val="宋体"/>
        <b val="true"/>
        <i val="false"/>
        <strike val="false"/>
        <color rgb="FF000000"/>
        <sz val="12"/>
        <u val="none"/>
      </rPr>
      <t xml:space="preserve">
2、环城北：结构形式不同，环城北是半地下式，南站水厂是全埋式，涉及地下暗室增加费。</t>
    </r>
    <r>
      <rPr>
        <rFont val="宋体"/>
        <b val="true"/>
        <i val="false"/>
        <strike val="false"/>
        <color rgb="FF000000"/>
        <sz val="12"/>
        <u val="none"/>
      </rPr>
      <t xml:space="preserve">
3、洛溪水厂：污水处理规模不同。</t>
    </r>
  </si>
  <si>
    <r>
      <rPr>
        <rFont val="宋体"/>
        <b val="true"/>
        <i val="false"/>
        <strike val="false"/>
        <color rgb="FF000000"/>
        <sz val="12"/>
        <u val="none"/>
      </rPr>
      <t>仪表自控专业</t>
    </r>
    <r>
      <rPr>
        <rFont val="宋体"/>
        <b val="true"/>
        <i val="false"/>
        <strike val="false"/>
        <color rgb="FF000000"/>
        <sz val="12"/>
        <u val="none"/>
      </rPr>
      <t xml:space="preserve">
（首期90%、远期10%）</t>
    </r>
  </si>
  <si>
    <r>
      <rPr>
        <rFont val="宋体"/>
        <b val="true"/>
        <i val="false"/>
        <strike val="false"/>
        <color rgb="FF000000"/>
        <sz val="12"/>
        <u val="none"/>
      </rPr>
      <t>偏差原因：</t>
    </r>
    <r>
      <rPr>
        <rFont val="宋体"/>
        <b val="true"/>
        <i val="false"/>
        <strike val="false"/>
        <color rgb="FF000000"/>
        <sz val="12"/>
        <u val="none"/>
      </rPr>
      <t xml:space="preserve">
一、经对比分析，“南站”、“环城北”和“中部”设备配置及价值水平基本一致；</t>
    </r>
    <r>
      <rPr>
        <rFont val="宋体"/>
        <b val="true"/>
        <i val="false"/>
        <strike val="false"/>
        <color rgb="FF000000"/>
        <sz val="12"/>
        <u val="none"/>
      </rPr>
      <t xml:space="preserve">
二、基于安装与设备费占比通常为30%~50%：</t>
    </r>
    <r>
      <rPr>
        <rFont val="宋体"/>
        <b val="true"/>
        <i val="false"/>
        <strike val="false"/>
        <color rgb="FF000000"/>
        <sz val="12"/>
        <u val="none"/>
      </rPr>
      <t xml:space="preserve">
1.“环城北”安装费异常偏高；</t>
    </r>
    <r>
      <rPr>
        <rFont val="宋体"/>
        <b val="true"/>
        <i val="false"/>
        <strike val="false"/>
        <color rgb="FF000000"/>
        <sz val="12"/>
        <u val="none"/>
      </rPr>
      <t xml:space="preserve">
2.“中部”因建面较大，线缆配置需求较“南站”大，故安装费稍高于“南站”，但属合理范围内。</t>
    </r>
  </si>
  <si>
    <r>
      <rPr>
        <rFont val="宋体"/>
        <b val="true"/>
        <i val="false"/>
        <strike val="false"/>
        <color rgb="FF000000"/>
        <sz val="12"/>
        <u val="none"/>
      </rPr>
      <t>电气专业</t>
    </r>
    <r>
      <rPr>
        <rFont val="宋体"/>
        <b val="true"/>
        <i val="false"/>
        <strike val="false"/>
        <color rgb="FF000000"/>
        <sz val="12"/>
        <u val="none"/>
      </rPr>
      <t xml:space="preserve">
（首期80%、远期20%）</t>
    </r>
  </si>
  <si>
    <r>
      <rPr>
        <rFont val="宋体"/>
        <b val="true"/>
        <i val="false"/>
        <strike val="false"/>
        <color rgb="FF000000"/>
        <sz val="12"/>
        <u val="none"/>
      </rPr>
      <t>偏差原因：安装费因工程量差异；设备费偏差主要是数量和单价的差异。</t>
    </r>
    <r>
      <rPr>
        <rFont val="宋体"/>
        <b val="true"/>
        <i val="false"/>
        <strike val="false"/>
        <color rgb="FF000000"/>
        <sz val="12"/>
        <u val="none"/>
      </rPr>
      <t xml:space="preserve">
一、环城北：1.安装费:因工程量差异；2.设备费：2.1南站水厂高压柜（含直流屏）14台，平均单价7.2万/台，低压柜69台，平均单价5.8万/台；环城北高压柜（含直流屏）14台，平均单价10.1万/台，低压柜150台，平均单价6.1万/台，相比少600万；2.2南站水厂配电箱140台，平均单价6600元/台；环城北配电箱457台，平均单价3500元/台，相比少70万，总共少670万。</t>
    </r>
    <r>
      <rPr>
        <rFont val="宋体"/>
        <b val="true"/>
        <i val="false"/>
        <strike val="false"/>
        <color rgb="FF000000"/>
        <sz val="12"/>
        <u val="none"/>
      </rPr>
      <t xml:space="preserve">
二、中部净水厂：1.安装费:1.1中部水厂有763万外电未在招标预算范围；1.2.南站水厂母线760米，平均单价5500元/米，中部水厂母线130米，平均单价5500元/米，相比多415万。</t>
    </r>
    <r>
      <rPr>
        <rFont val="宋体"/>
        <b val="true"/>
        <i val="false"/>
        <strike val="false"/>
        <color rgb="FF000000"/>
        <sz val="12"/>
        <u val="none"/>
      </rPr>
      <t xml:space="preserve">
三、洛溪首期：1.安装费:因工程量差异；2.设备费：2.1南站水厂高压柜（含直流屏）14台，平均单价7.2万/台，低压柜69台，平均单价5.8万/台；洛溪首期高压柜（含直流屏）10台，平均单价10万/台，低压柜73台，平均单价8万/台，相比少170万；2.2南站水厂电梯3部，平均单价28.2万/部，洛溪首期电梯3部，平均单价13.1万/部，相比多40万，总共少130万。</t>
    </r>
  </si>
  <si>
    <r>
      <rPr>
        <rFont val="宋体"/>
        <b val="true"/>
        <i val="false"/>
        <strike val="false"/>
        <color rgb="FF000000"/>
        <sz val="12"/>
        <u val="none"/>
      </rPr>
      <t>暖通、除臭专业</t>
    </r>
    <r>
      <rPr>
        <rFont val="宋体"/>
        <b val="true"/>
        <i val="false"/>
        <strike val="false"/>
        <color rgb="FF000000"/>
        <sz val="12"/>
        <u val="none"/>
      </rPr>
      <t xml:space="preserve">
（首期100%）</t>
    </r>
  </si>
  <si>
    <r>
      <rPr>
        <rFont val="宋体"/>
        <b val="true"/>
        <i val="false"/>
        <strike val="false"/>
        <color rgb="FF000000"/>
        <sz val="12"/>
        <u val="none"/>
      </rPr>
      <t>一、经对比分析，“南站”和“中部”设备配置不一致。“中部”设备为“碱洗涤+生物除臭复合滤池”、“化学碱洗涤塔”、“土壤除臭滤池”、“全过程除臭生物填料释放罐”等设备，费用约737万；</t>
    </r>
    <r>
      <rPr>
        <rFont val="宋体"/>
        <b val="true"/>
        <i val="false"/>
        <strike val="false"/>
        <color rgb="FF000000"/>
        <sz val="12"/>
        <u val="none"/>
      </rPr>
      <t xml:space="preserve">
二、“南站””和“环城北”相比，设备配置基本一致，“环城北”设备费偏低。</t>
    </r>
  </si>
  <si>
    <r>
      <rPr>
        <rFont val="宋体"/>
        <b val="true"/>
        <i val="false"/>
        <strike val="false"/>
        <color rgb="FF000000"/>
        <sz val="12"/>
        <u val="none"/>
      </rPr>
      <t>给排水</t>
    </r>
    <r>
      <rPr>
        <rFont val="宋体"/>
        <b val="true"/>
        <i val="false"/>
        <strike val="false"/>
        <color rgb="FF000000"/>
        <sz val="12"/>
        <u val="none"/>
      </rPr>
      <t xml:space="preserve">
（首期100%）</t>
    </r>
  </si>
  <si>
    <r>
      <rPr>
        <rFont val="宋体"/>
        <b val="false"/>
        <i val="false"/>
        <strike val="false"/>
        <color rgb="FF000000"/>
        <sz val="10"/>
      </rPr>
      <t>美国原厂</t>
    </r>
    <r>
      <rPr>
        <rFont val="Arial"/>
        <b val="false"/>
        <i val="false"/>
        <strike val="false"/>
        <color rgb="FF000000"/>
        <sz val="10"/>
      </rPr>
      <t>SANTAK</t>
    </r>
  </si>
  <si>
    <r>
      <rPr>
        <rFont val="宋体"/>
        <b val="false"/>
        <i val="false"/>
        <strike val="false"/>
        <color rgb="FF000000"/>
        <sz val="10"/>
      </rPr>
      <t>美国原厂艾默生</t>
    </r>
    <r>
      <rPr>
        <rFont val="Arial"/>
        <b val="false"/>
        <i val="false"/>
        <strike val="false"/>
        <color rgb="FF000000"/>
        <sz val="10"/>
      </rPr>
      <t>Emerson</t>
    </r>
  </si>
  <si>
    <r>
      <rPr>
        <rFont val="宋体"/>
        <b val="false"/>
        <i val="false"/>
        <strike val="false"/>
        <color rgb="FF000000"/>
        <sz val="10"/>
      </rPr>
      <t>日本原装</t>
    </r>
    <r>
      <rPr>
        <rFont val="Arial"/>
        <b val="false"/>
        <i val="false"/>
        <strike val="false"/>
        <color rgb="FF000000"/>
        <sz val="10"/>
      </rPr>
      <t>APC</t>
    </r>
  </si>
  <si>
    <r>
      <rPr>
        <rFont val="宋体"/>
        <b val="false"/>
        <i val="false"/>
        <strike val="false"/>
        <color rgb="FF000000"/>
        <sz val="10"/>
      </rPr>
      <t>伊顿</t>
    </r>
    <r>
      <rPr>
        <rFont val="Calibri"/>
        <b val="false"/>
        <i val="false"/>
        <strike val="false"/>
        <color rgb="FF000000"/>
        <sz val="10"/>
      </rPr>
      <t>UPS</t>
    </r>
  </si>
  <si>
    <r>
      <rPr>
        <rFont val="宋体"/>
        <b val="false"/>
        <i val="false"/>
        <strike val="false"/>
        <color rgb="FF000000"/>
        <sz val="10"/>
      </rPr>
      <t>科隆公司（</t>
    </r>
    <r>
      <rPr>
        <rFont val="Arial"/>
        <b val="false"/>
        <i val="false"/>
        <strike val="false"/>
        <color rgb="FF000000"/>
        <sz val="10"/>
      </rPr>
      <t>KROHNE</t>
    </r>
    <r>
      <rPr>
        <rFont val="宋体"/>
        <b val="false"/>
        <i val="false"/>
        <strike val="false"/>
        <color rgb="FF000000"/>
        <sz val="10"/>
      </rPr>
      <t>）</t>
    </r>
  </si>
  <si>
    <r>
      <rPr>
        <rFont val="宋体"/>
        <b val="false"/>
        <i val="false"/>
        <strike val="false"/>
        <color rgb="FF000000"/>
        <sz val="10"/>
      </rPr>
      <t>在线式</t>
    </r>
    <r>
      <rPr>
        <rFont val="Arial"/>
        <b val="false"/>
        <i val="false"/>
        <strike val="false"/>
        <color rgb="FF000000"/>
        <sz val="10"/>
      </rPr>
      <t>UPS,</t>
    </r>
    <r>
      <rPr>
        <rFont val="宋体"/>
        <b val="false"/>
        <i val="false"/>
        <strike val="false"/>
        <color rgb="FF000000"/>
        <sz val="10"/>
      </rPr>
      <t>输入</t>
    </r>
    <r>
      <rPr>
        <rFont val="Arial"/>
        <b val="false"/>
        <i val="false"/>
        <strike val="false"/>
        <color rgb="FF000000"/>
        <sz val="10"/>
      </rPr>
      <t>:380VAC,</t>
    </r>
    <r>
      <rPr>
        <rFont val="宋体"/>
        <b val="false"/>
        <i val="false"/>
        <strike val="false"/>
        <color rgb="FF000000"/>
        <sz val="10"/>
      </rPr>
      <t>输出</t>
    </r>
    <r>
      <rPr>
        <rFont val="Arial"/>
        <b val="false"/>
        <i val="false"/>
        <strike val="false"/>
        <color rgb="FF000000"/>
        <sz val="10"/>
      </rPr>
      <t>220VAC;5kVA120min</t>
    </r>
    <r>
      <rPr>
        <rFont val="宋体"/>
        <b val="false"/>
        <i val="false"/>
        <strike val="false"/>
        <color rgb="FF000000"/>
        <sz val="10"/>
      </rPr>
      <t>备电</t>
    </r>
    <r>
      <rPr>
        <rFont val="Arial"/>
        <b val="false"/>
        <i val="false"/>
        <strike val="false"/>
        <color rgb="FF000000"/>
        <sz val="10"/>
      </rPr>
      <t>,</t>
    </r>
    <r>
      <rPr>
        <rFont val="宋体"/>
        <b val="false"/>
        <i val="false"/>
        <strike val="false"/>
        <color rgb="FF000000"/>
        <sz val="10"/>
      </rPr>
      <t>功率因数不小于</t>
    </r>
    <r>
      <rPr>
        <rFont val="Arial"/>
        <b val="false"/>
        <i val="false"/>
        <strike val="false"/>
        <color rgb="FF000000"/>
        <sz val="10"/>
      </rPr>
      <t>0.98, RS232</t>
    </r>
    <r>
      <rPr>
        <rFont val="宋体"/>
        <b val="false"/>
        <i val="false"/>
        <strike val="false"/>
        <color rgb="FF000000"/>
        <sz val="10"/>
      </rPr>
      <t>通讯接口</t>
    </r>
  </si>
  <si>
    <r>
      <rPr>
        <rFont val="宋体"/>
        <b val="false"/>
        <i val="false"/>
        <strike val="false"/>
        <color rgb="FF000000"/>
        <sz val="10"/>
      </rPr>
      <t>美国原厂</t>
    </r>
    <r>
      <rPr>
        <rFont val="Calibri"/>
        <b val="false"/>
        <i val="false"/>
        <strike val="false"/>
        <color rgb="FF000000"/>
        <sz val="10"/>
      </rPr>
      <t>SANTAK</t>
    </r>
  </si>
  <si>
    <r>
      <rPr>
        <rFont val="宋体"/>
        <b val="false"/>
        <i val="false"/>
        <strike val="false"/>
        <color rgb="FF000000"/>
        <sz val="10"/>
      </rPr>
      <t>美国原厂艾默生</t>
    </r>
    <r>
      <rPr>
        <rFont val="Calibri"/>
        <b val="false"/>
        <i val="false"/>
        <strike val="false"/>
        <color rgb="FF000000"/>
        <sz val="10"/>
      </rPr>
      <t>Emerson</t>
    </r>
  </si>
  <si>
    <r>
      <rPr>
        <rFont val="宋体"/>
        <b val="false"/>
        <i val="false"/>
        <strike val="false"/>
        <color rgb="FF000000"/>
        <sz val="10"/>
      </rPr>
      <t>日本原装</t>
    </r>
    <r>
      <rPr>
        <rFont val="Calibri"/>
        <b val="false"/>
        <i val="false"/>
        <strike val="false"/>
        <color rgb="FF000000"/>
        <sz val="10"/>
      </rPr>
      <t>APC</t>
    </r>
  </si>
  <si>
    <r>
      <rPr>
        <rFont val="Arial"/>
        <b val="false"/>
        <i val="false"/>
        <strike val="false"/>
        <color rgb="FF000000"/>
        <sz val="10"/>
      </rPr>
      <t>AC220V 50Hz / </t>
    </r>
    <r>
      <rPr>
        <rFont val="Arial"/>
        <b val="false"/>
        <i val="false"/>
        <strike val="false"/>
        <color rgb="FF800080"/>
        <sz val="10"/>
      </rPr>
      <t>DC24V</t>
    </r>
    <r>
      <rPr>
        <rFont val="Arial"/>
        <b val="false"/>
        <i val="false"/>
        <strike val="false"/>
        <color rgb="FF000000"/>
        <sz val="10"/>
      </rPr>
      <t> 10A</t>
    </r>
  </si>
  <si>
    <r>
      <rPr>
        <rFont val="宋体"/>
        <b val="false"/>
        <i val="false"/>
        <strike val="false"/>
        <color rgb="FF000000"/>
        <sz val="10"/>
      </rPr>
      <t>室外</t>
    </r>
    <r>
      <rPr>
        <rFont val="Arial"/>
        <b val="false"/>
        <i val="false"/>
        <strike val="false"/>
        <color rgb="FF000000"/>
        <sz val="10"/>
      </rPr>
      <t>100</t>
    </r>
    <r>
      <rPr>
        <rFont val="宋体"/>
        <b val="false"/>
        <i val="false"/>
        <strike val="false"/>
        <color rgb="FF000000"/>
        <sz val="10"/>
      </rPr>
      <t>米</t>
    </r>
    <r>
      <rPr>
        <rFont val="Arial"/>
        <b val="false"/>
        <i val="false"/>
        <strike val="false"/>
        <color rgb="FF000000"/>
        <sz val="10"/>
      </rPr>
      <t>,4</t>
    </r>
    <r>
      <rPr>
        <rFont val="宋体"/>
        <b val="false"/>
        <i val="false"/>
        <strike val="false"/>
        <color rgb="FF000000"/>
        <sz val="10"/>
      </rPr>
      <t>光束</t>
    </r>
    <r>
      <rPr>
        <rFont val="Arial"/>
        <b val="false"/>
        <i val="false"/>
        <strike val="false"/>
        <color rgb="FF000000"/>
        <sz val="10"/>
      </rPr>
      <t>,</t>
    </r>
    <r>
      <rPr>
        <rFont val="宋体"/>
        <b val="false"/>
        <i val="false"/>
        <strike val="false"/>
        <color rgb="FF000000"/>
        <sz val="10"/>
      </rPr>
      <t>含</t>
    </r>
    <r>
      <rPr>
        <rFont val="宋体"/>
        <b val="false"/>
        <i val="false"/>
        <strike val="false"/>
        <color rgb="FF800080"/>
        <sz val="10"/>
        <u/>
      </rPr>
      <t>发送、接收单元各一套</t>
    </r>
  </si>
  <si>
    <r>
      <rPr>
        <rFont val="仿宋"/>
        <b val="false"/>
        <i val="false"/>
        <strike val="false"/>
        <color rgb="FF006100"/>
        <sz val="11"/>
        <u val="none"/>
      </rPr>
      <t>元</t>
    </r>
    <r>
      <rPr>
        <rFont val="仿宋"/>
        <b val="false"/>
        <i val="false"/>
        <strike val="false"/>
        <color rgb="FF000000"/>
        <sz val="11"/>
        <u val="none"/>
      </rPr>
      <t>/吨水</t>
    </r>
  </si>
  <si>
    <r>
      <rPr>
        <rFont val="宋体"/>
        <b val="false"/>
        <i val="false"/>
        <strike val="false"/>
        <color rgb="FF000000"/>
        <sz val="10"/>
        <u val="none"/>
      </rPr>
      <t>圆形管道式</t>
    </r>
    <r>
      <rPr>
        <rFont val="MS Mincho"/>
        <b val="false"/>
        <i val="false"/>
        <strike val="false"/>
        <color rgb="FF000000"/>
        <sz val="10"/>
        <u val="none"/>
      </rPr>
      <t>∅</t>
    </r>
    <r>
      <rPr>
        <rFont val="宋体"/>
        <b val="false"/>
        <i val="false"/>
        <strike val="false"/>
        <color rgb="FF000000"/>
        <sz val="10"/>
        <u val="none"/>
      </rPr>
      <t>1600,1.5t</t>
    </r>
  </si>
  <si>
    <r>
      <rPr>
        <rFont val="宋体"/>
        <b val="false"/>
        <i val="false"/>
        <strike val="false"/>
        <color rgb="FFFF0000"/>
        <sz val="10"/>
        <u val="none"/>
      </rPr>
      <t>直径</t>
    </r>
    <r>
      <rPr>
        <rFont val="MS Mincho"/>
        <b val="false"/>
        <i val="false"/>
        <strike val="false"/>
        <color rgb="FFFF0000"/>
        <sz val="10"/>
        <u val="none"/>
      </rPr>
      <t>∅</t>
    </r>
    <r>
      <rPr>
        <rFont val="宋体"/>
        <b val="false"/>
        <i val="false"/>
        <strike val="false"/>
        <color rgb="FFFF0000"/>
        <sz val="10"/>
        <u val="none"/>
      </rPr>
      <t>12000,周边线速度1.56m/min，N=0.75kw</t>
    </r>
  </si>
  <si>
    <r>
      <rPr>
        <rFont val="Times New Roman"/>
        <b val="false"/>
        <i val="false"/>
        <strike val="false"/>
        <color rgb="FFFF0000"/>
        <sz val="10"/>
        <u val="none"/>
      </rPr>
      <t>Q=6m3/h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H=20m</t>
    </r>
  </si>
  <si>
    <r>
      <rPr>
        <rFont val="等线"/>
        <b val="false"/>
        <i val="false"/>
        <strike val="false"/>
        <color rgb="FFFF0000"/>
        <sz val="10"/>
        <u val="none"/>
      </rPr>
      <t>复洁污泥脱水干化成套设备控制软件</t>
    </r>
    <r>
      <rPr>
        <rFont val="Times New Roman"/>
        <b val="false"/>
        <i val="false"/>
        <strike val="false"/>
        <color rgb="FFFF0000"/>
        <sz val="10"/>
        <u val="none"/>
      </rPr>
      <t>V2.0</t>
    </r>
  </si>
  <si>
    <r>
      <rPr>
        <rFont val="Times New Roman"/>
        <b val="false"/>
        <i val="false"/>
        <strike val="false"/>
        <color rgb="FFFF0000"/>
        <sz val="10"/>
        <u val="none"/>
      </rPr>
      <t>Q=50m3/h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H=100m</t>
    </r>
  </si>
  <si>
    <r>
      <rPr>
        <rFont val="Times New Roman"/>
        <b val="false"/>
        <i val="false"/>
        <strike val="false"/>
        <color rgb="FFFF0000"/>
        <sz val="10"/>
        <u val="none"/>
      </rPr>
      <t>Q=3m3/h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H=20m</t>
    </r>
  </si>
  <si>
    <r>
      <rPr>
        <rFont val="Times New Roman"/>
        <b val="false"/>
        <i val="false"/>
        <strike val="false"/>
        <color rgb="FFFF0000"/>
        <sz val="10"/>
        <u val="none"/>
      </rPr>
      <t>Q=30m3/h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H=100m</t>
    </r>
  </si>
  <si>
    <r>
      <rPr>
        <rFont val="Times New Roman"/>
        <b val="false"/>
        <i val="false"/>
        <strike val="false"/>
        <color rgb="FFFF0000"/>
        <sz val="10"/>
        <u val="none"/>
      </rPr>
      <t>Q=180m3/h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H=20m</t>
    </r>
  </si>
  <si>
    <r>
      <rPr>
        <rFont val="等线"/>
        <b val="false"/>
        <i val="false"/>
        <strike val="false"/>
        <color rgb="FFFF0000"/>
        <sz val="10"/>
        <u val="none"/>
      </rPr>
      <t>制热量</t>
    </r>
    <r>
      <rPr>
        <rFont val="Times New Roman"/>
        <b val="false"/>
        <i val="false"/>
        <strike val="false"/>
        <color rgb="FFFF0000"/>
        <sz val="10"/>
        <u val="none"/>
      </rPr>
      <t>1360kW</t>
    </r>
  </si>
  <si>
    <r>
      <rPr>
        <rFont val="Times New Roman"/>
        <b val="false"/>
        <i val="false"/>
        <strike val="false"/>
        <color rgb="FFFF0000"/>
        <sz val="10"/>
        <u val="none"/>
      </rPr>
      <t>Q=240m3/h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H=20m</t>
    </r>
  </si>
  <si>
    <r>
      <rPr>
        <rFont val="Times New Roman"/>
        <b val="false"/>
        <i val="false"/>
        <strike val="false"/>
        <color rgb="FFFF0000"/>
        <sz val="10"/>
        <u val="none"/>
      </rPr>
      <t>33m3/min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15KPa</t>
    </r>
  </si>
  <si>
    <r>
      <rPr>
        <rFont val="Times New Roman"/>
        <b val="false"/>
        <i val="false"/>
        <strike val="false"/>
        <color rgb="FFFF0000"/>
        <sz val="10"/>
        <u val="none"/>
      </rPr>
      <t>Q=155m3/h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H=25m</t>
    </r>
  </si>
  <si>
    <r>
      <rPr>
        <rFont val="Times New Roman"/>
        <b val="false"/>
        <i val="false"/>
        <strike val="false"/>
        <color rgb="FFFF0000"/>
        <sz val="10"/>
        <u val="none"/>
      </rPr>
      <t>Q=40m3/h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 xml:space="preserve">H=40m </t>
    </r>
  </si>
  <si>
    <r>
      <rPr>
        <rFont val="Times New Roman"/>
        <b val="false"/>
        <i val="false"/>
        <strike val="false"/>
        <color rgb="FFFF0000"/>
        <sz val="10"/>
        <u val="none"/>
      </rPr>
      <t>2.1m3/min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P=10bar</t>
    </r>
  </si>
  <si>
    <r>
      <rPr>
        <rFont val="Times New Roman"/>
        <b val="false"/>
        <i val="false"/>
        <strike val="false"/>
        <color rgb="FFFF0000"/>
        <sz val="10"/>
        <u val="none"/>
      </rPr>
      <t>V=10m3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1.0MPa</t>
    </r>
  </si>
  <si>
    <r>
      <rPr>
        <rFont val="Times New Roman"/>
        <b val="false"/>
        <i val="false"/>
        <strike val="false"/>
        <color rgb="FFFF0000"/>
        <sz val="10"/>
        <u val="none"/>
      </rPr>
      <t>V=3m3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1.0MPa</t>
    </r>
  </si>
  <si>
    <r>
      <rPr>
        <rFont val="Times New Roman"/>
        <b val="false"/>
        <i val="false"/>
        <strike val="false"/>
        <color rgb="FFFF0000"/>
        <sz val="10"/>
        <u val="none"/>
      </rPr>
      <t>20t/h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 xml:space="preserve"> L=9m</t>
    </r>
  </si>
  <si>
    <r>
      <rPr>
        <rFont val="Times New Roman"/>
        <b val="false"/>
        <i val="false"/>
        <strike val="false"/>
        <color rgb="FFFF0000"/>
        <sz val="10"/>
        <u val="none"/>
      </rPr>
      <t>16.6</t>
    </r>
    <r>
      <rPr>
        <rFont val="宋体"/>
        <b val="false"/>
        <i val="false"/>
        <strike val="false"/>
        <color rgb="FFFF0000"/>
        <sz val="10"/>
        <u val="none"/>
      </rPr>
      <t>×</t>
    </r>
    <r>
      <rPr>
        <rFont val="Times New Roman"/>
        <b val="false"/>
        <i val="false"/>
        <strike val="false"/>
        <color rgb="FFFF0000"/>
        <sz val="10"/>
        <u val="none"/>
      </rPr>
      <t>4.4</t>
    </r>
    <r>
      <rPr>
        <rFont val="宋体"/>
        <b val="false"/>
        <i val="false"/>
        <strike val="false"/>
        <color rgb="FFFF0000"/>
        <sz val="10"/>
        <u val="none"/>
      </rPr>
      <t>×</t>
    </r>
    <r>
      <rPr>
        <rFont val="Times New Roman"/>
        <b val="false"/>
        <i val="false"/>
        <strike val="false"/>
        <color rgb="FFFF0000"/>
        <sz val="10"/>
        <u val="none"/>
      </rPr>
      <t>4.4m</t>
    </r>
  </si>
  <si>
    <r>
      <rPr>
        <rFont val="宋体"/>
        <b val="false"/>
        <i val="false"/>
        <strike val="false"/>
        <color rgb="FFFF0000"/>
        <sz val="10"/>
        <u val="none"/>
      </rPr>
      <t>起吊重量2.9</t>
    </r>
    <r>
      <rPr>
        <rFont val="Times New Roman"/>
        <b val="false"/>
        <i val="false"/>
        <strike val="false"/>
        <color rgb="FFFF0000"/>
        <sz val="10"/>
        <u val="none"/>
      </rPr>
      <t>t</t>
    </r>
  </si>
  <si>
    <r>
      <rPr>
        <rFont val="Times New Roman"/>
        <b val="false"/>
        <i val="false"/>
        <strike val="false"/>
        <color rgb="FFFF0000"/>
        <sz val="10"/>
        <u val="none"/>
      </rPr>
      <t>Q=25m3/h</t>
    </r>
    <r>
      <rPr>
        <rFont val="宋体"/>
        <b val="false"/>
        <i val="false"/>
        <strike val="false"/>
        <color rgb="FFFF0000"/>
        <sz val="10"/>
        <u val="none"/>
      </rPr>
      <t>，</t>
    </r>
    <r>
      <rPr>
        <rFont val="Times New Roman"/>
        <b val="false"/>
        <i val="false"/>
        <strike val="false"/>
        <color rgb="FFFF0000"/>
        <sz val="10"/>
        <u val="none"/>
      </rPr>
      <t>H=15m</t>
    </r>
  </si>
  <si>
    <r>
      <rPr>
        <rFont val="宋体"/>
        <b val="false"/>
        <i val="false"/>
        <strike val="false"/>
        <color theme="1" tint="0"/>
        <sz val="12"/>
        <u val="none"/>
      </rPr>
      <t>m</t>
    </r>
    <r>
      <rPr>
        <rFont val="宋体"/>
        <b val="false"/>
        <i val="false"/>
        <strike val="false"/>
        <color rgb="FF000000"/>
        <sz val="12"/>
        <u val="none"/>
      </rPr>
      <t>3/d</t>
    </r>
  </si>
  <si>
    <r>
      <rPr>
        <rFont val="宋体"/>
        <b val="true"/>
        <i val="false"/>
        <strike val="false"/>
        <color theme="1" tint="0"/>
        <sz val="12"/>
        <u val="none"/>
      </rPr>
      <t>m</t>
    </r>
    <r>
      <rPr>
        <rFont val="宋体"/>
        <b val="true"/>
        <i val="false"/>
        <strike val="false"/>
        <color rgb="FF000000"/>
        <sz val="12"/>
        <u val="none"/>
      </rPr>
      <t>3/d</t>
    </r>
  </si>
</sst>
</file>

<file path=xl/styles.xml><?xml version="1.0" encoding="utf-8"?>
<styleSheet xmlns="http://schemas.openxmlformats.org/spreadsheetml/2006/main">
  <numFmts count="19">
    <numFmt numFmtId="300" formatCode="0_ "/>
    <numFmt numFmtId="301" formatCode="0.00_ "/>
    <numFmt numFmtId="302" formatCode="0.00_);[Red]\(0.00\)"/>
    <numFmt numFmtId="303" formatCode="0_);[Red]\(0\)"/>
    <numFmt numFmtId="304" formatCode="0.0_);[Red]\(0.0\)"/>
    <numFmt numFmtId="305" formatCode="0.000_ "/>
    <numFmt numFmtId="306" formatCode="0.0%"/>
    <numFmt numFmtId="307" formatCode="0.00_ ;[Red]\-0.00\ "/>
    <numFmt numFmtId="308" formatCode="000000"/>
    <numFmt numFmtId="309" formatCode="0.0_ "/>
    <numFmt numFmtId="310" formatCode="0.0000_ "/>
    <numFmt numFmtId="311" formatCode="0.0000"/>
    <numFmt numFmtId="312" formatCode="0.000_);[Red]\(0.000\)"/>
    <numFmt numFmtId="313" formatCode="0.0000_);[Red]\(0.0000\)"/>
    <numFmt numFmtId="314" formatCode="0.000"/>
    <numFmt numFmtId="315" formatCode="0.0"/>
    <numFmt numFmtId="316" formatCode="0.00000"/>
    <numFmt numFmtId="317" formatCode="0%"/>
    <numFmt numFmtId="318" formatCode="0.00%"/>
  </numFmts>
  <fonts count="7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  <b val="true"/>
      <sz val="16"/>
    </font>
    <font>
      <name val="SimSun"/>
      <sz val="9"/>
    </font>
    <font>
      <name val="SimSun"/>
      <color rgb="FF000000"/>
      <sz val="9"/>
    </font>
    <font/>
    <font>
      <name val="SimSun"/>
      <b val="true"/>
      <sz val="11"/>
    </font>
    <font>
      <name val="等线"/>
      <sz val="11"/>
    </font>
    <font>
      <name val="SimSun"/>
      <sz val="11"/>
    </font>
    <font>
      <name val="宋体"/>
      <sz val="11"/>
    </font>
    <font>
      <name val="Arial"/>
    </font>
    <font>
      <name val="Arial"/>
      <b val="false"/>
    </font>
    <font>
      <sz val="10"/>
    </font>
    <font>
      <name val="宋体"/>
      <sz val="9"/>
    </font>
    <font>
      <name val="Arial"/>
      <sz val="10"/>
    </font>
    <font>
      <name val="宋体"/>
      <color theme="1" tint="0"/>
      <sz val="16"/>
    </font>
    <font>
      <name val="宋体"/>
      <sz val="12"/>
    </font>
    <font>
      <name val="宋体"/>
      <b val="true"/>
      <sz val="12"/>
    </font>
    <font>
      <name val="SimSun"/>
      <b val="true"/>
      <sz val="9"/>
    </font>
    <font>
      <name val="宋体"/>
      <b val="true"/>
      <sz val="11"/>
    </font>
    <font>
      <name val="SimSun"/>
      <color rgb="FFFF0000"/>
      <sz val="9"/>
    </font>
    <font>
      <name val="黑体"/>
      <color theme="1" tint="0"/>
      <sz val="20"/>
    </font>
    <font>
      <name val="黑体"/>
      <color theme="1" tint="0"/>
      <sz val="12"/>
    </font>
    <font>
      <name val="宋体"/>
      <color theme="1" tint="0"/>
      <sz val="12"/>
    </font>
    <font>
      <name val="微软雅黑"/>
      <sz val="11"/>
    </font>
    <font>
      <name val="宋体"/>
      <b val="true"/>
      <color theme="1" tint="0"/>
      <sz val="12"/>
    </font>
    <font>
      <name val="宋体"/>
      <color rgb="FFFF0000"/>
      <sz val="12"/>
    </font>
    <font>
      <name val="宋体"/>
      <color theme="1" tint="0"/>
      <sz val="10"/>
    </font>
    <font>
      <name val="宋体"/>
      <color rgb="FFFF0000"/>
      <sz val="10"/>
    </font>
    <font>
      <name val="Times New Roman"/>
      <color rgb="FFFF0000"/>
      <sz val="10"/>
    </font>
    <font>
      <name val="Times New Roman"/>
      <color theme="1" tint="0"/>
      <sz val="10"/>
    </font>
    <font>
      <name val="宋体"/>
      <sz val="11"/>
    </font>
    <font>
      <name val="宋体"/>
      <b val="true"/>
      <color rgb="FFFF0000"/>
      <sz val="12"/>
    </font>
    <font>
      <name val="SimSun"/>
      <b val="true"/>
      <sz val="16"/>
    </font>
    <font>
      <name val="SimSun"/>
      <sz val="9"/>
    </font>
    <font>
      <name val="SimSun"/>
      <b val="false"/>
      <i val="false"/>
      <strike val="false"/>
      <color rgb="FF000000"/>
      <sz val="9"/>
    </font>
    <font>
      <name val="SimSun"/>
      <b val="true"/>
      <sz val="9"/>
    </font>
    <font>
      <name val="SimSun"/>
      <color rgb="FF000000"/>
      <sz val="9"/>
    </font>
    <font>
      <name val="SimSun"/>
      <b val="true"/>
      <color rgb="FF000000"/>
      <sz val="9"/>
    </font>
    <font>
      <color rgb="FF000000"/>
    </font>
    <font>
      <name val="SimSun"/>
      <b val="true"/>
      <color rgb="FF000000"/>
      <sz val="9"/>
    </font>
    <font/>
    <font>
      <name val="SimSun"/>
      <sz val="9"/>
    </font>
    <font>
      <name val="SimSun"/>
      <sz val="9"/>
    </font>
    <font>
      <name val="宋体"/>
      <color theme="1" tint="0"/>
      <sz val="11"/>
    </font>
    <font>
      <name val="宋体"/>
      <b val="true"/>
      <sz val="11"/>
    </font>
    <font>
      <name val="宋体"/>
      <sz val="10"/>
    </font>
    <font>
      <name val="宋体"/>
      <color rgb="FF006100"/>
      <sz val="11"/>
    </font>
    <font>
      <name val="宋体"/>
      <color rgb="FFC00000"/>
      <sz val="11"/>
    </font>
    <font>
      <name val="宋体"/>
      <b val="true"/>
      <sz val="10"/>
    </font>
    <font>
      <name val="宋体"/>
      <b val="true"/>
      <sz val="20"/>
    </font>
    <font>
      <name val="Times New Roman"/>
      <sz val="12"/>
    </font>
    <font>
      <name val="黑体"/>
      <color theme="1" tint="0"/>
      <sz val="20"/>
    </font>
    <font>
      <name val="宋体"/>
      <sz val="12"/>
    </font>
    <font>
      <name val="宋体"/>
      <b val="true"/>
      <sz val="12"/>
    </font>
    <font>
      <name val="宋体"/>
      <b val="true"/>
      <color theme="1" tint="0"/>
      <sz val="12"/>
    </font>
    <font>
      <name val="宋体"/>
      <color rgb="FFFF0000"/>
      <sz val="12"/>
    </font>
    <font>
      <name val="宋体"/>
      <b val="false"/>
      <sz val="12"/>
    </font>
    <font>
      <name val="宋体"/>
      <color theme="1" tint="0"/>
      <sz val="12"/>
    </font>
    <font>
      <name val="SimSun"/>
      <sz val="9"/>
      <u/>
    </font>
    <font>
      <name val="宋体"/>
    </font>
    <font>
      <name val="Calibri"/>
    </font>
    <font>
      <name val="宋体"/>
      <sz val="10"/>
    </font>
    <font>
      <name val="仿宋"/>
      <color theme="1" tint="0"/>
      <sz val="11"/>
    </font>
    <font>
      <name val="仿宋"/>
      <color rgb="FF006100"/>
      <sz val="11"/>
    </font>
    <font>
      <name val="仿宋"/>
      <sz val="12"/>
    </font>
    <font>
      <name val="仿宋"/>
      <color rgb="FFFF0000"/>
      <sz val="12"/>
    </font>
    <font>
      <name val="宋体"/>
      <color rgb="FF9C6500"/>
      <sz val="11"/>
    </font>
    <font>
      <name val="等线"/>
      <sz val="11"/>
    </font>
    <font>
      <name val="等线"/>
      <sz val="10"/>
    </font>
    <font>
      <name val="等线"/>
      <color rgb="FFFF0000"/>
      <sz val="11"/>
    </font>
    <font>
      <name val="等线"/>
      <color rgb="FFFF0000"/>
      <sz val="10"/>
    </font>
    <font>
      <b val="true"/>
    </font>
  </fonts>
  <fills count="19">
    <fill>
      <patternFill patternType="none"/>
    </fill>
    <fill>
      <patternFill patternType="gray125"/>
    </fill>
    <fill>
      <patternFill patternType="solid">
        <fgColor rgb="FFEAFAF1"/>
        <bgColor auto="true"/>
      </patternFill>
    </fill>
    <fill>
      <patternFill/>
    </fill>
    <fill>
      <patternFill patternType="solid">
        <fgColor rgb="FF00B0F0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theme="0" tint="0"/>
        <bgColor auto="true"/>
      </patternFill>
    </fill>
    <fill>
      <patternFill patternType="solid">
        <fgColor rgb="FFFF0000"/>
        <bgColor auto="true"/>
      </patternFill>
    </fill>
    <fill>
      <patternFill patternType="solid">
        <fgColor rgb="FFF2C7FF"/>
        <bgColor auto="true"/>
      </patternFill>
    </fill>
    <fill>
      <patternFill/>
    </fill>
    <fill>
      <patternFill patternType="solid">
        <fgColor rgb="FF99BEFF"/>
        <bgColor auto="true"/>
      </patternFill>
    </fill>
    <fill>
      <patternFill patternType="solid">
        <fgColor rgb="FFFDEBFF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theme="8" tint="0.79998"/>
        <bgColor auto="true"/>
      </patternFill>
    </fill>
    <fill>
      <patternFill patternType="solid">
        <fgColor rgb="FFC6EFCE"/>
        <bgColor auto="true"/>
      </patternFill>
    </fill>
    <fill>
      <patternFill patternType="solid">
        <fgColor rgb="FFFCE4D6"/>
        <bgColor auto="true"/>
      </patternFill>
    </fill>
    <fill>
      <patternFill patternType="solid">
        <fgColor rgb="FFE2EFDA"/>
        <bgColor auto="true"/>
      </patternFill>
    </fill>
    <fill>
      <patternFill patternType="solid">
        <fgColor rgb="FFFFEB9C"/>
        <bgColor auto="true"/>
      </patternFill>
    </fill>
  </fills>
  <borders count="129">
    <border>
      <left/>
      <right/>
      <top/>
      <bottom/>
      <diagonal/>
    </border>
    <border diagonalUp="true" diagonalDown="true">
      <left style="thin">
        <color rgb="FF000000"/>
      </left>
      <top style="thin">
        <color rgb="FF000000"/>
      </top>
      <diagonal/>
    </border>
    <border>
      <top style="thin">
        <color rgb="FF000000"/>
      </top>
    </border>
    <border/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diagonal/>
    </border>
    <border diagonalUp="true" diagonalDown="true">
      <left style="thin">
        <color rgb="FF000000"/>
      </left>
      <diagonal/>
    </border>
    <border diagonalUp="true" diagonalDown="true">
      <right style="thin">
        <color rgb="FF000000"/>
      </right>
      <diagonal/>
    </border>
    <border>
      <left style="thin">
        <color rgb="FF000000"/>
      </left>
      <right style="thin">
        <color rgb="FF000000"/>
      </right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 diagonalUp="true" diagonalDown="true"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 diagonalUp="true" diagonalDown="true"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 diagonalUp="true" diagonalDown="true">
      <left style="thin">
        <color rgb="FF000000"/>
      </lef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right style="thin">
        <color rgb="FF000000"/>
      </right>
      <top style="thin">
        <color rgb="FF000000"/>
      </top>
      <diagonal/>
    </border>
    <border diagonalUp="true" diagonalDown="true"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 diagonalUp="true" diagonalDown="true">
      <left/>
      <right/>
      <top style="thin">
        <color rgb="FF000000"/>
      </top>
      <bottom/>
      <diagonal/>
    </border>
    <border diagonalUp="true" diagonalDown="true">
      <left/>
      <right style="thin">
        <color rgb="FF000000"/>
      </right>
      <top style="thin">
        <color rgb="FF000000"/>
      </top>
      <bottom/>
      <diagonal/>
    </border>
    <border diagonalUp="true" diagonalDown="true">
      <left style="thin">
        <color rgb="FF000000"/>
      </left>
      <right/>
      <top/>
      <bottom style="thin">
        <color rgb="FF000000"/>
      </bottom>
      <diagonal/>
    </border>
    <border diagonalUp="true" diagonalDown="true">
      <left/>
      <right/>
      <top/>
      <bottom style="thin">
        <color rgb="FF000000"/>
      </bottom>
      <diagonal/>
    </border>
    <border diagonalUp="true" diagonalDown="true">
      <left/>
      <right style="thin">
        <color rgb="FF000000"/>
      </right>
      <top/>
      <bottom style="thin">
        <color rgb="FF000000"/>
      </bottom>
      <diagonal/>
    </border>
    <border diagonalUp="true" diagonalDown="true">
      <left style="thin">
        <color rgb="FF000000"/>
      </left>
      <bottom style="thin">
        <color rgb="FF000000"/>
      </bottom>
      <diagonal/>
    </border>
    <border diagonalUp="true" diagonalDown="true">
      <right style="thin">
        <color rgb="FF000000"/>
      </right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/>
    </border>
    <border diagonalUp="true" diagonalDown="true">
      <right style="thin">
        <color rgb="FF000000"/>
      </right>
      <diagonal/>
    </border>
    <border diagonalUp="true" diagonalDown="true">
      <left style="thin">
        <color rgb="FF000000"/>
      </left>
      <right style="thin">
        <color rgb="FF000000"/>
      </right>
      <diagonal/>
    </border>
    <border diagonalUp="true" diagonalDown="true">
      <left style="thin">
        <color rgb="FF000000"/>
      </left>
      <top style="thin">
        <color rgb="FF000000"/>
      </top>
      <diagonal/>
    </border>
    <border diagonalUp="true" diagonalDown="true">
      <left style="thin">
        <color rgb="FF000000"/>
      </left>
      <diagonal/>
    </border>
    <border>
      <left style="thin">
        <color rgb="FF000000"/>
      </left>
      <top style="thin">
        <color rgb="FF000000"/>
      </top>
    </border>
    <border/>
    <border>
      <right style="thin">
        <color rgb="FF000000"/>
      </right>
      <top style="thin">
        <color rgb="FF000000"/>
      </top>
    </border>
    <border diagonalUp="true" diagonalDown="true">
      <top style="thin">
        <color rgb="FF000000"/>
      </top>
      <bottom style="thin">
        <color rgb="FF000000"/>
      </bottom>
      <diagonal/>
    </border>
    <border diagonalUp="true" diagonalDown="true">
      <left/>
      <right/>
      <top style="thin">
        <color rgb="FF000000"/>
      </top>
      <bottom style="thin">
        <color rgb="FF000000"/>
      </bottom>
      <diagonal/>
    </border>
    <border diagonalUp="true" diagonalDown="true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true" diagonalDown="true">
      <left style="thin">
        <color theme="0" tint="0"/>
      </left>
      <right style="thin">
        <color theme="0" tint="0"/>
      </right>
      <top style="thin">
        <color theme="0" tint="0"/>
      </top>
      <bottom style="thin">
        <color theme="0" tint="0"/>
      </bottom>
      <diagonal/>
    </border>
    <border diagonalUp="true" diagonalDown="true"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 diagonalUp="true" diagonalDown="true">
      <left/>
      <right/>
      <top style="thick">
        <color rgb="FF000000"/>
      </top>
      <bottom style="medium">
        <color rgb="FF000000"/>
      </bottom>
      <diagonal/>
    </border>
    <border diagonalUp="true" diagonalDown="true">
      <left/>
      <right style="medium">
        <color rgb="FF000000"/>
      </right>
      <top/>
      <bottom style="medium">
        <color rgb="FF000000"/>
      </bottom>
      <diagonal/>
    </border>
    <border diagonalUp="true" diagonalDown="true">
      <left/>
      <right/>
      <top/>
      <bottom style="medium">
        <color rgb="FF000000"/>
      </bottom>
      <diagonal/>
    </border>
    <border diagonalUp="true" diagonalDown="true"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 diagonalUp="true" diagonalDown="tru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top style="thin">
        <color rgb="FF000000"/>
      </top>
    </border>
    <border/>
    <border/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 diagonalUp="true" diagonalDown="true">
      <top style="thin">
        <color rgb="FF000000"/>
      </top>
      <bottom style="thin">
        <color rgb="FF000000"/>
      </bottom>
      <diagonal/>
    </border>
    <border/>
    <border>
      <right style="thin">
        <color rgb="FF000000"/>
      </right>
    </border>
    <border>
      <left style="thin">
        <color rgb="FF000000"/>
      </left>
    </border>
    <border/>
    <border>
      <right style="thin">
        <color rgb="FF000000"/>
      </right>
    </border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bottom style="thin">
        <color rgb="FF000000"/>
      </bottom>
      <diagonal/>
    </border>
    <border diagonalUp="true" diagonalDown="true">
      <left style="thin">
        <color rgb="FF000000"/>
      </left>
      <bottom style="thin">
        <color rgb="FF000000"/>
      </bottom>
      <diagonal/>
    </border>
    <border diagonalUp="true" diagonalDown="true">
      <left style="thin">
        <color rgb="FF000000"/>
      </left>
      <top style="thin">
        <color rgb="FF000000"/>
      </top>
      <diagonal/>
    </border>
    <border diagonalUp="true" diagonalDown="true">
      <top style="thin">
        <color rgb="FF000000"/>
      </top>
      <diagonal/>
    </border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 diagonalUp="true" diagonalDown="true"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</border>
    <border diagonalUp="true" diagonalDown="true">
      <left style="thin">
        <color rgb="FF000000"/>
      </left>
      <top style="thin">
        <color rgb="FF000000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 diagonalUp="true" diagonalDown="true">
      <left style="thin">
        <color theme="8" tint="0.79998"/>
      </left>
      <right style="thin">
        <color theme="8" tint="0.79998"/>
      </right>
      <top style="thin">
        <color theme="8" tint="0.79998"/>
      </top>
      <bottom style="thin">
        <color theme="8" tint="0.79998"/>
      </bottom>
      <diagonal/>
    </border>
    <border diagonalUp="true" diagonalDown="true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C6EFCE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C6EFCE"/>
      </left>
      <right style="thin">
        <color rgb="FFC6EFCE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C6EFC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/>
      <bottom/>
      <diagonal/>
    </border>
    <border diagonalUp="true" diagonalDown="true">
      <left/>
      <top/>
      <bottom style="thin">
        <color rgb="FF000000"/>
      </bottom>
      <diagonal/>
    </border>
    <border>
      <top/>
      <bottom style="thin">
        <color rgb="FF000000"/>
      </bottom>
    </border>
    <border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 diagonalUp="true" diagonalDown="true">
      <top style="thin">
        <color rgb="FF000000"/>
      </top>
      <diagonal/>
    </border>
    <border>
      <top style="thin">
        <color rgb="FF000000"/>
      </top>
      <bottom style="thin">
        <color rgb="FF000000"/>
      </bottom>
    </border>
    <border/>
    <border diagonalUp="true" diagonalDown="true">
      <left style="thin">
        <color rgb="FF000000"/>
      </left>
      <bottom style="thin">
        <color rgb="FF000000"/>
      </bottom>
      <diagonal/>
    </border>
    <border diagonalUp="true" diagonalDown="true">
      <left style="thin">
        <color rgb="FF000000"/>
      </left>
      <diagonal/>
    </border>
    <border>
      <right style="thin">
        <color rgb="FF000000"/>
      </right>
    </border>
    <border/>
    <border diagonalUp="true" diagonalDown="true">
      <right style="thin">
        <color theme="0" tint="0"/>
      </right>
      <top style="thin">
        <color theme="0" tint="0"/>
      </top>
      <bottom style="thin">
        <color theme="0" tint="0"/>
      </bottom>
      <diagonal/>
    </border>
    <border diagonalUp="true" diagonalDown="true"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 diagonalUp="true" diagonalDown="true">
      <left style="thin">
        <color rgb="FFFFEB9C"/>
      </left>
      <right style="thin">
        <color rgb="FFFFEB9C"/>
      </right>
      <top style="thin">
        <color rgb="FFFFEB9C"/>
      </top>
      <bottom style="thin">
        <color rgb="FFFFEB9C"/>
      </bottom>
      <diagonal/>
    </border>
    <border diagonalUp="true" diagonalDown="true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true" diagonalDown="true"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true" diagonalDown="true"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 diagonalUp="true" diagonalDown="true">
      <left/>
      <right/>
      <top style="medium">
        <color rgb="FF000000"/>
      </top>
      <bottom style="medium">
        <color rgb="FF000000"/>
      </bottom>
      <diagonal/>
    </border>
    <border diagonalUp="true" diagonalDown="true"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 diagonalUp="true" diagonalDown="true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true" diagonalDown="true">
      <left/>
      <right style="medium">
        <color rgb="FF000000"/>
      </right>
      <top/>
      <bottom/>
      <diagonal/>
    </border>
    <border diagonalUp="true" diagonalDown="true"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 diagonalUp="true" diagonalDown="true">
      <left/>
      <right/>
      <top style="medium">
        <color rgb="FF000000"/>
      </top>
      <bottom/>
      <diagonal/>
    </border>
    <border diagonalUp="true" diagonalDown="true">
      <left/>
      <right style="medium">
        <color rgb="FF000000"/>
      </right>
      <top style="medium">
        <color rgb="FF000000"/>
      </top>
      <bottom/>
      <diagonal/>
    </border>
  </borders>
  <cellStyleXfs>
    <xf numFmtId="0" fontId="0" fillId="0" borderId="0" xfId="0">
      <alignment vertical="center"/>
    </xf>
  </cellStyleXfs>
  <cellXfs count="10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horizontal="center" vertical="center"/>
    </xf>
    <xf fontId="0" fillId="0" borderId="2" xfId="0">
      <alignment vertical="center"/>
    </xf>
    <xf fontId="0" fillId="0" borderId="3" xfId="0">
      <alignment vertical="center"/>
    </xf>
    <xf numFmtId="0" fontId="3" fillId="0" borderId="0" xfId="0">
      <alignment horizontal="center" vertical="center"/>
    </xf>
    <xf numFmtId="0" fontId="4" fillId="0" borderId="4" xfId="0">
      <alignment horizontal="left" vertical="center"/>
    </xf>
    <xf fontId="0" fillId="0" borderId="5" xfId="0">
      <alignment vertical="center"/>
    </xf>
    <xf fontId="0" fillId="0" borderId="6" xfId="0">
      <alignment vertical="center"/>
    </xf>
    <xf numFmtId="0" fontId="4" fillId="0" borderId="5" xfId="0">
      <alignment horizontal="left" vertical="center"/>
    </xf>
    <xf numFmtId="0" fontId="4" fillId="0" borderId="7" xfId="0">
      <alignment horizontal="center" vertical="center"/>
    </xf>
    <xf numFmtId="0" fontId="4" fillId="0" borderId="7" xfId="0">
      <alignment horizontal="left" vertical="center" wrapText="true"/>
    </xf>
    <xf numFmtId="0" fontId="5" fillId="0" borderId="8" xfId="0">
      <alignment horizontal="center" vertical="center" wrapText="true"/>
    </xf>
    <xf numFmtId="0" fontId="5" fillId="0" borderId="4" xfId="0">
      <alignment horizontal="left" vertical="center" wrapText="true"/>
    </xf>
    <xf numFmtId="0" fontId="4" fillId="0" borderId="4" xfId="0">
      <alignment horizontal="center" vertical="center"/>
    </xf>
    <xf numFmtId="300" fontId="5" fillId="0" borderId="4" xfId="0">
      <alignment horizontal="center" vertical="center" wrapText="true"/>
    </xf>
    <xf fontId="0" fillId="0" borderId="4" xfId="0">
      <alignment vertical="center"/>
    </xf>
    <xf numFmtId="0" fontId="5" fillId="0" borderId="9" xfId="0">
      <alignment horizontal="center" vertical="center"/>
    </xf>
    <xf numFmtId="0" fontId="5" fillId="2" borderId="10" xfId="0">
      <alignment horizontal="center" vertical="center"/>
    </xf>
    <xf fontId="6" fillId="0" borderId="10" xfId="0">
      <alignment vertical="center"/>
    </xf>
    <xf numFmtId="0" fontId="5" fillId="0" borderId="10" xfId="0">
      <alignment horizontal="center" vertical="center"/>
    </xf>
    <xf fontId="0" fillId="0" borderId="10" xfId="0">
      <alignment vertical="center"/>
    </xf>
    <xf fontId="0" fillId="0" borderId="11" xfId="0">
      <alignment vertical="center"/>
    </xf>
    <xf fontId="0" fillId="0" borderId="8" xfId="0">
      <alignment vertical="center"/>
    </xf>
    <xf fontId="0" fillId="0" borderId="9" xfId="0">
      <alignment vertical="center"/>
    </xf>
    <xf numFmtId="300" fontId="5" fillId="2" borderId="4" xfId="0">
      <alignment horizontal="center" vertical="center" wrapText="true"/>
    </xf>
    <xf numFmtId="300" fontId="5" fillId="0" borderId="4" xfId="0">
      <alignment horizontal="left" vertical="center" wrapText="true"/>
    </xf>
    <xf numFmtId="0" fontId="5" fillId="3" borderId="5" xfId="0">
      <alignment horizontal="center" vertical="center"/>
    </xf>
    <xf numFmtId="0" fontId="5" fillId="0" borderId="5" xfId="0">
      <alignment horizontal="center" vertical="center" wrapText="true"/>
    </xf>
    <xf fontId="7" fillId="0" borderId="6" xfId="0">
      <alignment vertical="center"/>
    </xf>
    <xf fontId="6" fillId="0" borderId="12" xfId="0">
      <alignment/>
    </xf>
    <xf numFmtId="0" fontId="4" fillId="0" borderId="4" xfId="0">
      <alignment horizontal="left" vertical="center" wrapText="true"/>
    </xf>
    <xf fontId="0" fillId="0" borderId="5" xfId="0">
      <alignment horizontal="center" vertical="center"/>
    </xf>
    <xf numFmtId="301" fontId="4" fillId="0" borderId="4" xfId="0">
      <alignment horizontal="center" vertical="center"/>
    </xf>
    <xf numFmtId="0" fontId="4" fillId="0" borderId="13" xfId="0">
      <alignment horizontal="center" vertical="center" wrapText="true"/>
    </xf>
    <xf numFmtId="0" fontId="5" fillId="2" borderId="14" xfId="0">
      <alignment horizontal="center" vertical="center" wrapText="true"/>
    </xf>
    <xf numFmtId="0" fontId="5" fillId="0" borderId="15" xfId="0">
      <alignment horizontal="center" vertical="center" wrapText="true"/>
    </xf>
    <xf numFmtId="0" fontId="4" fillId="0" borderId="15" xfId="0">
      <alignment horizontal="left" vertical="center" wrapText="true"/>
    </xf>
    <xf numFmtId="0" fontId="4" fillId="0" borderId="15" xfId="0">
      <alignment horizontal="center" vertical="center" wrapText="true"/>
    </xf>
    <xf numFmtId="0" fontId="5" fillId="0" borderId="4" xfId="0">
      <alignment horizontal="center" vertical="center" wrapText="true"/>
    </xf>
    <xf numFmtId="0" fontId="4" fillId="0" borderId="4" xfId="0">
      <alignment horizontal="center" vertical="center" wrapText="true"/>
    </xf>
    <xf numFmtId="0" fontId="4" fillId="0" borderId="14" xfId="0">
      <alignment horizontal="center" vertical="center"/>
    </xf>
    <xf fontId="8" fillId="0" borderId="5" xfId="0">
      <alignment vertical="center" wrapText="true"/>
    </xf>
    <xf fontId="0" fillId="0" borderId="16" xfId="0">
      <alignment horizontal="left" vertical="center"/>
    </xf>
    <xf fontId="9" fillId="0" borderId="5" xfId="0">
      <alignment horizontal="left" vertical="center" wrapText="true"/>
    </xf>
    <xf fontId="9" fillId="0" borderId="5" xfId="0">
      <alignment vertical="center" wrapText="true"/>
    </xf>
    <xf fontId="9" fillId="0" borderId="5" xfId="0">
      <alignment horizontal="center" vertical="center" wrapText="true"/>
    </xf>
    <xf numFmtId="0" fontId="4" fillId="0" borderId="15" xfId="0">
      <alignment horizontal="center" vertical="center"/>
    </xf>
    <xf numFmtId="301" fontId="4" fillId="0" borderId="15" xfId="0">
      <alignment horizontal="center" vertical="center"/>
    </xf>
    <xf numFmtId="0" fontId="5" fillId="4" borderId="14" xfId="0">
      <alignment horizontal="center" vertical="center" wrapText="true"/>
    </xf>
    <xf numFmtId="0" fontId="5" fillId="0" borderId="17" xfId="0">
      <alignment horizontal="center" vertical="center" wrapText="true"/>
    </xf>
    <xf fontId="0" fillId="0" borderId="5" xfId="0">
      <alignment horizontal="left" vertical="center"/>
    </xf>
    <xf fontId="9" fillId="0" borderId="18" xfId="0">
      <alignment horizontal="left" vertical="center" wrapText="true"/>
    </xf>
    <xf fontId="9" fillId="0" borderId="18" xfId="0">
      <alignment vertical="center" wrapText="true"/>
    </xf>
    <xf fontId="9" fillId="0" borderId="18" xfId="0">
      <alignment horizontal="center" vertical="center" wrapText="true"/>
    </xf>
    <xf fontId="0" fillId="0" borderId="19" xfId="0">
      <alignment vertical="center"/>
    </xf>
    <xf fontId="0" fillId="0" borderId="20" xfId="0">
      <alignment vertical="center"/>
    </xf>
    <xf numFmtId="0" fontId="4" fillId="0" borderId="14" xfId="0">
      <alignment horizontal="center" vertical="center" wrapText="true"/>
    </xf>
    <xf numFmtId="0" fontId="5" fillId="4" borderId="16" xfId="0">
      <alignment horizontal="center" vertical="center" wrapText="true"/>
    </xf>
    <xf fontId="0" fillId="0" borderId="21" xfId="0">
      <alignment vertical="center"/>
    </xf>
    <xf numFmtId="0" fontId="5" fillId="2" borderId="16" xfId="0">
      <alignment horizontal="center" vertical="center" wrapText="true"/>
    </xf>
    <xf fontId="8" fillId="0" borderId="5" xfId="0">
      <alignment horizontal="left" vertical="center" wrapText="true"/>
    </xf>
    <xf fontId="8" fillId="0" borderId="6" xfId="0">
      <alignment vertical="center" wrapText="true"/>
    </xf>
    <xf fontId="0" fillId="0" borderId="6" xfId="0">
      <alignment horizontal="left" vertical="center"/>
    </xf>
    <xf fontId="9" fillId="0" borderId="6" xfId="0">
      <alignment horizontal="left" vertical="center" wrapText="true"/>
    </xf>
    <xf fontId="9" fillId="0" borderId="6" xfId="0">
      <alignment vertical="center" wrapText="true"/>
    </xf>
    <xf fontId="9" fillId="0" borderId="6" xfId="0">
      <alignment horizontal="center" vertical="center" wrapText="true"/>
    </xf>
    <xf fontId="9" fillId="0" borderId="5" xfId="0">
      <alignment horizontal="left" vertical="center"/>
    </xf>
    <xf fontId="10" fillId="0" borderId="5" xfId="0">
      <alignment horizontal="left" vertical="center" wrapText="true"/>
    </xf>
    <xf fontId="10" fillId="0" borderId="5" xfId="0">
      <alignment horizontal="center" vertical="center"/>
    </xf>
    <xf numFmtId="0" fontId="5" fillId="0" borderId="11" xfId="0">
      <alignment horizontal="center" vertical="center" wrapText="true"/>
    </xf>
    <xf numFmtId="0" fontId="4" fillId="0" borderId="11" xfId="0">
      <alignment horizontal="left" vertical="center"/>
    </xf>
    <xf numFmtId="0" fontId="4" fillId="0" borderId="11" xfId="0">
      <alignment horizontal="center" vertical="center" wrapText="true"/>
    </xf>
    <xf fontId="7" fillId="0" borderId="5" xfId="0">
      <alignment horizontal="center" vertical="center" wrapText="true"/>
    </xf>
    <xf fontId="6" fillId="0" borderId="5" xfId="0">
      <alignment/>
    </xf>
    <xf fontId="0" fillId="0" borderId="18" xfId="0">
      <alignment horizontal="left" vertical="center"/>
    </xf>
    <xf numFmtId="301" fontId="4" fillId="0" borderId="8" xfId="0">
      <alignment horizontal="center" vertical="center"/>
    </xf>
    <xf numFmtId="0" fontId="4" fillId="0" borderId="15" xfId="0">
      <alignment horizontal="left" vertical="center"/>
    </xf>
    <xf numFmtId="0" fontId="5" fillId="2" borderId="4" xfId="0">
      <alignment horizontal="center" vertical="center" wrapText="true"/>
    </xf>
    <xf fontId="6" fillId="0" borderId="5" xfId="0">
      <alignment horizontal="left" vertical="center"/>
    </xf>
    <xf numFmtId="0" fontId="4" fillId="0" borderId="22" xfId="0">
      <alignment horizontal="center" vertical="center" wrapText="true"/>
    </xf>
    <xf numFmtId="0" fontId="5" fillId="2" borderId="22" xfId="0">
      <alignment horizontal="center" vertical="center" wrapText="true"/>
    </xf>
    <xf numFmtId="0" fontId="5" fillId="2" borderId="23" xfId="0">
      <alignment horizontal="center" vertical="center" wrapText="true"/>
    </xf>
    <xf numFmtId="0" fontId="4" fillId="0" borderId="22" xfId="0">
      <alignment horizontal="left" vertical="center" wrapText="true"/>
    </xf>
    <xf numFmtId="0" fontId="4" fillId="0" borderId="14" xfId="0">
      <alignment horizontal="left" vertical="center" wrapText="true"/>
    </xf>
    <xf fontId="0" fillId="0" borderId="24" xfId="0">
      <alignment vertical="center"/>
    </xf>
    <xf fontId="7" fillId="0" borderId="5" xfId="0">
      <alignment vertical="center" wrapText="true"/>
    </xf>
    <xf numFmtId="0" fontId="4" fillId="0" borderId="17" xfId="0">
      <alignment horizontal="left" vertical="center" wrapText="true"/>
    </xf>
    <xf fontId="11" fillId="0" borderId="5" xfId="0">
      <alignment horizontal="center" vertical="center" wrapText="true"/>
    </xf>
    <xf numFmtId="301" fontId="4" fillId="0" borderId="14" xfId="0">
      <alignment horizontal="center" vertical="center"/>
    </xf>
    <xf fontId="9" fillId="0" borderId="5" xfId="0">
      <alignment vertical="center"/>
    </xf>
    <xf fontId="10" fillId="0" borderId="25" xfId="0">
      <alignment horizontal="left" vertical="center" wrapText="true"/>
    </xf>
    <xf numFmtId="302" fontId="4" fillId="0" borderId="14" xfId="0">
      <alignment horizontal="left" vertical="center" wrapText="true"/>
    </xf>
    <xf numFmtId="301" fontId="4" fillId="0" borderId="1" xfId="0">
      <alignment horizontal="center" vertical="center"/>
    </xf>
    <xf numFmtId="0" fontId="5" fillId="2" borderId="15" xfId="0">
      <alignment horizontal="center" vertical="center" wrapText="true"/>
    </xf>
    <xf numFmtId="302" fontId="4" fillId="0" borderId="1" xfId="0">
      <alignment horizontal="left" vertical="center" wrapText="true"/>
    </xf>
    <xf numFmtId="302" fontId="4" fillId="0" borderId="4" xfId="0">
      <alignment horizontal="left" vertical="center" wrapText="true"/>
    </xf>
    <xf fontId="9" fillId="0" borderId="6" xfId="0">
      <alignment vertical="center"/>
    </xf>
    <xf numFmtId="0" fontId="5" fillId="0" borderId="26" xfId="0">
      <alignment horizontal="center" vertical="center" wrapText="true"/>
    </xf>
    <xf fontId="9" fillId="0" borderId="25" xfId="0">
      <alignment horizontal="left" vertical="center" wrapText="true"/>
    </xf>
    <xf fontId="7" fillId="0" borderId="4" xfId="0">
      <alignment horizontal="left" vertical="center" wrapText="true"/>
    </xf>
    <xf numFmtId="0" fontId="5" fillId="0" borderId="27" xfId="0">
      <alignment horizontal="center" vertical="center" wrapText="true"/>
    </xf>
    <xf numFmtId="0" fontId="12" fillId="0" borderId="5" xfId="0">
      <alignment horizontal="left" vertical="center" wrapText="true"/>
    </xf>
    <xf fontId="7" fillId="0" borderId="5" xfId="0">
      <alignment horizontal="left" vertical="center" wrapText="true"/>
    </xf>
    <xf numFmtId="0" fontId="11" fillId="0" borderId="5" xfId="0">
      <alignment horizontal="left" vertical="center" wrapText="true"/>
    </xf>
    <xf numFmtId="0" fontId="11" fillId="0" borderId="25" xfId="0">
      <alignment horizontal="left" vertical="center" wrapText="true"/>
    </xf>
    <xf numFmtId="9" fontId="5" fillId="2" borderId="4" xfId="0">
      <alignment horizontal="center" vertical="center" wrapText="true"/>
    </xf>
    <xf numFmtId="0" fontId="5" fillId="0" borderId="14" xfId="0">
      <alignment horizontal="center" vertical="center" wrapText="true"/>
    </xf>
    <xf fontId="13" fillId="0" borderId="5" xfId="0">
      <alignment vertical="center"/>
    </xf>
    <xf fontId="13" fillId="0" borderId="3" xfId="0">
      <alignment/>
    </xf>
    <xf fontId="6" fillId="0" borderId="2" xfId="0">
      <alignment/>
    </xf>
    <xf fontId="0" fillId="0" borderId="28" xfId="0">
      <alignment vertical="center"/>
    </xf>
    <xf numFmtId="0" fontId="11" fillId="0" borderId="29" xfId="0">
      <alignment horizontal="left" vertical="center" wrapText="true"/>
    </xf>
    <xf numFmtId="0" fontId="4" fillId="0" borderId="11" xfId="0">
      <alignment horizontal="left" vertical="center" wrapText="true"/>
    </xf>
    <xf fontId="6" fillId="0" borderId="3" xfId="0">
      <alignment/>
    </xf>
    <xf fontId="0" fillId="0" borderId="30" xfId="0">
      <alignment vertical="center"/>
    </xf>
    <xf numFmtId="0" fontId="11" fillId="0" borderId="16" xfId="0">
      <alignment horizontal="left" vertical="center" wrapText="true"/>
    </xf>
    <xf numFmtId="0" fontId="4" fillId="2" borderId="4" xfId="0">
      <alignment horizontal="center" vertical="center" wrapText="true"/>
    </xf>
    <xf fontId="0" fillId="2" borderId="5" xfId="0">
      <alignment vertical="center"/>
    </xf>
    <xf numFmtId="0" fontId="4" fillId="0" borderId="0" xfId="0">
      <alignment horizontal="center" vertical="center"/>
    </xf>
    <xf numFmtId="0" fontId="4" fillId="0" borderId="5" xfId="0">
      <alignment horizontal="left" vertical="center" wrapText="true"/>
    </xf>
    <xf numFmtId="0" fontId="4" fillId="0" borderId="5" xfId="0">
      <alignment horizontal="center" vertical="center"/>
    </xf>
    <xf numFmtId="0" fontId="4" fillId="0" borderId="5" xfId="0">
      <alignment vertical="bottom"/>
    </xf>
    <xf numFmtId="0" fontId="4" fillId="2" borderId="5" xfId="0">
      <alignment vertical="bottom"/>
    </xf>
    <xf numFmtId="0" fontId="4" fillId="0" borderId="16" xfId="0">
      <alignment horizontal="center" vertical="bottom"/>
    </xf>
    <xf fontId="6" fillId="0" borderId="30" xfId="0">
      <alignment/>
    </xf>
    <xf fontId="14" fillId="0" borderId="5" xfId="0">
      <alignment horizontal="center" vertical="center"/>
    </xf>
    <xf numFmtId="0" fontId="11" fillId="0" borderId="12" xfId="0">
      <alignment horizontal="left" vertical="center" wrapText="true"/>
    </xf>
    <xf numFmtId="0" fontId="4" fillId="0" borderId="6" xfId="0">
      <alignment horizontal="left" vertical="center" wrapText="true"/>
    </xf>
    <xf numFmtId="0" fontId="11" fillId="0" borderId="6" xfId="0">
      <alignment horizontal="left" vertical="center" wrapText="true"/>
    </xf>
    <xf fontId="11" fillId="0" borderId="25" xfId="0">
      <alignment horizontal="center" vertical="center" wrapText="true"/>
    </xf>
    <xf fontId="11" fillId="0" borderId="28" xfId="0">
      <alignment horizontal="center" vertical="center" wrapText="true"/>
    </xf>
    <xf fontId="11" fillId="0" borderId="6" xfId="0">
      <alignment horizontal="center" vertical="center" wrapText="true"/>
    </xf>
    <xf numFmtId="0" fontId="4" fillId="0" borderId="6" xfId="0">
      <alignment horizontal="center" vertical="center"/>
    </xf>
    <xf numFmtId="0" fontId="4" fillId="0" borderId="6" xfId="0">
      <alignment vertical="bottom"/>
    </xf>
    <xf numFmtId="0" fontId="4" fillId="2" borderId="6" xfId="0">
      <alignment vertical="bottom"/>
    </xf>
    <xf numFmtId="0" fontId="4" fillId="0" borderId="12" xfId="0">
      <alignment horizontal="center" vertical="bottom"/>
    </xf>
    <xf numFmtId="0" fontId="4" fillId="0" borderId="18" xfId="0">
      <alignment horizontal="center" vertical="center"/>
    </xf>
    <xf numFmtId="0" fontId="4" fillId="0" borderId="18" xfId="0">
      <alignment vertical="bottom"/>
    </xf>
    <xf numFmtId="0" fontId="4" fillId="2" borderId="18" xfId="0">
      <alignment vertical="bottom"/>
    </xf>
    <xf numFmtId="0" fontId="4" fillId="0" borderId="29" xfId="0">
      <alignment horizontal="center" vertical="bottom"/>
    </xf>
    <xf fontId="0" fillId="0" borderId="18" xfId="0">
      <alignment vertical="center"/>
    </xf>
    <xf numFmtId="0" fontId="4" fillId="0" borderId="18" xfId="0">
      <alignment horizontal="left" vertical="center" wrapText="true"/>
    </xf>
    <xf numFmtId="0" fontId="11" fillId="0" borderId="18" xfId="0">
      <alignment horizontal="left" vertical="center" wrapText="true"/>
    </xf>
    <xf numFmtId="0" fontId="15" fillId="0" borderId="5" xfId="0">
      <alignment horizontal="left" vertical="center" wrapText="true"/>
    </xf>
    <xf fontId="11" fillId="0" borderId="5" xfId="0">
      <alignment horizontal="left" vertical="center" wrapText="true"/>
    </xf>
    <xf fontId="7" fillId="0" borderId="31" xfId="0">
      <alignment horizontal="left" vertical="center" wrapText="true"/>
    </xf>
    <xf numFmtId="0" fontId="11" fillId="0" borderId="32" xfId="0">
      <alignment horizontal="left" vertical="center" wrapText="true"/>
    </xf>
    <xf fontId="11" fillId="0" borderId="32" xfId="0">
      <alignment horizontal="center" vertical="center" wrapText="true"/>
    </xf>
    <xf numFmtId="0" fontId="4" fillId="0" borderId="32" xfId="0">
      <alignment horizontal="center" vertical="center"/>
    </xf>
    <xf numFmtId="0" fontId="4" fillId="0" borderId="32" xfId="0">
      <alignment vertical="bottom"/>
    </xf>
    <xf numFmtId="0" fontId="4" fillId="2" borderId="32" xfId="0">
      <alignment vertical="bottom"/>
    </xf>
    <xf numFmtId="0" fontId="5" fillId="0" borderId="33" xfId="0">
      <alignment horizontal="center" vertical="center" wrapText="true"/>
    </xf>
    <xf numFmtId="0" fontId="4" fillId="0" borderId="32" xfId="0">
      <alignment horizontal="left" vertical="bottom"/>
    </xf>
    <xf numFmtId="0" fontId="4" fillId="0" borderId="34" xfId="0">
      <alignment vertical="bottom"/>
    </xf>
    <xf numFmtId="0" fontId="4" fillId="0" borderId="35" xfId="0">
      <alignment vertical="bottom"/>
    </xf>
    <xf numFmtId="0" fontId="4" fillId="0" borderId="36" xfId="0">
      <alignment vertical="bottom"/>
    </xf>
    <xf numFmtId="0" fontId="4" fillId="0" borderId="36" xfId="0">
      <alignment horizontal="center" vertical="bottom"/>
    </xf>
    <xf numFmtId="0" fontId="4" fillId="0" borderId="37" xfId="0">
      <alignment vertical="bottom"/>
    </xf>
    <xf numFmtId="0" fontId="4" fillId="0" borderId="0" xfId="0">
      <alignment vertical="bottom"/>
    </xf>
    <xf fontId="0" fillId="0" borderId="32" xfId="0">
      <alignment vertical="center"/>
    </xf>
    <xf numFmtId="0" fontId="4" fillId="0" borderId="38" xfId="0">
      <alignment vertical="bottom"/>
    </xf>
    <xf fontId="7" fillId="0" borderId="14" xfId="0">
      <alignment horizontal="left" vertical="center" wrapText="true"/>
    </xf>
    <xf fontId="6" fillId="0" borderId="25" xfId="0">
      <alignment/>
    </xf>
    <xf numFmtId="0" fontId="4" fillId="0" borderId="5" xfId="0">
      <alignment horizontal="center" vertical="center" wrapText="true"/>
    </xf>
    <xf numFmtId="0" fontId="4" fillId="0" borderId="5" xfId="0">
      <alignment horizontal="left" vertical="bottom"/>
    </xf>
    <xf numFmtId="0" fontId="4" fillId="0" borderId="5" xfId="0">
      <alignment horizontal="center" vertical="bottom"/>
    </xf>
    <xf numFmtId="0" fontId="4" fillId="0" borderId="5" xfId="0">
      <alignment vertical="bottom" wrapText="true"/>
    </xf>
    <xf numFmtId="0" fontId="4" fillId="0" borderId="12" xfId="0">
      <alignment vertical="center"/>
    </xf>
    <xf fontId="0" fillId="0" borderId="39" xfId="0">
      <alignment vertical="center"/>
    </xf>
    <xf fontId="0" fillId="0" borderId="31" xfId="0">
      <alignment vertical="center"/>
    </xf>
    <xf numFmtId="0" fontId="4" fillId="0" borderId="12" xfId="0">
      <alignment vertical="center" wrapText="true"/>
    </xf>
    <xf fontId="6" fillId="0" borderId="28" xfId="0">
      <alignment/>
    </xf>
    <xf fontId="0" fillId="0" borderId="35" xfId="0">
      <alignment vertical="center"/>
    </xf>
    <xf fontId="0" fillId="0" borderId="36" xfId="0">
      <alignment vertical="center"/>
    </xf>
    <xf fontId="0" fillId="0" borderId="37" xfId="0">
      <alignment vertical="center"/>
    </xf>
    <xf fontId="6" fillId="0" borderId="40" xfId="0">
      <alignment/>
    </xf>
    <xf numFmtId="0" fontId="4" fillId="3" borderId="5" xfId="0">
      <alignment horizontal="left" vertical="bottom"/>
    </xf>
    <xf fontId="0" fillId="0" borderId="41" xfId="0">
      <alignment vertical="center"/>
    </xf>
    <xf fontId="0" fillId="0" borderId="42" xfId="0">
      <alignment vertical="center"/>
    </xf>
    <xf fontId="0" fillId="0" borderId="43" xfId="0">
      <alignment vertical="center"/>
    </xf>
    <xf fontId="6" fillId="0" borderId="29" xfId="0">
      <alignment/>
    </xf>
    <xf fontId="6" fillId="0" borderId="44" xfId="0">
      <alignment/>
    </xf>
    <xf fontId="6" fillId="0" borderId="45" xfId="0">
      <alignment/>
    </xf>
    <xf numFmtId="0" fontId="4" fillId="0" borderId="0" xfId="0">
      <alignment horizontal="left" vertical="center" wrapText="true"/>
    </xf>
    <xf numFmtId="0" fontId="4" fillId="2" borderId="0" xfId="0">
      <alignment vertical="bottom"/>
    </xf>
    <xf numFmtId="0" fontId="4" fillId="0" borderId="0" xfId="0">
      <alignment horizontal="center" vertical="center" wrapText="true"/>
    </xf>
    <xf numFmtId="0" fontId="4" fillId="0" borderId="0" xfId="0">
      <alignment horizontal="left" vertical="bottom"/>
    </xf>
    <xf numFmtId="0" fontId="4" fillId="0" borderId="0" xfId="0">
      <alignment horizontal="center" vertical="bottom"/>
    </xf>
    <xf numFmtId="0" fontId="16" fillId="0" borderId="0" xfId="0">
      <alignment horizontal="center" vertical="center"/>
    </xf>
    <xf numFmtId="0" fontId="17" fillId="0" borderId="0" xfId="0">
      <alignment horizontal="center" vertical="center"/>
    </xf>
    <xf numFmtId="0" fontId="17" fillId="0" borderId="0" xfId="0">
      <alignment horizontal="left" vertical="center" wrapText="true"/>
    </xf>
    <xf numFmtId="0" fontId="17" fillId="0" borderId="0" xfId="0">
      <alignment vertical="center"/>
    </xf>
    <xf numFmtId="301" fontId="17" fillId="0" borderId="0" xfId="0">
      <alignment vertical="center"/>
    </xf>
    <xf numFmtId="0" fontId="16" fillId="0" borderId="4" xfId="0">
      <alignment horizontal="center" vertical="center"/>
    </xf>
    <xf numFmtId="0" fontId="17" fillId="0" borderId="4" xfId="0">
      <alignment horizontal="center" vertical="center"/>
    </xf>
    <xf numFmtId="301" fontId="17" fillId="0" borderId="4" xfId="0">
      <alignment horizontal="center" vertical="center" wrapText="true"/>
    </xf>
    <xf numFmtId="0" fontId="17" fillId="0" borderId="46" xfId="0">
      <alignment vertical="center"/>
    </xf>
    <xf numFmtId="0" fontId="17" fillId="0" borderId="47" xfId="0">
      <alignment vertical="center"/>
    </xf>
    <xf numFmtId="0" fontId="17" fillId="0" borderId="4" xfId="0">
      <alignment horizontal="center" vertical="center" wrapText="true"/>
    </xf>
    <xf numFmtId="0" fontId="17" fillId="0" borderId="48" xfId="0">
      <alignment vertical="center"/>
    </xf>
    <xf numFmtId="0" fontId="17" fillId="0" borderId="49" xfId="0">
      <alignment vertical="center"/>
    </xf>
    <xf numFmtId="0" fontId="17" fillId="0" borderId="50" xfId="0">
      <alignment vertical="center"/>
    </xf>
    <xf numFmtId="0" fontId="17" fillId="0" borderId="4" xfId="0">
      <alignment vertical="center"/>
    </xf>
    <xf numFmtId="300" fontId="17" fillId="0" borderId="4" xfId="0">
      <alignment vertical="center"/>
    </xf>
    <xf numFmtId="303" fontId="17" fillId="0" borderId="4" xfId="0">
      <alignment vertical="center"/>
    </xf>
    <xf numFmtId="301" fontId="17" fillId="0" borderId="4" xfId="0">
      <alignment vertical="center"/>
    </xf>
    <xf numFmtId="0" fontId="17" fillId="0" borderId="4" xfId="0">
      <alignment vertical="center" wrapText="true"/>
    </xf>
    <xf numFmtId="0" fontId="18" fillId="0" borderId="4" xfId="0">
      <alignment vertical="center"/>
    </xf>
    <xf numFmtId="300" fontId="18" fillId="0" borderId="4" xfId="0">
      <alignment vertical="center"/>
    </xf>
    <xf numFmtId="301" fontId="18" fillId="0" borderId="4" xfId="0">
      <alignment vertical="center"/>
    </xf>
    <xf numFmtId="0" fontId="4" fillId="0" borderId="7" xfId="0">
      <alignment horizontal="center" vertical="center" wrapText="true"/>
    </xf>
    <xf numFmtId="0" fontId="5" fillId="0" borderId="7" xfId="0">
      <alignment horizontal="center" vertical="center" wrapText="true"/>
    </xf>
    <xf numFmtId="0" fontId="5" fillId="0" borderId="7" xfId="0">
      <alignment horizontal="center" vertical="center"/>
    </xf>
    <xf numFmtId="302" fontId="5" fillId="0" borderId="51" xfId="0">
      <alignment horizontal="center" vertical="center" wrapText="true"/>
    </xf>
    <xf fontId="0" fillId="0" borderId="52" xfId="0">
      <alignment vertical="center"/>
    </xf>
    <xf numFmtId="302" fontId="5" fillId="0" borderId="7" xfId="0">
      <alignment horizontal="center" vertical="center"/>
    </xf>
    <xf numFmtId="302" fontId="5" fillId="2" borderId="10" xfId="0">
      <alignment horizontal="center" vertical="center"/>
    </xf>
    <xf fontId="0" fillId="0" borderId="7" xfId="0">
      <alignment vertical="center"/>
    </xf>
    <xf numFmtId="302" fontId="5" fillId="0" borderId="1" xfId="0">
      <alignment horizontal="center" vertical="center" wrapText="true"/>
    </xf>
    <xf numFmtId="302" fontId="5" fillId="2" borderId="4" xfId="0">
      <alignment horizontal="center" vertical="center" wrapText="true"/>
    </xf>
    <xf numFmtId="0" fontId="5" fillId="5" borderId="5" xfId="0">
      <alignment horizontal="center" vertical="center"/>
    </xf>
    <xf numFmtId="0" fontId="4" fillId="0" borderId="53" xfId="0">
      <alignment horizontal="center" vertical="center"/>
    </xf>
    <xf numFmtId="0" fontId="19" fillId="0" borderId="4" xfId="0">
      <alignment horizontal="center" vertical="center" wrapText="true"/>
    </xf>
    <xf numFmtId="0" fontId="4" fillId="0" borderId="54" xfId="0">
      <alignment horizontal="center" vertical="center" wrapText="true"/>
    </xf>
    <xf numFmtId="0" fontId="4" fillId="0" borderId="55" xfId="0">
      <alignment horizontal="center" vertical="center"/>
    </xf>
    <xf numFmtId="302" fontId="4" fillId="0" borderId="56" xfId="0">
      <alignment horizontal="center" vertical="center"/>
    </xf>
    <xf numFmtId="302" fontId="4" fillId="0" borderId="57" xfId="0">
      <alignment horizontal="center" vertical="center" wrapText="true"/>
    </xf>
    <xf numFmtId="302" fontId="5" fillId="2" borderId="22" xfId="0">
      <alignment horizontal="center" vertical="center" wrapText="true"/>
    </xf>
    <xf numFmtId="0" fontId="4" fillId="0" borderId="51" xfId="0">
      <alignment horizontal="center" vertical="center" wrapText="true"/>
    </xf>
    <xf numFmtId="0" fontId="4" fillId="0" borderId="17" xfId="0">
      <alignment horizontal="center" vertical="center" wrapText="true"/>
    </xf>
    <xf numFmtId="302" fontId="4" fillId="0" borderId="14" xfId="0">
      <alignment horizontal="center" vertical="center"/>
    </xf>
    <xf numFmtId="302" fontId="4" fillId="0" borderId="14" xfId="0">
      <alignment horizontal="center" vertical="center" wrapText="true"/>
    </xf>
    <xf numFmtId="302" fontId="5" fillId="2" borderId="14" xfId="0">
      <alignment horizontal="center" vertical="center" wrapText="true"/>
    </xf>
    <xf numFmtId="302" fontId="4" fillId="0" borderId="4" xfId="0">
      <alignment horizontal="center" vertical="center"/>
    </xf>
    <xf fontId="20" fillId="0" borderId="58" xfId="0">
      <alignment horizontal="center" vertical="center"/>
    </xf>
    <xf fontId="0" fillId="0" borderId="59" xfId="0">
      <alignment vertical="center"/>
    </xf>
    <xf fontId="10" fillId="0" borderId="60" xfId="0">
      <alignment vertical="center"/>
    </xf>
    <xf fontId="10" fillId="0" borderId="6" xfId="0">
      <alignment horizontal="center" vertical="center"/>
    </xf>
    <xf numFmtId="302" fontId="4" fillId="0" borderId="15" xfId="0">
      <alignment horizontal="center" vertical="center"/>
    </xf>
    <xf numFmtId="302" fontId="4" fillId="0" borderId="22" xfId="0">
      <alignment horizontal="center" vertical="center"/>
    </xf>
    <xf numFmtId="302" fontId="4" fillId="0" borderId="22" xfId="0">
      <alignment horizontal="center" vertical="center" wrapText="true"/>
    </xf>
    <xf numFmtId="302" fontId="4" fillId="0" borderId="61" xfId="0">
      <alignment horizontal="center" vertical="center"/>
    </xf>
    <xf numFmtId="302" fontId="4" fillId="0" borderId="13" xfId="0">
      <alignment horizontal="center" vertical="center"/>
    </xf>
    <xf numFmtId="0" fontId="4" fillId="0" borderId="52" xfId="0">
      <alignment horizontal="center" vertical="center" wrapText="true"/>
    </xf>
    <xf fontId="20" fillId="0" borderId="12" xfId="0">
      <alignment horizontal="center" vertical="center"/>
    </xf>
    <xf numFmtId="0" fontId="4" fillId="0" borderId="11" xfId="0">
      <alignment horizontal="center" vertical="center"/>
    </xf>
    <xf numFmtId="302" fontId="4" fillId="0" borderId="11" xfId="0">
      <alignment horizontal="center" vertical="center"/>
    </xf>
    <xf numFmtId="0" fontId="21" fillId="0" borderId="4" xfId="0">
      <alignment horizontal="center" vertical="center"/>
    </xf>
    <xf numFmtId="302" fontId="4" fillId="2" borderId="14" xfId="0">
      <alignment horizontal="center" vertical="center" wrapText="true"/>
    </xf>
    <xf numFmtId="0" fontId="4" fillId="0" borderId="62" xfId="0">
      <alignment horizontal="center" vertical="center" wrapText="true"/>
    </xf>
    <xf numFmtId="0" fontId="4" fillId="0" borderId="62" xfId="0">
      <alignment horizontal="center" vertical="center"/>
    </xf>
    <xf numFmtId="0" fontId="4" fillId="0" borderId="63" xfId="0">
      <alignment horizontal="center" vertical="center"/>
    </xf>
    <xf numFmtId="302" fontId="0" fillId="0" borderId="16" xfId="0">
      <alignment vertical="center"/>
    </xf>
    <xf numFmtId="302" fontId="0" fillId="2" borderId="16" xfId="0">
      <alignment vertical="center"/>
    </xf>
    <xf numFmtId="302" fontId="4" fillId="0" borderId="0" xfId="0">
      <alignment horizontal="center" vertical="center"/>
    </xf>
    <xf numFmtId="302" fontId="4" fillId="0" borderId="0" xfId="0">
      <alignment vertical="bottom"/>
    </xf>
    <xf numFmtId="302" fontId="4" fillId="2" borderId="0" xfId="0">
      <alignment vertical="bottom"/>
    </xf>
    <xf numFmtId="0" fontId="22" fillId="0" borderId="49" xfId="0">
      <alignment horizontal="center" vertical="center" wrapText="true"/>
    </xf>
    <xf numFmtId="0" fontId="22" fillId="0" borderId="49" xfId="0">
      <alignment horizontal="center" vertical="center"/>
    </xf>
    <xf numFmtId="0" fontId="23" fillId="0" borderId="0" xfId="0">
      <alignment horizontal="left" vertical="center"/>
    </xf>
    <xf numFmtId="0" fontId="17" fillId="0" borderId="0" xfId="0">
      <alignment vertical="bottom"/>
    </xf>
    <xf numFmtId="302" fontId="17" fillId="0" borderId="4" xfId="0">
      <alignment horizontal="center" vertical="center"/>
    </xf>
    <xf numFmtId="0" fontId="24" fillId="0" borderId="4" xfId="0">
      <alignment horizontal="center" vertical="center"/>
    </xf>
    <xf numFmtId="2" fontId="17" fillId="0" borderId="0" xfId="0">
      <alignment horizontal="center" vertical="center" wrapText="true"/>
    </xf>
    <xf numFmtId="301" fontId="17" fillId="6" borderId="4" xfId="0">
      <alignment vertical="bottom"/>
    </xf>
    <xf numFmtId="0" fontId="17" fillId="0" borderId="4" xfId="0">
      <alignment vertical="bottom"/>
    </xf>
    <xf numFmtId="0" fontId="17" fillId="0" borderId="64" xfId="0">
      <alignment horizontal="center" vertical="center" wrapText="true"/>
    </xf>
    <xf numFmtId="302" fontId="17" fillId="0" borderId="4" xfId="0">
      <alignment horizontal="center" vertical="center" wrapText="true"/>
    </xf>
    <xf numFmtId="0" fontId="24" fillId="0" borderId="4" xfId="0">
      <alignment horizontal="center" vertical="center" wrapText="true"/>
    </xf>
    <xf numFmtId="0" fontId="17" fillId="0" borderId="64" xfId="0">
      <alignment vertical="center"/>
    </xf>
    <xf numFmtId="0" fontId="25" fillId="0" borderId="63" xfId="0">
      <alignment vertical="bottom"/>
    </xf>
    <xf numFmtId="0" fontId="25" fillId="0" borderId="4" xfId="0">
      <alignment vertical="bottom"/>
    </xf>
    <xf numFmtId="301" fontId="17" fillId="0" borderId="0" xfId="0">
      <alignment vertical="bottom"/>
    </xf>
    <xf numFmtId="302" fontId="17" fillId="0" borderId="0" xfId="0">
      <alignment vertical="bottom"/>
    </xf>
    <xf numFmtId="2" fontId="18" fillId="0" borderId="4" xfId="0">
      <alignment horizontal="center" vertical="center"/>
    </xf>
    <xf numFmtId="2" fontId="18" fillId="0" borderId="4" xfId="0">
      <alignment horizontal="left" vertical="center" wrapText="true"/>
    </xf>
    <xf numFmtId="301" fontId="18" fillId="0" borderId="4" xfId="0">
      <alignment horizontal="right" vertical="center"/>
    </xf>
    <xf numFmtId="0" fontId="18" fillId="0" borderId="4" xfId="0">
      <alignment horizontal="center" vertical="center" wrapText="true"/>
    </xf>
    <xf numFmtId="303" fontId="18" fillId="0" borderId="4" xfId="0">
      <alignment horizontal="right" vertical="center"/>
    </xf>
    <xf numFmtId="300" fontId="26" fillId="0" borderId="4" xfId="0">
      <alignment horizontal="right" vertical="center"/>
    </xf>
    <xf numFmtId="2" fontId="17" fillId="0" borderId="4" xfId="0">
      <alignment horizontal="left" vertical="center" wrapText="true"/>
    </xf>
    <xf numFmtId="0" fontId="27" fillId="0" borderId="63" xfId="0">
      <alignment vertical="bottom"/>
    </xf>
    <xf numFmtId="304" fontId="17" fillId="0" borderId="4" xfId="0">
      <alignment vertical="bottom"/>
    </xf>
    <xf numFmtId="301" fontId="17" fillId="0" borderId="4" xfId="0">
      <alignment vertical="bottom"/>
    </xf>
    <xf numFmtId="301" fontId="27" fillId="0" borderId="4" xfId="0">
      <alignment vertical="bottom"/>
    </xf>
    <xf numFmtId="0" fontId="18" fillId="7" borderId="4" xfId="0">
      <alignment horizontal="center" vertical="center" wrapText="true"/>
    </xf>
    <xf numFmtId="2" fontId="18" fillId="7" borderId="4" xfId="0">
      <alignment horizontal="left" vertical="center" wrapText="true"/>
    </xf>
    <xf numFmtId="301" fontId="18" fillId="7" borderId="4" xfId="0">
      <alignment horizontal="right" vertical="center"/>
    </xf>
    <xf numFmtId="300" fontId="26" fillId="7" borderId="4" xfId="0">
      <alignment horizontal="right" vertical="center"/>
    </xf>
    <xf numFmtId="2" fontId="18" fillId="7" borderId="65" xfId="0">
      <alignment vertical="center"/>
    </xf>
    <xf numFmtId="0" fontId="17" fillId="7" borderId="65" xfId="0">
      <alignment vertical="bottom"/>
    </xf>
    <xf numFmtId="2" fontId="18" fillId="7" borderId="65" xfId="0">
      <alignment vertical="bottom"/>
    </xf>
    <xf numFmtId="301" fontId="17" fillId="0" borderId="4" xfId="0">
      <alignment horizontal="right" vertical="center"/>
    </xf>
    <xf numFmtId="302" fontId="17" fillId="0" borderId="4" xfId="0">
      <alignment horizontal="right" vertical="center"/>
    </xf>
    <xf numFmtId="300" fontId="24" fillId="0" borderId="4" xfId="0">
      <alignment horizontal="right" vertical="center"/>
    </xf>
    <xf numFmtId="2" fontId="17" fillId="0" borderId="0" xfId="0">
      <alignment vertical="center"/>
    </xf>
    <xf numFmtId="2" fontId="18" fillId="0" borderId="0" xfId="0">
      <alignment vertical="bottom"/>
    </xf>
    <xf numFmtId="2" fontId="17" fillId="0" borderId="0" xfId="0">
      <alignment vertical="bottom"/>
    </xf>
    <xf numFmtId="305" fontId="17" fillId="0" borderId="0" xfId="0">
      <alignment vertical="bottom"/>
    </xf>
    <xf numFmtId="2" fontId="27" fillId="0" borderId="0" xfId="0">
      <alignment vertical="center"/>
    </xf>
    <xf numFmtId="0" fontId="28" fillId="0" borderId="66" xfId="0">
      <alignment horizontal="center" vertical="center" wrapText="true"/>
    </xf>
    <xf numFmtId="0" fontId="28" fillId="0" borderId="67" xfId="0">
      <alignment horizontal="center" vertical="center" wrapText="true"/>
    </xf>
    <xf numFmtId="0" fontId="29" fillId="0" borderId="68" xfId="0">
      <alignment horizontal="center" vertical="center" wrapText="true"/>
    </xf>
    <xf numFmtId="0" fontId="30" fillId="0" borderId="68" xfId="0">
      <alignment horizontal="center" vertical="center" wrapText="true"/>
    </xf>
    <xf numFmtId="0" fontId="29" fillId="0" borderId="69" xfId="0">
      <alignment horizontal="center" vertical="center" wrapText="true"/>
    </xf>
    <xf numFmtId="2" fontId="27" fillId="0" borderId="0" xfId="0">
      <alignment vertical="bottom"/>
    </xf>
    <xf numFmtId="0" fontId="31" fillId="0" borderId="68" xfId="0">
      <alignment horizontal="center" vertical="center" wrapText="true"/>
    </xf>
    <xf numFmtId="0" fontId="28" fillId="0" borderId="68" xfId="0">
      <alignment horizontal="center" vertical="center" wrapText="true"/>
    </xf>
    <xf numFmtId="0" fontId="28" fillId="0" borderId="69" xfId="0">
      <alignment horizontal="center" vertical="center" wrapText="true"/>
    </xf>
    <xf numFmtId="300" fontId="24" fillId="0" borderId="4" xfId="0">
      <alignment horizontal="left" vertical="center"/>
    </xf>
    <xf numFmtId="2" fontId="18" fillId="0" borderId="0" xfId="0">
      <alignment vertical="center"/>
    </xf>
    <xf numFmtId="303" fontId="17" fillId="0" borderId="4" xfId="0">
      <alignment horizontal="right" vertical="center"/>
    </xf>
    <xf numFmtId="0" fontId="32" fillId="0" borderId="4" xfId="0">
      <alignment horizontal="center" vertical="center"/>
    </xf>
    <xf numFmtId="0" fontId="32" fillId="0" borderId="0" xfId="0">
      <alignment horizontal="center" vertical="center"/>
    </xf>
    <xf numFmtId="0" fontId="32" fillId="6" borderId="4" xfId="0">
      <alignment horizontal="center" vertical="center"/>
    </xf>
    <xf numFmtId="0" fontId="32" fillId="6" borderId="4" xfId="0">
      <alignment horizontal="center" vertical="top"/>
    </xf>
    <xf numFmtId="0" fontId="32" fillId="6" borderId="70" xfId="0">
      <alignment horizontal="center" vertical="center"/>
    </xf>
    <xf numFmtId="0" fontId="32" fillId="0" borderId="4" xfId="0">
      <alignment horizontal="center" vertical="top"/>
    </xf>
    <xf numFmtId="0" fontId="32" fillId="0" borderId="0" xfId="0">
      <alignment vertical="center"/>
    </xf>
    <xf numFmtId="0" fontId="32" fillId="0" borderId="4" xfId="0">
      <alignment horizontal="center" vertical="center" wrapText="true"/>
    </xf>
    <xf numFmtId="49" fontId="18" fillId="0" borderId="4" xfId="0">
      <alignment horizontal="center" vertical="center" wrapText="true"/>
    </xf>
    <xf numFmtId="301" fontId="18" fillId="0" borderId="4" xfId="0">
      <alignment horizontal="right" vertical="center" wrapText="true"/>
    </xf>
    <xf numFmtId="303" fontId="26" fillId="0" borderId="4" xfId="0">
      <alignment horizontal="center" vertical="center" wrapText="true"/>
    </xf>
    <xf numFmtId="49" fontId="17" fillId="0" borderId="4" xfId="0">
      <alignment horizontal="center" vertical="center" wrapText="true"/>
    </xf>
    <xf numFmtId="0" fontId="17" fillId="0" borderId="4" xfId="0">
      <alignment horizontal="left" vertical="center" wrapText="true"/>
    </xf>
    <xf numFmtId="302" fontId="18" fillId="0" borderId="4" xfId="0">
      <alignment horizontal="center" vertical="center" wrapText="true"/>
    </xf>
    <xf numFmtId="0" fontId="17" fillId="8" borderId="71" xfId="0">
      <alignment vertical="bottom"/>
    </xf>
    <xf numFmtId="303" fontId="24" fillId="0" borderId="4" xfId="0">
      <alignment horizontal="center" vertical="center" wrapText="true"/>
    </xf>
    <xf numFmtId="0" fontId="27" fillId="0" borderId="0" xfId="0">
      <alignment vertical="bottom"/>
    </xf>
    <xf numFmtId="0" fontId="18" fillId="0" borderId="4" xfId="0">
      <alignment horizontal="left" vertical="center" wrapText="true"/>
    </xf>
    <xf numFmtId="302" fontId="33" fillId="0" borderId="4" xfId="0">
      <alignment horizontal="center" vertical="center" wrapText="true"/>
    </xf>
    <xf numFmtId="0" fontId="17" fillId="0" borderId="63" xfId="0">
      <alignment vertical="bottom"/>
    </xf>
    <xf numFmtId="49" fontId="18" fillId="0" borderId="0" xfId="0">
      <alignment horizontal="center" vertical="center" wrapText="true"/>
    </xf>
    <xf numFmtId="0" fontId="18" fillId="0" borderId="0" xfId="0">
      <alignment horizontal="center" vertical="center" wrapText="true"/>
    </xf>
    <xf numFmtId="302" fontId="18" fillId="0" borderId="0" xfId="0">
      <alignment horizontal="center" vertical="center" wrapText="true"/>
    </xf>
    <xf numFmtId="303" fontId="26" fillId="0" borderId="0" xfId="0">
      <alignment horizontal="center" vertical="center" wrapText="true"/>
    </xf>
    <xf numFmtId="0" fontId="17" fillId="0" borderId="0" xfId="0">
      <alignment vertical="bottom" wrapText="true"/>
    </xf>
    <xf numFmtId="301" fontId="24" fillId="0" borderId="0" xfId="0">
      <alignment vertical="bottom"/>
    </xf>
    <xf numFmtId="301" fontId="18" fillId="0" borderId="0" xfId="0">
      <alignment vertical="bottom"/>
    </xf>
    <xf numFmtId="301" fontId="17" fillId="8" borderId="71" xfId="0">
      <alignment vertical="bottom"/>
    </xf>
    <xf numFmtId="0" fontId="34" fillId="0" borderId="1" xfId="0">
      <alignment horizontal="center" vertical="center"/>
    </xf>
    <xf fontId="0" fillId="0" borderId="72" xfId="0">
      <alignment vertical="center"/>
    </xf>
    <xf fontId="0" fillId="0" borderId="73" xfId="0">
      <alignment vertical="center"/>
    </xf>
    <xf numFmtId="0" fontId="35" fillId="0" borderId="4" xfId="0">
      <alignment horizontal="left" vertical="center"/>
    </xf>
    <xf numFmtId="0" fontId="4" fillId="0" borderId="6" xfId="0">
      <alignment horizontal="left" vertical="center"/>
    </xf>
    <xf numFmtId="0" fontId="4" fillId="0" borderId="32" xfId="0">
      <alignment horizontal="left" vertical="center"/>
    </xf>
    <xf numFmtId="0" fontId="35" fillId="0" borderId="7" xfId="0">
      <alignment horizontal="center" vertical="center"/>
    </xf>
    <xf numFmtId="0" fontId="35" fillId="0" borderId="7" xfId="0">
      <alignment horizontal="center" vertical="center" wrapText="true"/>
    </xf>
    <xf numFmtId="0" fontId="36" fillId="0" borderId="7" xfId="0">
      <alignment horizontal="center" vertical="center" wrapText="true"/>
    </xf>
    <xf numFmtId="300" fontId="36" fillId="0" borderId="8" xfId="0">
      <alignment horizontal="center" vertical="center" wrapText="true"/>
    </xf>
    <xf fontId="0" fillId="0" borderId="74" xfId="0">
      <alignment vertical="center"/>
    </xf>
    <xf numFmtId="0" fontId="5" fillId="2" borderId="14" xfId="0">
      <alignment horizontal="center" vertical="center"/>
    </xf>
    <xf fontId="0" fillId="0" borderId="75" xfId="0">
      <alignment vertical="center"/>
    </xf>
    <xf fontId="0" fillId="0" borderId="76" xfId="0">
      <alignment vertical="center"/>
    </xf>
    <xf numFmtId="301" fontId="5" fillId="0" borderId="77" xfId="0">
      <alignment horizontal="center" vertical="center" wrapText="true"/>
    </xf>
    <xf numFmtId="301" fontId="5" fillId="0" borderId="4" xfId="0">
      <alignment horizontal="center" vertical="center" wrapText="true"/>
    </xf>
    <xf numFmtId="301" fontId="5" fillId="0" borderId="15" xfId="0">
      <alignment horizontal="center" vertical="center" wrapText="true"/>
    </xf>
    <xf numFmtId="301" fontId="5" fillId="0" borderId="26" xfId="0">
      <alignment horizontal="center" vertical="center" wrapText="true"/>
    </xf>
    <xf numFmtId="300" fontId="5" fillId="9" borderId="15" xfId="0">
      <alignment horizontal="center" vertical="center" wrapText="true"/>
    </xf>
    <xf numFmtId="0" fontId="36" fillId="0" borderId="8" xfId="0">
      <alignment horizontal="center" vertical="center"/>
    </xf>
    <xf fontId="0" fillId="0" borderId="78" xfId="0">
      <alignment vertical="center"/>
    </xf>
    <xf numFmtId="0" fontId="5" fillId="0" borderId="0" xfId="0">
      <alignment horizontal="center" vertical="center"/>
    </xf>
    <xf numFmtId="0" fontId="5" fillId="0" borderId="36" xfId="0">
      <alignment horizontal="center" vertical="center"/>
    </xf>
    <xf fontId="0" fillId="0" borderId="79" xfId="0">
      <alignment vertical="center"/>
    </xf>
    <xf numFmtId="0" fontId="4" fillId="0" borderId="55" xfId="0">
      <alignment horizontal="center" vertical="center" wrapText="true"/>
    </xf>
    <xf numFmtId="0" fontId="5" fillId="0" borderId="55" xfId="0">
      <alignment horizontal="center" vertical="center" wrapText="true"/>
    </xf>
    <xf fontId="0" fillId="0" borderId="80" xfId="0">
      <alignment vertical="center"/>
    </xf>
    <xf fontId="0" fillId="0" borderId="81" xfId="0">
      <alignment vertical="center"/>
    </xf>
    <xf numFmtId="0" fontId="5" fillId="2" borderId="5" xfId="0">
      <alignment horizontal="center" vertical="center"/>
    </xf>
    <xf fontId="6" fillId="3" borderId="5" xfId="0">
      <alignment/>
    </xf>
    <xf fontId="6" fillId="3" borderId="16" xfId="0">
      <alignment/>
    </xf>
    <xf numFmtId="301" fontId="5" fillId="0" borderId="23" xfId="0">
      <alignment horizontal="center" vertical="center" wrapText="true"/>
    </xf>
    <xf fontId="0" fillId="0" borderId="82" xfId="0">
      <alignment vertical="center"/>
    </xf>
    <xf fontId="0" fillId="0" borderId="83" xfId="0">
      <alignment vertical="center"/>
    </xf>
    <xf fontId="0" fillId="0" borderId="84" xfId="0">
      <alignment vertical="center"/>
    </xf>
    <xf numFmtId="300" fontId="36" fillId="0" borderId="1" xfId="0">
      <alignment horizontal="center" vertical="center" wrapText="true"/>
    </xf>
    <xf numFmtId="300" fontId="5" fillId="2" borderId="14" xfId="0">
      <alignment horizontal="center" vertical="center" wrapText="true"/>
    </xf>
    <xf numFmtId="301" fontId="5" fillId="0" borderId="5" xfId="0">
      <alignment horizontal="center" vertical="center" wrapText="true"/>
    </xf>
    <xf fontId="0" fillId="0" borderId="85" xfId="0">
      <alignment vertical="center"/>
    </xf>
    <xf numFmtId="300" fontId="36" fillId="0" borderId="4" xfId="0">
      <alignment horizontal="center" vertical="center" wrapText="true"/>
    </xf>
    <xf numFmtId="9" fontId="5" fillId="0" borderId="4" xfId="0">
      <alignment horizontal="center" vertical="center" wrapText="true"/>
    </xf>
    <xf numFmtId="302" fontId="5" fillId="0" borderId="4" xfId="0">
      <alignment horizontal="center" vertical="center" wrapText="true"/>
    </xf>
    <xf numFmtId="0" fontId="36" fillId="5" borderId="5" xfId="0">
      <alignment horizontal="center" vertical="center"/>
    </xf>
    <xf numFmtId="0" fontId="36" fillId="0" borderId="5" xfId="0">
      <alignment horizontal="center" vertical="center" wrapText="true"/>
    </xf>
    <xf numFmtId="10" fontId="5" fillId="0" borderId="4" xfId="0">
      <alignment horizontal="center" vertical="center" wrapText="true"/>
    </xf>
    <xf numFmtId="0" fontId="37" fillId="0" borderId="4" xfId="0">
      <alignment horizontal="center" vertical="center"/>
    </xf>
    <xf numFmtId="0" fontId="37" fillId="0" borderId="14" xfId="0">
      <alignment horizontal="left" vertical="center" wrapText="true"/>
    </xf>
    <xf fontId="0" fillId="0" borderId="86" xfId="0">
      <alignment vertical="center"/>
    </xf>
    <xf numFmtId="0" fontId="38" fillId="0" borderId="4" xfId="0">
      <alignment horizontal="center" vertical="center" wrapText="true"/>
    </xf>
    <xf numFmtId="0" fontId="35" fillId="0" borderId="4" xfId="0">
      <alignment horizontal="center" vertical="center"/>
    </xf>
    <xf numFmtId="301" fontId="35" fillId="0" borderId="14" xfId="0">
      <alignment horizontal="center" vertical="center"/>
    </xf>
    <xf numFmtId="0" fontId="35" fillId="0" borderId="51" xfId="0">
      <alignment horizontal="center" vertical="center" wrapText="true"/>
    </xf>
    <xf numFmtId="9" fontId="5" fillId="2" borderId="87" xfId="0">
      <alignment horizontal="center" vertical="center" wrapText="true"/>
    </xf>
    <xf numFmtId="0" fontId="5" fillId="2" borderId="87" xfId="0">
      <alignment horizontal="center" vertical="center" wrapText="true"/>
    </xf>
    <xf numFmtId="301" fontId="5" fillId="0" borderId="88" xfId="0">
      <alignment horizontal="center" vertical="center" wrapText="true"/>
    </xf>
    <xf numFmtId="301" fontId="5" fillId="0" borderId="22" xfId="0">
      <alignment horizontal="center" vertical="center" wrapText="true"/>
    </xf>
    <xf numFmtId="0" fontId="5" fillId="9" borderId="22" xfId="0">
      <alignment horizontal="center" vertical="center" wrapText="true"/>
    </xf>
    <xf numFmtId="0" fontId="36" fillId="0" borderId="4" xfId="0">
      <alignment horizontal="center" vertical="center" wrapText="true"/>
    </xf>
    <xf numFmtId="0" fontId="35" fillId="0" borderId="4" xfId="0">
      <alignment horizontal="center" vertical="center" wrapText="true"/>
    </xf>
    <xf numFmtId="9" fontId="4" fillId="0" borderId="4" xfId="0">
      <alignment horizontal="center" vertical="center" wrapText="true"/>
    </xf>
    <xf numFmtId="302" fontId="4" fillId="0" borderId="4" xfId="0">
      <alignment horizontal="center" vertical="center" wrapText="true"/>
    </xf>
    <xf numFmtId="0" fontId="38" fillId="0" borderId="4" xfId="0">
      <alignment horizontal="center" vertical="center"/>
    </xf>
    <xf numFmtId="301" fontId="38" fillId="0" borderId="14" xfId="0">
      <alignment horizontal="center" vertical="center"/>
    </xf>
    <xf numFmtId="0" fontId="38" fillId="0" borderId="14" xfId="0">
      <alignment horizontal="center" vertical="center" wrapText="true"/>
    </xf>
    <xf numFmtId="9" fontId="5" fillId="2" borderId="22" xfId="0">
      <alignment horizontal="center" vertical="center" wrapText="true"/>
    </xf>
    <xf numFmtId="302" fontId="5" fillId="0" borderId="4" xfId="0">
      <alignment horizontal="center" vertical="center"/>
    </xf>
    <xf numFmtId="0" fontId="38" fillId="3" borderId="4" xfId="0">
      <alignment horizontal="center" vertical="center"/>
    </xf>
    <xf numFmtId="0" fontId="38" fillId="3" borderId="4" xfId="0">
      <alignment horizontal="center" vertical="center" wrapText="true"/>
    </xf>
    <xf numFmtId="301" fontId="38" fillId="3" borderId="14" xfId="0">
      <alignment horizontal="center" vertical="center"/>
    </xf>
    <xf numFmtId="0" fontId="38" fillId="3" borderId="14" xfId="0">
      <alignment horizontal="center" vertical="center" wrapText="true"/>
    </xf>
    <xf numFmtId="9" fontId="5" fillId="3" borderId="22" xfId="0">
      <alignment horizontal="center" vertical="center" wrapText="true"/>
    </xf>
    <xf numFmtId="301" fontId="4" fillId="0" borderId="22" xfId="0">
      <alignment horizontal="center" vertical="center" wrapText="true"/>
    </xf>
    <xf numFmtId="301" fontId="5" fillId="3" borderId="22" xfId="0">
      <alignment horizontal="center" vertical="center" wrapText="true"/>
    </xf>
    <xf numFmtId="0" fontId="36" fillId="3" borderId="4" xfId="0">
      <alignment horizontal="center" vertical="center" wrapText="true"/>
    </xf>
    <xf numFmtId="9" fontId="5" fillId="3" borderId="4" xfId="0">
      <alignment horizontal="center" vertical="center"/>
    </xf>
    <xf numFmtId="302" fontId="5" fillId="3" borderId="4" xfId="0">
      <alignment horizontal="center" vertical="center"/>
    </xf>
    <xf numFmtId="9" fontId="5" fillId="3" borderId="4" xfId="0">
      <alignment horizontal="center" vertical="center" wrapText="true"/>
    </xf>
    <xf numFmtId="0" fontId="5" fillId="3" borderId="4" xfId="0">
      <alignment horizontal="center" vertical="center" wrapText="true"/>
    </xf>
    <xf numFmtId="4" fontId="5" fillId="3" borderId="4" xfId="0">
      <alignment horizontal="center" vertical="center" wrapText="true"/>
    </xf>
    <xf numFmtId="10" fontId="5" fillId="3" borderId="4" xfId="0">
      <alignment horizontal="center" vertical="center" wrapText="true"/>
    </xf>
    <xf numFmtId="301" fontId="5" fillId="8" borderId="22" xfId="0">
      <alignment horizontal="center" vertical="center" wrapText="true"/>
    </xf>
    <xf numFmtId="9" fontId="5" fillId="0" borderId="4" xfId="0">
      <alignment horizontal="center" vertical="center"/>
    </xf>
    <xf numFmtId="4" fontId="5" fillId="0" borderId="4" xfId="0">
      <alignment horizontal="center" vertical="center" wrapText="true"/>
    </xf>
    <xf numFmtId="0" fontId="38" fillId="0" borderId="15" xfId="0">
      <alignment horizontal="center" vertical="center" wrapText="true"/>
    </xf>
    <xf numFmtId="0" fontId="5" fillId="3" borderId="14" xfId="0">
      <alignment horizontal="center" vertical="center"/>
    </xf>
    <xf numFmtId="0" fontId="5" fillId="0" borderId="17" xfId="0">
      <alignment horizontal="center" vertical="center"/>
    </xf>
    <xf numFmtId="0" fontId="5" fillId="0" borderId="4" xfId="0">
      <alignment horizontal="center" vertical="center"/>
    </xf>
    <xf numFmtId="301" fontId="5" fillId="0" borderId="22" xfId="0">
      <alignment horizontal="center" vertical="center"/>
    </xf>
    <xf numFmtId="0" fontId="5" fillId="3" borderId="16" xfId="0">
      <alignment horizontal="center" vertical="center"/>
    </xf>
    <xf numFmtId="0" fontId="5" fillId="3" borderId="5" xfId="0">
      <alignment horizontal="center" vertical="center" wrapText="true"/>
    </xf>
    <xf numFmtId="0" fontId="5" fillId="0" borderId="25" xfId="0">
      <alignment horizontal="center" vertical="center"/>
    </xf>
    <xf numFmtId="0" fontId="5" fillId="0" borderId="5" xfId="0">
      <alignment horizontal="center" vertical="center"/>
    </xf>
    <xf numFmtId="301" fontId="5" fillId="0" borderId="23" xfId="0">
      <alignment horizontal="center" vertical="center"/>
    </xf>
    <xf numFmtId="9" fontId="5" fillId="2" borderId="23" xfId="0">
      <alignment horizontal="center" vertical="center" wrapText="true"/>
    </xf>
    <xf numFmtId="0" fontId="5" fillId="9" borderId="23" xfId="0">
      <alignment horizontal="center" vertical="center" wrapText="true"/>
    </xf>
    <xf numFmtId="9" fontId="5" fillId="0" borderId="5" xfId="0">
      <alignment horizontal="center" vertical="center"/>
    </xf>
    <xf numFmtId="302" fontId="5" fillId="0" borderId="5" xfId="0">
      <alignment horizontal="center" vertical="center"/>
    </xf>
    <xf numFmtId="0" fontId="38" fillId="0" borderId="5" xfId="0">
      <alignment horizontal="center" vertical="center" wrapText="true"/>
    </xf>
    <xf numFmtId="9" fontId="5" fillId="0" borderId="5" xfId="0">
      <alignment horizontal="center" vertical="center" wrapText="true"/>
    </xf>
    <xf numFmtId="10" fontId="5" fillId="0" borderId="5" xfId="0">
      <alignment horizontal="center" vertical="center" wrapText="true"/>
    </xf>
    <xf numFmtId="0" fontId="5" fillId="0" borderId="14" xfId="0">
      <alignment horizontal="center" vertical="center"/>
    </xf>
    <xf numFmtId="0" fontId="5" fillId="10" borderId="4" xfId="0">
      <alignment horizontal="center" vertical="center" wrapText="true"/>
    </xf>
    <xf numFmtId="301" fontId="5" fillId="0" borderId="14" xfId="0">
      <alignment horizontal="center" vertical="center"/>
    </xf>
    <xf numFmtId="9" fontId="5" fillId="2" borderId="14" xfId="0">
      <alignment horizontal="center" vertical="center" wrapText="true"/>
    </xf>
    <xf numFmtId="301" fontId="5" fillId="0" borderId="14" xfId="0">
      <alignment horizontal="center" vertical="center" wrapText="true"/>
    </xf>
    <xf numFmtId="0" fontId="5" fillId="9" borderId="16" xfId="0">
      <alignment horizontal="center" vertical="center" wrapText="true"/>
    </xf>
    <xf numFmtId="0" fontId="39" fillId="0" borderId="14" xfId="0">
      <alignment horizontal="center" vertical="center"/>
    </xf>
    <xf numFmtId="0" fontId="39" fillId="0" borderId="4" xfId="0">
      <alignment horizontal="left" vertical="center" wrapText="true"/>
    </xf>
    <xf numFmtId="0" fontId="38" fillId="0" borderId="17" xfId="0">
      <alignment horizontal="center" vertical="center"/>
    </xf>
    <xf numFmtId="10" fontId="40" fillId="0" borderId="5" xfId="0">
      <alignment vertical="center"/>
    </xf>
    <xf fontId="40" fillId="0" borderId="5" xfId="0">
      <alignment vertical="center"/>
    </xf>
    <xf numFmtId="0" fontId="38" fillId="0" borderId="11" xfId="0">
      <alignment horizontal="center" vertical="center" wrapText="true"/>
    </xf>
    <xf numFmtId="0" fontId="39" fillId="0" borderId="4" xfId="0">
      <alignment horizontal="center" vertical="center"/>
    </xf>
    <xf numFmtId="0" fontId="39" fillId="0" borderId="14" xfId="0">
      <alignment horizontal="left" vertical="center" wrapText="true"/>
    </xf>
    <xf numFmtId="0" fontId="5" fillId="2" borderId="89" xfId="0">
      <alignment horizontal="center" vertical="center" wrapText="true"/>
    </xf>
    <xf numFmtId="301" fontId="5" fillId="0" borderId="89" xfId="0">
      <alignment horizontal="center" vertical="center" wrapText="true"/>
    </xf>
    <xf numFmtId="301" fontId="5" fillId="0" borderId="61" xfId="0">
      <alignment horizontal="center" vertical="center" wrapText="true"/>
    </xf>
    <xf numFmtId="0" fontId="38" fillId="8" borderId="4" xfId="0">
      <alignment horizontal="center" vertical="center" wrapText="true"/>
    </xf>
    <xf numFmtId="301" fontId="5" fillId="0" borderId="90" xfId="0">
      <alignment horizontal="center" vertical="center" wrapText="true"/>
    </xf>
    <xf numFmtId="0" fontId="5" fillId="9" borderId="14" xfId="0">
      <alignment horizontal="center" vertical="center" wrapText="true"/>
    </xf>
    <xf fontId="0" fillId="0" borderId="91" xfId="0">
      <alignment vertical="center"/>
    </xf>
    <xf fontId="0" fillId="0" borderId="92" xfId="0">
      <alignment vertical="center"/>
    </xf>
    <xf numFmtId="301" fontId="5" fillId="0" borderId="87" xfId="0">
      <alignment horizontal="center" vertical="center" wrapText="true"/>
    </xf>
    <xf numFmtId="0" fontId="41" fillId="0" borderId="4" xfId="0">
      <alignment horizontal="center" vertical="center"/>
    </xf>
    <xf numFmtId="0" fontId="41" fillId="0" borderId="14" xfId="0">
      <alignment horizontal="left" vertical="center" wrapText="true"/>
    </xf>
    <xf numFmtId="0" fontId="5" fillId="9" borderId="4" xfId="0">
      <alignment horizontal="center" vertical="center" wrapText="true"/>
    </xf>
    <xf numFmtId="0" fontId="5" fillId="0" borderId="22" xfId="0">
      <alignment horizontal="center" vertical="center" wrapText="true"/>
    </xf>
    <xf numFmtId="9" fontId="5" fillId="0" borderId="22" xfId="0">
      <alignment horizontal="center" vertical="center" wrapText="true"/>
    </xf>
    <xf numFmtId="302" fontId="5" fillId="0" borderId="22" xfId="0">
      <alignment horizontal="center" vertical="center" wrapText="true"/>
    </xf>
    <xf numFmtId="302" fontId="38" fillId="0" borderId="4" xfId="0">
      <alignment horizontal="center" vertical="center"/>
    </xf>
    <xf numFmtId="301" fontId="38" fillId="0" borderId="4" xfId="0">
      <alignment horizontal="center" vertical="center"/>
    </xf>
    <xf numFmtId="0" fontId="5" fillId="8" borderId="4" xfId="0">
      <alignment horizontal="center" vertical="center"/>
    </xf>
    <xf numFmtId="0" fontId="5" fillId="0" borderId="15" xfId="0">
      <alignment horizontal="center" vertical="center"/>
    </xf>
    <xf numFmtId="0" fontId="5" fillId="3" borderId="4" xfId="0">
      <alignment horizontal="center" vertical="center"/>
    </xf>
    <xf numFmtId="301" fontId="5" fillId="0" borderId="22" xfId="0">
      <alignment horizontal="center" vertical="center" wrapText="false"/>
    </xf>
    <xf numFmtId="0" fontId="19" fillId="0" borderId="4" xfId="0">
      <alignment horizontal="center" vertical="center"/>
    </xf>
    <xf numFmtId="0" fontId="19" fillId="0" borderId="4" xfId="0">
      <alignment horizontal="left" vertical="center" wrapText="true"/>
    </xf>
    <xf numFmtId="0" fontId="19" fillId="0" borderId="5" xfId="0">
      <alignment horizontal="left" vertical="center" wrapText="true"/>
    </xf>
    <xf numFmtId="0" fontId="4" fillId="0" borderId="27" xfId="0">
      <alignment horizontal="center" vertical="center"/>
    </xf>
    <xf numFmtId="301" fontId="4" fillId="0" borderId="22" xfId="0">
      <alignment horizontal="center" vertical="center"/>
    </xf>
    <xf numFmtId="9" fontId="4" fillId="2" borderId="22" xfId="0">
      <alignment horizontal="center" vertical="center" wrapText="true"/>
    </xf>
    <xf numFmtId="0" fontId="4" fillId="2" borderId="22" xfId="0">
      <alignment horizontal="center" vertical="center" wrapText="true"/>
    </xf>
    <xf numFmtId="10" fontId="0" fillId="0" borderId="5" xfId="0">
      <alignment vertical="center"/>
    </xf>
    <xf numFmtId="0" fontId="4" fillId="11" borderId="4" xfId="0">
      <alignment horizontal="center" vertical="center"/>
    </xf>
    <xf numFmtId="0" fontId="4" fillId="11" borderId="4" xfId="0">
      <alignment horizontal="center" vertical="center" wrapText="true"/>
    </xf>
    <xf numFmtId="9" fontId="4" fillId="2" borderId="4" xfId="0">
      <alignment horizontal="center" vertical="center" wrapText="true"/>
    </xf>
    <xf numFmtId="301" fontId="4" fillId="0" borderId="4" xfId="0">
      <alignment horizontal="center" vertical="center" wrapText="true"/>
    </xf>
    <xf numFmtId="10" fontId="4" fillId="0" borderId="4" xfId="0">
      <alignment horizontal="center" vertical="center" wrapText="true"/>
    </xf>
    <xf numFmtId="0" fontId="4" fillId="0" borderId="17" xfId="0">
      <alignment horizontal="center" vertical="center"/>
    </xf>
    <xf numFmtId="0" fontId="5" fillId="0" borderId="11" xfId="0">
      <alignment horizontal="center" vertical="center"/>
    </xf>
    <xf numFmtId="0" fontId="5" fillId="0" borderId="53" xfId="0">
      <alignment horizontal="center" vertical="center"/>
    </xf>
    <xf numFmtId="0" fontId="5" fillId="0" borderId="53" xfId="0">
      <alignment horizontal="center" vertical="center" wrapText="true"/>
    </xf>
    <xf numFmtId="0" fontId="5" fillId="3" borderId="11" xfId="0">
      <alignment horizontal="center" vertical="center"/>
    </xf>
    <xf numFmtId="0" fontId="5" fillId="0" borderId="4" xfId="0">
      <alignment horizontal="center" vertical="center"/>
      <protection/>
    </xf>
    <xf numFmtId="0" fontId="19" fillId="0" borderId="11" xfId="0">
      <alignment horizontal="center" vertical="center"/>
    </xf>
    <xf numFmtId="0" fontId="19" fillId="0" borderId="51" xfId="0">
      <alignment horizontal="left" vertical="center" wrapText="true"/>
    </xf>
    <xf fontId="0" fillId="0" borderId="93" xfId="0">
      <alignment vertical="center"/>
    </xf>
    <xf numFmtId="301" fontId="4" fillId="0" borderId="87" xfId="0">
      <alignment horizontal="center" vertical="center"/>
    </xf>
    <xf numFmtId="0" fontId="4" fillId="0" borderId="87" xfId="0">
      <alignment horizontal="center" vertical="center" wrapText="true"/>
    </xf>
    <xf numFmtId="9" fontId="4" fillId="2" borderId="87" xfId="0">
      <alignment horizontal="center" vertical="center" wrapText="true"/>
    </xf>
    <xf numFmtId="0" fontId="4" fillId="2" borderId="87" xfId="0">
      <alignment horizontal="center" vertical="center" wrapText="true"/>
    </xf>
    <xf numFmtId="0" fontId="5" fillId="9" borderId="88" xfId="0">
      <alignment horizontal="center" vertical="center" wrapText="true"/>
    </xf>
    <xf numFmtId="9" fontId="4" fillId="0" borderId="53" xfId="0">
      <alignment horizontal="center" vertical="center" wrapText="true"/>
    </xf>
    <xf numFmtId="302" fontId="4" fillId="0" borderId="53" xfId="0">
      <alignment horizontal="center" vertical="center" wrapText="true"/>
    </xf>
    <xf numFmtId="10" fontId="0" fillId="0" borderId="21" xfId="0">
      <alignment vertical="center"/>
    </xf>
    <xf numFmtId="0" fontId="4" fillId="0" borderId="53" xfId="0">
      <alignment horizontal="center" vertical="center" wrapText="true"/>
    </xf>
    <xf numFmtId="0" fontId="5" fillId="3" borderId="15" xfId="0">
      <alignment horizontal="center" vertical="center" wrapText="true"/>
    </xf>
    <xf numFmtId="0" fontId="5" fillId="3" borderId="15" xfId="0">
      <alignment horizontal="center" vertical="center"/>
    </xf>
    <xf numFmtId="301" fontId="5" fillId="0" borderId="56" xfId="0">
      <alignment horizontal="center" vertical="center" wrapText="true"/>
    </xf>
    <xf numFmtId="9" fontId="5" fillId="0" borderId="33" xfId="0">
      <alignment horizontal="center" vertical="center" wrapText="true"/>
    </xf>
    <xf numFmtId="4" fontId="5" fillId="0" borderId="22" xfId="0">
      <alignment horizontal="center" vertical="center" wrapText="true"/>
    </xf>
    <xf numFmtId="301" fontId="5" fillId="0" borderId="4" xfId="0">
      <alignment horizontal="center" vertical="center"/>
    </xf>
    <xf numFmtId="0" fontId="5" fillId="3" borderId="4" xfId="0">
      <alignment horizontal="center" vertical="center" wrapText="true"/>
      <protection/>
    </xf>
    <xf numFmtId="0" fontId="36" fillId="0" borderId="4" xfId="0">
      <alignment horizontal="center" vertical="center" wrapText="true"/>
      <protection/>
    </xf>
    <xf numFmtId="0" fontId="5" fillId="0" borderId="19" xfId="0">
      <alignment horizontal="center" vertical="center"/>
    </xf>
    <xf numFmtId="301" fontId="5" fillId="0" borderId="89" xfId="0">
      <alignment horizontal="center" vertical="center"/>
    </xf>
    <xf numFmtId="301" fontId="5" fillId="0" borderId="35" xfId="0">
      <alignment horizontal="center" vertical="center"/>
    </xf>
    <xf numFmtId="301" fontId="5" fillId="0" borderId="1" xfId="0">
      <alignment horizontal="center" vertical="center" wrapText="true"/>
    </xf>
    <xf numFmtId="0" fontId="5" fillId="9" borderId="89" xfId="0">
      <alignment horizontal="center" vertical="center" wrapText="true"/>
    </xf>
    <xf numFmtId="9" fontId="5" fillId="0" borderId="15" xfId="0">
      <alignment horizontal="center" vertical="center" wrapText="true"/>
    </xf>
    <xf numFmtId="302" fontId="5" fillId="0" borderId="15" xfId="0">
      <alignment horizontal="center" vertical="center" wrapText="true"/>
    </xf>
    <xf numFmtId="301" fontId="4" fillId="0" borderId="89" xfId="0">
      <alignment horizontal="center" vertical="center"/>
    </xf>
    <xf numFmtId="0" fontId="4" fillId="0" borderId="19" xfId="0">
      <alignment horizontal="center" vertical="center"/>
    </xf>
    <xf numFmtId="301" fontId="4" fillId="0" borderId="35" xfId="0">
      <alignment horizontal="center" vertical="center"/>
    </xf>
    <xf numFmtId="9" fontId="4" fillId="0" borderId="5" xfId="0">
      <alignment horizontal="center" vertical="center" wrapText="true"/>
    </xf>
    <xf numFmtId="302" fontId="4" fillId="0" borderId="5" xfId="0">
      <alignment horizontal="center" vertical="center" wrapText="true"/>
    </xf>
    <xf numFmtId="0" fontId="5" fillId="2" borderId="88" xfId="0">
      <alignment horizontal="center" vertical="center" wrapText="true"/>
    </xf>
    <xf numFmtId="9" fontId="5" fillId="0" borderId="53" xfId="0">
      <alignment horizontal="center" vertical="center" wrapText="true"/>
    </xf>
    <xf numFmtId="302" fontId="5" fillId="0" borderId="53" xfId="0">
      <alignment horizontal="center" vertical="center" wrapText="true"/>
    </xf>
    <xf numFmtId="301" fontId="5" fillId="0" borderId="51" xfId="0">
      <alignment horizontal="center" vertical="center" wrapText="true"/>
    </xf>
    <xf numFmtId="0" fontId="5" fillId="9" borderId="87" xfId="0">
      <alignment horizontal="center" vertical="center" wrapText="true"/>
    </xf>
    <xf numFmtId="9" fontId="5" fillId="0" borderId="11" xfId="0">
      <alignment horizontal="center" vertical="center" wrapText="true"/>
    </xf>
    <xf numFmtId="302" fontId="5" fillId="0" borderId="11" xfId="0">
      <alignment horizontal="center" vertical="center" wrapText="true"/>
    </xf>
    <xf numFmtId="4" fontId="5" fillId="0" borderId="4" xfId="0">
      <alignment horizontal="center" vertical="center"/>
    </xf>
    <xf numFmtId="301" fontId="5" fillId="3" borderId="14" xfId="0">
      <alignment horizontal="center" vertical="center"/>
    </xf>
    <xf numFmtId="301" fontId="5" fillId="3" borderId="14" xfId="0">
      <alignment horizontal="center" vertical="center" wrapText="true"/>
    </xf>
    <xf numFmtId="4" fontId="5" fillId="3" borderId="4" xfId="0">
      <alignment horizontal="center" vertical="center"/>
    </xf>
    <xf numFmtId="301" fontId="5" fillId="0" borderId="88" xfId="0">
      <alignment horizontal="center" vertical="center"/>
    </xf>
    <xf numFmtId="0" fontId="5" fillId="0" borderId="88" xfId="0">
      <alignment horizontal="center" vertical="center"/>
    </xf>
    <xf numFmtId="4" fontId="5" fillId="0" borderId="53" xfId="0">
      <alignment horizontal="center" vertical="center"/>
    </xf>
    <xf numFmtId="10" fontId="5" fillId="0" borderId="53" xfId="0">
      <alignment horizontal="center" vertical="center" wrapText="true"/>
    </xf>
    <xf numFmtId="0" fontId="37" fillId="0" borderId="11" xfId="0">
      <alignment horizontal="center" vertical="center"/>
    </xf>
    <xf numFmtId="0" fontId="37" fillId="0" borderId="51" xfId="0">
      <alignment horizontal="left" vertical="center" wrapText="true"/>
    </xf>
    <xf fontId="0" fillId="0" borderId="45" xfId="0">
      <alignment vertical="center"/>
    </xf>
    <xf numFmtId="0" fontId="35" fillId="0" borderId="11" xfId="0">
      <alignment horizontal="center" vertical="center"/>
    </xf>
    <xf numFmtId="301" fontId="35" fillId="0" borderId="51" xfId="0">
      <alignment horizontal="center" vertical="center"/>
    </xf>
    <xf numFmtId="0" fontId="35" fillId="0" borderId="11" xfId="0">
      <alignment horizontal="center" vertical="center" wrapText="true"/>
    </xf>
    <xf numFmtId="0" fontId="36" fillId="0" borderId="11" xfId="0">
      <alignment horizontal="center" vertical="center" wrapText="true"/>
    </xf>
    <xf numFmtId="0" fontId="35" fillId="9" borderId="5" xfId="0">
      <alignment horizontal="center" vertical="center" wrapText="true"/>
    </xf>
    <xf numFmtId="0" fontId="38" fillId="9" borderId="5" xfId="0">
      <alignment horizontal="center" vertical="center" wrapText="true"/>
    </xf>
    <xf numFmtId="0" fontId="35" fillId="0" borderId="5" xfId="0">
      <alignment horizontal="center" vertical="center"/>
    </xf>
    <xf numFmtId="0" fontId="35" fillId="0" borderId="5" xfId="0">
      <alignment vertical="bottom"/>
    </xf>
    <xf numFmtId="9" fontId="4" fillId="0" borderId="5" xfId="0">
      <alignment vertical="bottom"/>
    </xf>
    <xf numFmtId="10" fontId="4" fillId="0" borderId="5" xfId="0">
      <alignment vertical="bottom"/>
    </xf>
    <xf numFmtId="0" fontId="35" fillId="0" borderId="0" xfId="0">
      <alignment horizontal="center" vertical="center"/>
    </xf>
    <xf numFmtId="0" fontId="35" fillId="0" borderId="0" xfId="0">
      <alignment horizontal="center" vertical="center" wrapText="true"/>
    </xf>
    <xf numFmtId="0" fontId="38" fillId="0" borderId="0" xfId="0">
      <alignment horizontal="center" vertical="center" wrapText="true"/>
    </xf>
    <xf numFmtId="0" fontId="35" fillId="0" borderId="0" xfId="0">
      <alignment vertical="bottom"/>
    </xf>
    <xf numFmtId="9" fontId="4" fillId="2" borderId="0" xfId="0">
      <alignment vertical="bottom"/>
    </xf>
    <xf numFmtId="301" fontId="5" fillId="0" borderId="0" xfId="0">
      <alignment vertical="bottom"/>
    </xf>
    <xf numFmtId="0" fontId="5" fillId="9" borderId="0" xfId="0">
      <alignment vertical="bottom"/>
    </xf>
    <xf numFmtId="9" fontId="4" fillId="0" borderId="0" xfId="0">
      <alignment vertical="bottom"/>
    </xf>
    <xf numFmtId="10" fontId="4" fillId="0" borderId="0" xfId="0">
      <alignment vertical="bottom"/>
    </xf>
    <xf numFmtId="0" fontId="17" fillId="0" borderId="49" xfId="0">
      <alignment horizontal="center" vertical="center"/>
    </xf>
    <xf numFmtId="2" fontId="18" fillId="0" borderId="4" xfId="0">
      <alignment horizontal="center" vertical="center" wrapText="true"/>
    </xf>
    <xf numFmtId="0" fontId="17" fillId="0" borderId="64" xfId="0">
      <alignment horizontal="center" vertical="center"/>
    </xf>
    <xf numFmtId="10" fontId="18" fillId="0" borderId="4" xfId="0">
      <alignment vertical="center"/>
    </xf>
    <xf numFmtId="2" fontId="18" fillId="0" borderId="4" xfId="0">
      <alignment vertical="center"/>
    </xf>
    <xf numFmtId="2" fontId="17" fillId="0" borderId="4" xfId="0">
      <alignment vertical="bottom"/>
    </xf>
    <xf numFmtId="300" fontId="24" fillId="7" borderId="4" xfId="0">
      <alignment horizontal="right" vertical="center"/>
    </xf>
    <xf numFmtId="10" fontId="17" fillId="0" borderId="4" xfId="0">
      <alignment vertical="center"/>
    </xf>
    <xf numFmtId="2" fontId="17" fillId="0" borderId="4" xfId="0">
      <alignment vertical="center"/>
    </xf>
    <xf numFmtId="0" fontId="3" fillId="0" borderId="5" xfId="0">
      <alignment horizontal="center" vertical="center"/>
    </xf>
    <xf numFmtId="0" fontId="4" fillId="0" borderId="1" xfId="0">
      <alignment horizontal="left" vertical="center"/>
    </xf>
    <xf numFmtId="0" fontId="41" fillId="2" borderId="4" xfId="0">
      <alignment horizontal="center" vertical="center"/>
    </xf>
    <xf fontId="0" fillId="0" borderId="16" xfId="0">
      <alignment vertical="center"/>
    </xf>
    <xf numFmtId="301" fontId="41" fillId="12" borderId="1" xfId="0">
      <alignment horizontal="center" vertical="center" wrapText="true"/>
    </xf>
    <xf numFmtId="301" fontId="19" fillId="12" borderId="1" xfId="0">
      <alignment horizontal="center" vertical="center" wrapText="true"/>
    </xf>
    <xf numFmtId="0" fontId="5" fillId="0" borderId="1" xfId="0">
      <alignment horizontal="center" vertical="center"/>
    </xf>
    <xf numFmtId="4" fontId="4" fillId="0" borderId="4" xfId="0">
      <alignment horizontal="center" vertical="center" wrapText="true"/>
    </xf>
    <xf numFmtId="0" fontId="4" fillId="0" borderId="22" xfId="0">
      <alignment horizontal="center" vertical="center"/>
    </xf>
    <xf numFmtId="0" fontId="5" fillId="2" borderId="15" xfId="0">
      <alignment horizontal="center" vertical="center"/>
    </xf>
    <xf fontId="0" fillId="0" borderId="14" xfId="0">
      <alignment vertical="center"/>
    </xf>
    <xf numFmtId="301" fontId="5" fillId="12" borderId="5" xfId="0">
      <alignment horizontal="center" vertical="center" wrapText="true"/>
    </xf>
    <xf numFmtId="4" fontId="4" fillId="3" borderId="4" xfId="0">
      <alignment horizontal="center" vertical="center" wrapText="true"/>
    </xf>
    <xf numFmtId="0" fontId="19" fillId="0" borderId="14" xfId="0">
      <alignment horizontal="center" vertical="center"/>
    </xf>
    <xf numFmtId="0" fontId="19" fillId="0" borderId="14" xfId="0">
      <alignment horizontal="left" vertical="center" wrapText="true"/>
    </xf>
    <xf numFmtId="0" fontId="41" fillId="2" borderId="4" xfId="0">
      <alignment horizontal="center" vertical="center" wrapText="true"/>
    </xf>
    <xf numFmtId="0" fontId="5" fillId="12" borderId="4" xfId="0">
      <alignment horizontal="center" vertical="center" wrapText="true"/>
    </xf>
    <xf numFmtId="301" fontId="41" fillId="12" borderId="4" xfId="0">
      <alignment horizontal="center" vertical="center" wrapText="true"/>
    </xf>
    <xf numFmtId="0" fontId="4" fillId="0" borderId="51" xfId="0">
      <alignment horizontal="center" vertical="center"/>
    </xf>
    <xf numFmtId="306" fontId="5" fillId="2" borderId="4" xfId="0">
      <alignment horizontal="center" vertical="center" wrapText="true"/>
    </xf>
    <xf numFmtId="0" fontId="5" fillId="12" borderId="15" xfId="0">
      <alignment horizontal="center" vertical="center" wrapText="true"/>
    </xf>
    <xf numFmtId="301" fontId="5" fillId="12" borderId="33" xfId="0">
      <alignment horizontal="center" vertical="center" wrapText="true"/>
    </xf>
    <xf numFmtId="301" fontId="5" fillId="12" borderId="15" xfId="0">
      <alignment horizontal="center" vertical="center" wrapText="true"/>
    </xf>
    <xf numFmtId="301" fontId="5" fillId="12" borderId="4" xfId="0">
      <alignment horizontal="center" vertical="center" wrapText="true"/>
    </xf>
    <xf numFmtId="0" fontId="5" fillId="8" borderId="4" xfId="0">
      <alignment horizontal="center" vertical="center" wrapText="true"/>
    </xf>
    <xf numFmtId="4" fontId="4" fillId="0" borderId="4" xfId="0">
      <alignment horizontal="center" vertical="center"/>
    </xf>
    <xf fontId="4" fillId="0" borderId="5" xfId="0">
      <alignment horizontal="center" vertical="center" wrapText="true"/>
    </xf>
    <xf numFmtId="301" fontId="41" fillId="2" borderId="4" xfId="0">
      <alignment horizontal="center" vertical="center" wrapText="true"/>
    </xf>
    <xf numFmtId="0" fontId="4" fillId="2" borderId="4" xfId="0">
      <alignment horizontal="center" vertical="center"/>
    </xf>
    <xf numFmtId="10" fontId="5" fillId="2" borderId="15" xfId="0">
      <alignment horizontal="center" vertical="center" wrapText="true"/>
    </xf>
    <xf numFmtId="0" fontId="5" fillId="2" borderId="6" xfId="0">
      <alignment horizontal="center" vertical="center" wrapText="true"/>
    </xf>
    <xf numFmtId="301" fontId="5" fillId="12" borderId="94" xfId="0">
      <alignment horizontal="center" vertical="center" wrapText="true"/>
    </xf>
    <xf numFmtId="4" fontId="4" fillId="0" borderId="15" xfId="0">
      <alignment horizontal="center" vertical="center"/>
    </xf>
    <xf fontId="0" fillId="0" borderId="95" xfId="0">
      <alignment vertical="center"/>
    </xf>
    <xf numFmtId="0" fontId="4" fillId="2" borderId="14" xfId="0">
      <alignment horizontal="center" vertical="center"/>
    </xf>
    <xf numFmtId="10" fontId="5" fillId="2" borderId="6" xfId="0">
      <alignment horizontal="center" vertical="center" wrapText="true"/>
    </xf>
    <xf numFmtId="301" fontId="5" fillId="12" borderId="96" xfId="0">
      <alignment horizontal="center" vertical="center" wrapText="true"/>
    </xf>
    <xf fontId="6" fillId="0" borderId="19" xfId="0">
      <alignment vertical="center"/>
    </xf>
    <xf fontId="6" fillId="3" borderId="19" xfId="0">
      <alignment vertical="center"/>
    </xf>
    <xf numFmtId="301" fontId="4" fillId="0" borderId="85" xfId="0">
      <alignment vertical="center"/>
    </xf>
    <xf fontId="6" fillId="3" borderId="21" xfId="0">
      <alignment vertical="center"/>
    </xf>
    <xf numFmtId="301" fontId="5" fillId="2" borderId="4" xfId="0">
      <alignment horizontal="center" vertical="center" wrapText="true"/>
    </xf>
    <xf numFmtId="0" fontId="5" fillId="12" borderId="33" xfId="0">
      <alignment horizontal="center" vertical="center" wrapText="true"/>
    </xf>
    <xf numFmtId="0" fontId="41" fillId="12" borderId="4" xfId="0">
      <alignment horizontal="center" vertical="center" wrapText="true"/>
    </xf>
    <xf numFmtId="9" fontId="5" fillId="2" borderId="15" xfId="0">
      <alignment horizontal="center" vertical="center" wrapText="true"/>
    </xf>
    <xf fontId="6" fillId="3" borderId="10" xfId="0">
      <alignment/>
    </xf>
    <xf fontId="6" fillId="0" borderId="10" xfId="0">
      <alignment/>
    </xf>
    <xf numFmtId="0" fontId="4" fillId="3" borderId="4" xfId="0">
      <alignment horizontal="center" vertical="center" wrapText="true"/>
    </xf>
    <xf fontId="42" fillId="3" borderId="10" xfId="0">
      <alignment/>
    </xf>
    <xf numFmtId="0" fontId="43" fillId="0" borderId="4" xfId="0">
      <alignment horizontal="center" vertical="center" wrapText="true"/>
    </xf>
    <xf numFmtId="0" fontId="4" fillId="0" borderId="97" xfId="0">
      <alignment horizontal="center" vertical="center" wrapText="true"/>
    </xf>
    <xf numFmtId="0" fontId="4" fillId="6" borderId="97" xfId="0">
      <alignment horizontal="center" vertical="center" wrapText="true"/>
    </xf>
    <xf numFmtId="0" fontId="4" fillId="3" borderId="97" xfId="0">
      <alignment horizontal="center" vertical="center" wrapText="true"/>
    </xf>
    <xf fontId="6" fillId="0" borderId="18" xfId="0">
      <alignment/>
    </xf>
    <xf numFmtId="0" fontId="4" fillId="13" borderId="4" xfId="0">
      <alignment horizontal="center" vertical="center" wrapText="true"/>
    </xf>
    <xf numFmtId="0" fontId="4" fillId="13" borderId="4" xfId="0">
      <alignment horizontal="center" vertical="center"/>
    </xf>
    <xf numFmtId="301" fontId="4" fillId="0" borderId="53" xfId="0">
      <alignment horizontal="center" vertical="center"/>
    </xf>
    <xf numFmtId="0" fontId="4" fillId="0" borderId="19" xfId="0">
      <alignment horizontal="center" vertical="center" wrapText="true"/>
    </xf>
    <xf numFmtId="301" fontId="4" fillId="0" borderId="11" xfId="0">
      <alignment horizontal="center" vertical="center"/>
    </xf>
    <xf numFmtId="0" fontId="4" fillId="6" borderId="4" xfId="0">
      <alignment horizontal="center" vertical="center" wrapText="true"/>
    </xf>
    <xf numFmtId="4" fontId="44" fillId="0" borderId="4" xfId="0">
      <alignment horizontal="center" vertical="center" wrapText="true"/>
    </xf>
    <xf fontId="6" fillId="3" borderId="18" xfId="0">
      <alignment/>
    </xf>
    <xf numFmtId="0" fontId="19" fillId="0" borderId="51" xfId="0">
      <alignment horizontal="center" vertical="center"/>
    </xf>
    <xf numFmtId="301" fontId="19" fillId="2" borderId="4" xfId="0">
      <alignment horizontal="center" vertical="center" wrapText="true"/>
    </xf>
    <xf numFmtId="301" fontId="19" fillId="12" borderId="4" xfId="0">
      <alignment horizontal="center" vertical="center" wrapText="true"/>
    </xf>
    <xf numFmtId="9" fontId="4" fillId="2" borderId="15" xfId="0">
      <alignment horizontal="center" vertical="center" wrapText="true"/>
    </xf>
    <xf numFmtId="0" fontId="4" fillId="2" borderId="15" xfId="0">
      <alignment horizontal="center" vertical="center" wrapText="true"/>
    </xf>
    <xf numFmtId="4" fontId="4" fillId="0" borderId="15" xfId="0">
      <alignment horizontal="center" vertical="center" wrapText="true"/>
    </xf>
    <xf numFmtId="0" fontId="4" fillId="8" borderId="4" xfId="0">
      <alignment horizontal="center" vertical="center" wrapText="true"/>
    </xf>
    <xf numFmtId="301" fontId="19" fillId="3" borderId="4" xfId="0">
      <alignment horizontal="center" vertical="center" wrapText="true"/>
    </xf>
    <xf numFmtId="0" fontId="4" fillId="8" borderId="4" xfId="0">
      <alignment horizontal="center" vertical="center"/>
    </xf>
    <xf numFmtId="0" fontId="4" fillId="0" borderId="1" xfId="0">
      <alignment horizontal="center" vertical="center"/>
    </xf>
    <xf numFmtId="302" fontId="19" fillId="2" borderId="4" xfId="0">
      <alignment horizontal="center" vertical="center" wrapText="true"/>
    </xf>
    <xf numFmtId="302" fontId="19" fillId="12" borderId="4" xfId="0">
      <alignment horizontal="center" vertical="center" wrapText="true"/>
    </xf>
    <xf numFmtId="306" fontId="4" fillId="2" borderId="15" xfId="0">
      <alignment horizontal="center" vertical="center" wrapText="true"/>
    </xf>
    <xf numFmtId="307" fontId="4" fillId="2" borderId="15" xfId="0">
      <alignment horizontal="center" vertical="center" wrapText="true"/>
    </xf>
    <xf numFmtId="0" fontId="5" fillId="0" borderId="6" xfId="0">
      <alignment horizontal="center" vertical="center" wrapText="true"/>
    </xf>
    <xf numFmtId="0" fontId="4" fillId="6" borderId="4" xfId="0">
      <alignment horizontal="center" vertical="center"/>
    </xf>
    <xf numFmtId="0" fontId="4" fillId="11" borderId="22" xfId="0">
      <alignment horizontal="center" vertical="center"/>
    </xf>
    <xf fontId="0" fillId="0" borderId="98" xfId="0">
      <alignment vertical="center"/>
    </xf>
    <xf numFmtId="0" fontId="4" fillId="2" borderId="11" xfId="0">
      <alignment horizontal="center" vertical="center" wrapText="true"/>
    </xf>
    <xf numFmtId="0" fontId="19" fillId="3" borderId="11" xfId="0">
      <alignment horizontal="center" vertical="center" wrapText="true"/>
    </xf>
    <xf numFmtId="0" fontId="5" fillId="12" borderId="53" xfId="0">
      <alignment horizontal="center" vertical="center" wrapText="true"/>
    </xf>
    <xf numFmtId="0" fontId="41" fillId="12" borderId="53" xfId="0">
      <alignment horizontal="center" vertical="center" wrapText="true"/>
    </xf>
    <xf numFmtId="301" fontId="5" fillId="12" borderId="14" xfId="0">
      <alignment horizontal="center" vertical="center" wrapText="true"/>
    </xf>
    <xf numFmtId="301" fontId="5" fillId="12" borderId="17" xfId="0">
      <alignment horizontal="center" vertical="center" wrapText="true"/>
    </xf>
    <xf numFmtId="301" fontId="5" fillId="0" borderId="17" xfId="0">
      <alignment horizontal="center" vertical="center" wrapText="true"/>
    </xf>
    <xf numFmtId="301" fontId="5" fillId="12" borderId="5" xfId="0">
      <alignment vertical="center"/>
    </xf>
    <xf numFmtId="301" fontId="5" fillId="12" borderId="26" xfId="0">
      <alignment horizontal="center" vertical="center" wrapText="true"/>
    </xf>
    <xf numFmtId="301" fontId="5" fillId="12" borderId="6" xfId="0">
      <alignment horizontal="center" vertical="center" wrapText="true"/>
    </xf>
    <xf numFmtId="301" fontId="5" fillId="12" borderId="1" xfId="0">
      <alignment horizontal="center" vertical="center" wrapText="true"/>
    </xf>
    <xf numFmtId="301" fontId="5" fillId="12" borderId="6" xfId="0">
      <alignment vertical="center"/>
    </xf>
    <xf numFmtId="0" fontId="19" fillId="0" borderId="14" xfId="0">
      <alignment horizontal="left" vertical="center" wrapText="false"/>
    </xf>
    <xf numFmtId="0" fontId="19" fillId="2" borderId="4" xfId="0">
      <alignment horizontal="center" vertical="center" wrapText="true"/>
    </xf>
    <xf numFmtId="0" fontId="19" fillId="12" borderId="4" xfId="0">
      <alignment horizontal="center" vertical="center" wrapText="true"/>
    </xf>
    <xf numFmtId="0" fontId="21" fillId="0" borderId="4" xfId="0">
      <alignment horizontal="center" vertical="center" wrapText="true"/>
    </xf>
    <xf fontId="40" fillId="12" borderId="5" xfId="0">
      <alignment vertical="center"/>
    </xf>
    <xf numFmtId="0" fontId="5" fillId="12" borderId="5" xfId="0">
      <alignment vertical="bottom"/>
    </xf>
    <xf numFmtId="0" fontId="5" fillId="0" borderId="5" xfId="0">
      <alignment vertical="bottom"/>
    </xf>
    <xf numFmtId="0" fontId="4" fillId="4" borderId="5" xfId="0">
      <alignment horizontal="center" vertical="center" wrapText="true"/>
    </xf>
    <xf numFmtId="0" fontId="4" fillId="6" borderId="5" xfId="0">
      <alignment horizontal="center" vertical="center" wrapText="true"/>
    </xf>
    <xf numFmtId="0" fontId="45" fillId="0" borderId="0" xfId="0">
      <alignment vertical="center"/>
    </xf>
    <xf numFmtId="0" fontId="46" fillId="0" borderId="4" xfId="0">
      <alignment vertical="center" wrapText="true"/>
    </xf>
    <xf numFmtId="0" fontId="47" fillId="14" borderId="4" xfId="0">
      <alignment horizontal="center" vertical="center" wrapText="true"/>
    </xf>
    <xf numFmtId="0" fontId="45" fillId="14" borderId="99" xfId="0">
      <alignment vertical="center"/>
    </xf>
    <xf numFmtId="0" fontId="47" fillId="14" borderId="99" xfId="0">
      <alignment horizontal="center" vertical="center" wrapText="true"/>
    </xf>
    <xf numFmtId="0" fontId="47" fillId="0" borderId="4" xfId="0">
      <alignment horizontal="center" vertical="center" wrapText="true"/>
    </xf>
    <xf numFmtId="0" fontId="47" fillId="0" borderId="0" xfId="0">
      <alignment horizontal="center" vertical="center" wrapText="true"/>
    </xf>
    <xf numFmtId="308" fontId="32" fillId="0" borderId="4" xfId="0">
      <alignment horizontal="center" vertical="center" wrapText="true"/>
    </xf>
    <xf numFmtId="0" fontId="46" fillId="0" borderId="100" xfId="0">
      <alignment vertical="center" wrapText="true"/>
    </xf>
    <xf numFmtId="0" fontId="46" fillId="0" borderId="62" xfId="0">
      <alignment vertical="center" wrapText="true"/>
    </xf>
    <xf numFmtId="0" fontId="46" fillId="0" borderId="63" xfId="0">
      <alignment vertical="center" wrapText="true"/>
    </xf>
    <xf numFmtId="0" fontId="32" fillId="0" borderId="4" xfId="0">
      <alignment vertical="center" wrapText="true"/>
    </xf>
    <xf numFmtId="0" fontId="48" fillId="15" borderId="4" xfId="0">
      <alignment vertical="center" wrapText="true"/>
    </xf>
    <xf numFmtId="49" fontId="32" fillId="0" borderId="4" xfId="0">
      <alignment vertical="center" wrapText="true"/>
    </xf>
    <xf numFmtId="0" fontId="32" fillId="0" borderId="4" xfId="0">
      <alignment vertical="top"/>
    </xf>
    <xf numFmtId="0" fontId="32" fillId="0" borderId="4" xfId="0">
      <alignment vertical="center"/>
    </xf>
    <xf numFmtId="0" fontId="45" fillId="6" borderId="70" xfId="0">
      <alignment vertical="center"/>
    </xf>
    <xf numFmtId="0" fontId="49" fillId="15" borderId="4" xfId="0">
      <alignment vertical="center" wrapText="true"/>
    </xf>
    <xf numFmtId="0" fontId="50" fillId="0" borderId="100" xfId="0">
      <alignment vertical="center" wrapText="true"/>
    </xf>
    <xf numFmtId="0" fontId="50" fillId="0" borderId="62" xfId="0">
      <alignment vertical="center" wrapText="true"/>
    </xf>
    <xf numFmtId="0" fontId="50" fillId="0" borderId="63" xfId="0">
      <alignment vertical="center" wrapText="true"/>
    </xf>
    <xf numFmtId="0" fontId="47" fillId="0" borderId="4" xfId="0">
      <alignment vertical="center" wrapText="true"/>
    </xf>
    <xf numFmtId="49" fontId="47" fillId="0" borderId="4" xfId="0">
      <alignment vertical="center" wrapText="true"/>
    </xf>
    <xf numFmtId="0" fontId="47" fillId="0" borderId="4" xfId="0">
      <alignment vertical="top" wrapText="true"/>
    </xf>
    <xf numFmtId="0" fontId="47" fillId="0" borderId="0" xfId="0">
      <alignment vertical="center" wrapText="true"/>
    </xf>
    <xf numFmtId="0" fontId="48" fillId="15" borderId="101" xfId="0">
      <alignment vertical="center" wrapText="true"/>
    </xf>
    <xf numFmtId="0" fontId="48" fillId="15" borderId="102" xfId="0">
      <alignment vertical="center" wrapText="true"/>
    </xf>
    <xf numFmtId="0" fontId="48" fillId="15" borderId="103" xfId="0">
      <alignment vertical="center" wrapText="true"/>
    </xf>
    <xf numFmtId="0" fontId="45" fillId="0" borderId="4" xfId="0">
      <alignment horizontal="center" vertical="center" wrapText="true"/>
    </xf>
    <xf numFmtId="0" fontId="45" fillId="0" borderId="4" xfId="0">
      <alignment horizontal="center" vertical="center"/>
    </xf>
    <xf numFmtId="0" fontId="32" fillId="15" borderId="4" xfId="0">
      <alignment vertical="center" wrapText="true"/>
    </xf>
    <xf numFmtId="49" fontId="32" fillId="0" borderId="4" xfId="0">
      <alignment horizontal="center" vertical="center" wrapText="true"/>
    </xf>
    <xf numFmtId="0" fontId="46" fillId="0" borderId="4" xfId="0">
      <alignment vertical="center"/>
    </xf>
    <xf numFmtId="300" fontId="5" fillId="0" borderId="51" xfId="0">
      <alignment horizontal="center" vertical="center" wrapText="true"/>
    </xf>
    <xf numFmtId="300" fontId="5" fillId="5" borderId="51" xfId="0">
      <alignment horizontal="center" vertical="center" wrapText="true"/>
    </xf>
    <xf fontId="6" fillId="0" borderId="52" xfId="0">
      <alignment/>
    </xf>
    <xf numFmtId="300" fontId="5" fillId="0" borderId="1" xfId="0">
      <alignment horizontal="center" vertical="center" wrapText="true"/>
    </xf>
    <xf numFmtId="300" fontId="5" fillId="5" borderId="1" xfId="0">
      <alignment horizontal="center" vertical="center" wrapText="true"/>
    </xf>
    <xf fontId="4" fillId="0" borderId="5" xfId="0">
      <alignment horizontal="center" vertical="center"/>
    </xf>
    <xf fontId="4" fillId="0" borderId="5" xfId="0">
      <alignment vertical="center"/>
    </xf>
    <xf numFmtId="301" fontId="5" fillId="2" borderId="14" xfId="0">
      <alignment horizontal="center" vertical="center" wrapText="true"/>
    </xf>
    <xf numFmtId="301" fontId="4" fillId="5" borderId="16" xfId="0">
      <alignment horizontal="center" vertical="center" wrapText="true"/>
    </xf>
    <xf numFmtId="300" fontId="4" fillId="5" borderId="16" xfId="0">
      <alignment horizontal="center" vertical="center" wrapText="true"/>
    </xf>
    <xf numFmtId="300" fontId="4" fillId="3" borderId="5" xfId="0">
      <alignment horizontal="center" vertical="center" wrapText="true"/>
    </xf>
    <xf fontId="4" fillId="3" borderId="5" xfId="0">
      <alignment horizontal="center" vertical="center"/>
    </xf>
    <xf fontId="4" fillId="3" borderId="5" xfId="0">
      <alignment horizontal="center" vertical="center" wrapText="true"/>
    </xf>
    <xf numFmtId="301" fontId="4" fillId="5" borderId="4" xfId="0">
      <alignment horizontal="center" vertical="center"/>
    </xf>
    <xf numFmtId="301" fontId="4" fillId="5" borderId="22" xfId="0">
      <alignment horizontal="center" vertical="center"/>
    </xf>
    <xf numFmtId="300" fontId="4" fillId="5" borderId="23" xfId="0">
      <alignment horizontal="center" vertical="center" wrapText="true"/>
    </xf>
    <xf numFmtId="301" fontId="4" fillId="5" borderId="23" xfId="0">
      <alignment horizontal="center" vertical="center" wrapText="true"/>
    </xf>
    <xf fontId="4" fillId="0" borderId="18" xfId="0">
      <alignment horizontal="center" vertical="center" wrapText="true"/>
    </xf>
    <xf fontId="4" fillId="5" borderId="23" xfId="0">
      <alignment horizontal="center" vertical="center" wrapText="true"/>
    </xf>
    <xf numFmtId="301" fontId="5" fillId="3" borderId="4" xfId="0">
      <alignment horizontal="center" vertical="center" wrapText="true"/>
    </xf>
    <xf numFmtId="301" fontId="4" fillId="3" borderId="5" xfId="0">
      <alignment horizontal="center" vertical="center" wrapText="true"/>
    </xf>
    <xf numFmtId="309" fontId="4" fillId="3" borderId="5" xfId="0">
      <alignment horizontal="center" vertical="center" wrapText="true"/>
    </xf>
    <xf numFmtId="301" fontId="5" fillId="2" borderId="22" xfId="0">
      <alignment horizontal="center" vertical="center" wrapText="true"/>
    </xf>
    <xf numFmtId="301" fontId="4" fillId="3" borderId="5" xfId="0">
      <alignment horizontal="center" vertical="center"/>
    </xf>
    <xf numFmtId="0" fontId="4" fillId="2" borderId="14" xfId="0">
      <alignment horizontal="center" vertical="center" wrapText="true"/>
    </xf>
    <xf fontId="0" fillId="2" borderId="16" xfId="0">
      <alignment vertical="center"/>
    </xf>
    <xf fontId="0" fillId="0" borderId="23" xfId="0">
      <alignment vertical="center"/>
    </xf>
    <xf numFmtId="0" fontId="51" fillId="0" borderId="0" xfId="0">
      <alignment horizontal="center" vertical="center"/>
    </xf>
    <xf numFmtId="0" fontId="52" fillId="0" borderId="0" xfId="0">
      <alignment vertical="center"/>
    </xf>
    <xf numFmtId="0" fontId="17" fillId="0" borderId="49" xfId="0">
      <alignment horizontal="left" vertical="center"/>
    </xf>
    <xf numFmtId="0" fontId="17" fillId="0" borderId="46" xfId="0">
      <alignment horizontal="center" vertical="center"/>
    </xf>
    <xf numFmtId="0" fontId="17" fillId="0" borderId="47" xfId="0">
      <alignment horizontal="center" vertical="center"/>
    </xf>
    <xf numFmtId="9" fontId="17" fillId="0" borderId="4" xfId="0">
      <alignment horizontal="center" vertical="center"/>
    </xf>
    <xf numFmtId="0" fontId="17" fillId="0" borderId="46" xfId="0">
      <alignment vertical="bottom"/>
    </xf>
    <xf numFmtId="0" fontId="17" fillId="0" borderId="47" xfId="0">
      <alignment vertical="bottom"/>
    </xf>
    <xf numFmtId="0" fontId="17" fillId="0" borderId="104" xfId="0">
      <alignment horizontal="center" vertical="center"/>
    </xf>
    <xf numFmtId="0" fontId="17" fillId="0" borderId="48" xfId="0">
      <alignment horizontal="center" vertical="center"/>
    </xf>
    <xf numFmtId="0" fontId="17" fillId="0" borderId="50" xfId="0">
      <alignment horizontal="center" vertical="center"/>
    </xf>
    <xf numFmtId="0" fontId="17" fillId="0" borderId="48" xfId="0">
      <alignment vertical="bottom"/>
    </xf>
    <xf numFmtId="0" fontId="17" fillId="0" borderId="49" xfId="0">
      <alignment vertical="bottom"/>
    </xf>
    <xf numFmtId="0" fontId="17" fillId="0" borderId="50" xfId="0">
      <alignment vertical="bottom"/>
    </xf>
    <xf numFmtId="302" fontId="17" fillId="0" borderId="104" xfId="0">
      <alignment horizontal="center" vertical="center"/>
    </xf>
    <xf numFmtId="303" fontId="52" fillId="0" borderId="4" xfId="0">
      <alignment horizontal="center" vertical="center"/>
    </xf>
    <xf numFmtId="0" fontId="17" fillId="0" borderId="64" xfId="0">
      <alignment horizontal="left" vertical="center"/>
    </xf>
    <xf numFmtId="301" fontId="52" fillId="0" borderId="4" xfId="0">
      <alignment horizontal="right" vertical="center"/>
    </xf>
    <xf numFmtId="310" fontId="52" fillId="0" borderId="64" xfId="0">
      <alignment horizontal="right" vertical="center"/>
    </xf>
    <xf numFmtId="303" fontId="17" fillId="0" borderId="64" xfId="0">
      <alignment horizontal="left" vertical="center"/>
    </xf>
    <xf numFmtId="302" fontId="52" fillId="0" borderId="0" xfId="0">
      <alignment vertical="bottom"/>
    </xf>
    <xf numFmtId="301" fontId="52" fillId="0" borderId="0" xfId="0">
      <alignment vertical="bottom"/>
    </xf>
    <xf numFmtId="311" fontId="17" fillId="0" borderId="4" xfId="0">
      <alignment vertical="center"/>
    </xf>
    <xf numFmtId="311" fontId="17" fillId="0" borderId="64" xfId="0">
      <alignment vertical="center"/>
    </xf>
    <xf numFmtId="301" fontId="17" fillId="0" borderId="4" xfId="0">
      <alignment horizontal="center" vertical="center"/>
    </xf>
    <xf numFmtId="300" fontId="17" fillId="0" borderId="4" xfId="0">
      <alignment horizontal="center" vertical="center"/>
    </xf>
    <xf numFmtId="303" fontId="17" fillId="0" borderId="4" xfId="0">
      <alignment horizontal="center" vertical="center"/>
    </xf>
    <xf numFmtId="303" fontId="17" fillId="0" borderId="64" xfId="0">
      <alignment horizontal="left" vertical="center" wrapText="true"/>
    </xf>
    <xf numFmtId="49" fontId="52" fillId="0" borderId="4" xfId="0">
      <alignment horizontal="center" vertical="center"/>
    </xf>
    <xf numFmtId="310" fontId="17" fillId="0" borderId="4" xfId="0">
      <alignment horizontal="center" vertical="center"/>
    </xf>
    <xf numFmtId="312" fontId="52" fillId="0" borderId="0" xfId="0">
      <alignment vertical="bottom"/>
    </xf>
    <xf numFmtId="0" fontId="52" fillId="0" borderId="4" xfId="0">
      <alignment horizontal="center" vertical="center"/>
    </xf>
    <xf numFmtId="0" fontId="52" fillId="0" borderId="0" xfId="0">
      <alignment vertical="bottom"/>
    </xf>
    <xf numFmtId="303" fontId="52" fillId="0" borderId="64" xfId="0">
      <alignment horizontal="left" vertical="center"/>
    </xf>
    <xf numFmtId="313" fontId="52" fillId="0" borderId="4" xfId="0">
      <alignment horizontal="right" vertical="center"/>
    </xf>
    <xf numFmtId="301" fontId="52" fillId="0" borderId="64" xfId="0">
      <alignment horizontal="right" vertical="center"/>
    </xf>
    <xf numFmtId="303" fontId="52" fillId="0" borderId="4" xfId="0">
      <alignment horizontal="left" vertical="center" wrapText="true"/>
    </xf>
    <xf numFmtId="303" fontId="52" fillId="0" borderId="64" xfId="0">
      <alignment horizontal="left" vertical="center" wrapText="true"/>
    </xf>
    <xf numFmtId="0" fontId="52" fillId="0" borderId="0" xfId="0">
      <alignment horizontal="center" vertical="center"/>
    </xf>
    <xf numFmtId="0" fontId="53" fillId="0" borderId="105" xfId="0">
      <alignment horizontal="center" vertical="center" wrapText="true"/>
    </xf>
    <xf fontId="0" fillId="0" borderId="106" xfId="0">
      <alignment vertical="center"/>
    </xf>
    <xf numFmtId="0" fontId="53" fillId="0" borderId="107" xfId="0">
      <alignment horizontal="center" vertical="center" wrapText="true"/>
    </xf>
    <xf numFmtId="0" fontId="53" fillId="0" borderId="106" xfId="0">
      <alignment horizontal="center" vertical="center" wrapText="true"/>
    </xf>
    <xf numFmtId="0" fontId="54" fillId="0" borderId="0" xfId="0">
      <alignment vertical="bottom"/>
    </xf>
    <xf numFmtId="0" fontId="55" fillId="0" borderId="4" xfId="0">
      <alignment horizontal="center" vertical="center" wrapText="true"/>
    </xf>
    <xf numFmtId="0" fontId="55" fillId="0" borderId="14" xfId="0">
      <alignment horizontal="center" vertical="center"/>
    </xf>
    <xf fontId="0" fillId="0" borderId="108" xfId="0">
      <alignment vertical="center"/>
    </xf>
    <xf numFmtId="0" fontId="55" fillId="0" borderId="72" xfId="0">
      <alignment horizontal="center" vertical="center"/>
    </xf>
    <xf numFmtId="0" fontId="55" fillId="0" borderId="39" xfId="0">
      <alignment horizontal="center" vertical="center"/>
    </xf>
    <xf fontId="0" fillId="0" borderId="60" xfId="0">
      <alignment vertical="center"/>
    </xf>
    <xf numFmtId="0" fontId="55" fillId="0" borderId="109" xfId="0">
      <alignment horizontal="center" vertical="center" wrapText="true"/>
    </xf>
    <xf numFmtId="0" fontId="55" fillId="3" borderId="96" xfId="0">
      <alignment horizontal="center" vertical="center" wrapText="true"/>
    </xf>
    <xf fontId="6" fillId="0" borderId="31" xfId="0">
      <alignment/>
    </xf>
    <xf numFmtId="0" fontId="55" fillId="0" borderId="96" xfId="0">
      <alignment horizontal="center" vertical="center" wrapText="true"/>
    </xf>
    <xf numFmtId="0" fontId="56" fillId="0" borderId="4" xfId="0">
      <alignment horizontal="center" vertical="center"/>
    </xf>
    <xf numFmtId="0" fontId="54" fillId="3" borderId="3" xfId="0">
      <alignment vertical="bottom"/>
    </xf>
    <xf numFmtId="0" fontId="54" fillId="0" borderId="3" xfId="0">
      <alignment vertical="bottom"/>
    </xf>
    <xf numFmtId="0" fontId="55" fillId="0" borderId="53" xfId="0">
      <alignment horizontal="center" vertical="center" wrapText="true"/>
    </xf>
    <xf numFmtId="0" fontId="55" fillId="0" borderId="51" xfId="0">
      <alignment horizontal="center" vertical="center" wrapText="true"/>
    </xf>
    <xf fontId="0" fillId="0" borderId="110" xfId="0">
      <alignment vertical="center"/>
    </xf>
    <xf numFmtId="0" fontId="55" fillId="0" borderId="39" xfId="0">
      <alignment horizontal="center" vertical="center" wrapText="true"/>
    </xf>
    <xf fontId="0" fillId="0" borderId="111" xfId="0">
      <alignment vertical="center"/>
    </xf>
    <xf numFmtId="0" fontId="56" fillId="0" borderId="53" xfId="0">
      <alignment horizontal="center" vertical="center"/>
    </xf>
    <xf numFmtId="302" fontId="54" fillId="0" borderId="0" xfId="0">
      <alignment vertical="bottom"/>
    </xf>
    <xf numFmtId="0" fontId="54" fillId="0" borderId="64" xfId="0">
      <alignment horizontal="center" vertical="center" wrapText="true"/>
    </xf>
    <xf numFmtId="0" fontId="54" fillId="0" borderId="4" xfId="0">
      <alignment horizontal="center" vertical="center" wrapText="true"/>
    </xf>
    <xf numFmtId="0" fontId="55" fillId="0" borderId="11" xfId="0">
      <alignment horizontal="center" vertical="center" wrapText="true"/>
    </xf>
    <xf numFmtId="0" fontId="55" fillId="3" borderId="4" xfId="0">
      <alignment horizontal="center" vertical="center" wrapText="true"/>
    </xf>
    <xf numFmtId="0" fontId="54" fillId="0" borderId="64" xfId="0">
      <alignment vertical="center"/>
    </xf>
    <xf numFmtId="2" fontId="55" fillId="0" borderId="53" xfId="0">
      <alignment horizontal="center" vertical="center"/>
    </xf>
    <xf numFmtId="2" fontId="55" fillId="0" borderId="4" xfId="0">
      <alignment horizontal="center" vertical="center" wrapText="true"/>
    </xf>
    <xf numFmtId="300" fontId="55" fillId="0" borderId="14" xfId="0">
      <alignment horizontal="center" vertical="center"/>
    </xf>
    <xf fontId="0" fillId="0" borderId="25" xfId="0">
      <alignment vertical="center"/>
    </xf>
    <xf numFmtId="300" fontId="55" fillId="0" borderId="112" xfId="0">
      <alignment horizontal="center" vertical="center"/>
    </xf>
    <xf numFmtId="300" fontId="55" fillId="3" borderId="112" xfId="0">
      <alignment horizontal="center" vertical="center"/>
    </xf>
    <xf fontId="6" fillId="0" borderId="93" xfId="0">
      <alignment/>
    </xf>
    <xf numFmtId="2" fontId="54" fillId="0" borderId="53" xfId="0">
      <alignment horizontal="left" vertical="center" wrapText="true"/>
    </xf>
    <xf numFmtId="301" fontId="55" fillId="0" borderId="14" xfId="0">
      <alignment horizontal="center" vertical="center"/>
    </xf>
    <xf numFmtId="301" fontId="55" fillId="0" borderId="112" xfId="0">
      <alignment horizontal="center" vertical="center"/>
    </xf>
    <xf numFmtId="301" fontId="55" fillId="3" borderId="112" xfId="0">
      <alignment horizontal="center" vertical="center"/>
    </xf>
    <xf numFmtId="309" fontId="55" fillId="0" borderId="14" xfId="0">
      <alignment horizontal="center" vertical="center"/>
    </xf>
    <xf numFmtId="309" fontId="55" fillId="0" borderId="113" xfId="0">
      <alignment horizontal="center" vertical="center"/>
    </xf>
    <xf fontId="0" fillId="0" borderId="114" xfId="0">
      <alignment vertical="center"/>
    </xf>
    <xf numFmtId="309" fontId="55" fillId="3" borderId="112" xfId="0">
      <alignment horizontal="center" vertical="center"/>
    </xf>
    <xf numFmtId="309" fontId="55" fillId="0" borderId="112" xfId="0">
      <alignment horizontal="center" vertical="center"/>
    </xf>
    <xf numFmtId="2" fontId="55" fillId="0" borderId="4" xfId="0">
      <alignment horizontal="left" vertical="center" wrapText="true"/>
    </xf>
    <xf numFmtId="301" fontId="55" fillId="0" borderId="4" xfId="0">
      <alignment horizontal="right" vertical="center"/>
    </xf>
    <xf numFmtId="301" fontId="55" fillId="3" borderId="4" xfId="0">
      <alignment horizontal="right" vertical="center"/>
    </xf>
    <xf numFmtId="2" fontId="55" fillId="0" borderId="4" xfId="0">
      <alignment horizontal="center" vertical="center"/>
    </xf>
    <xf numFmtId="301" fontId="55" fillId="0" borderId="11" xfId="0">
      <alignment horizontal="right" vertical="center"/>
    </xf>
    <xf numFmtId="2" fontId="54" fillId="0" borderId="4" xfId="0">
      <alignment horizontal="left" vertical="center" wrapText="true"/>
    </xf>
    <xf numFmtId="0" fontId="54" fillId="7" borderId="4" xfId="0">
      <alignment horizontal="center" vertical="center" wrapText="true"/>
    </xf>
    <xf numFmtId="2" fontId="54" fillId="3" borderId="4" xfId="0">
      <alignment horizontal="left" vertical="center" wrapText="true"/>
    </xf>
    <xf numFmtId="301" fontId="54" fillId="7" borderId="4" xfId="0">
      <alignment horizontal="right" vertical="center"/>
    </xf>
    <xf numFmtId="301" fontId="54" fillId="3" borderId="4" xfId="0">
      <alignment horizontal="right" vertical="center"/>
    </xf>
    <xf numFmtId="0" fontId="54" fillId="7" borderId="65" xfId="0">
      <alignment vertical="bottom"/>
    </xf>
    <xf numFmtId="2" fontId="54" fillId="7" borderId="4" xfId="0">
      <alignment horizontal="left" vertical="center" wrapText="true"/>
    </xf>
    <xf numFmtId="0" fontId="54" fillId="3" borderId="3" xfId="0">
      <alignment horizontal="center" vertical="bottom" wrapText="true"/>
    </xf>
    <xf numFmtId="2" fontId="55" fillId="7" borderId="65" xfId="0">
      <alignment vertical="bottom"/>
    </xf>
    <xf numFmtId="301" fontId="54" fillId="0" borderId="4" xfId="0">
      <alignment horizontal="right" vertical="center"/>
    </xf>
    <xf numFmtId="2" fontId="57" fillId="0" borderId="15" xfId="0">
      <alignment horizontal="left" vertical="center" wrapText="true"/>
    </xf>
    <xf numFmtId="2" fontId="54" fillId="0" borderId="0" xfId="0">
      <alignment vertical="center"/>
    </xf>
    <xf numFmtId="2" fontId="54" fillId="0" borderId="115" xfId="0">
      <alignment vertical="bottom"/>
    </xf>
    <xf numFmtId="2" fontId="55" fillId="0" borderId="115" xfId="0">
      <alignment vertical="bottom"/>
    </xf>
    <xf numFmtId="2" fontId="55" fillId="0" borderId="59" xfId="0">
      <alignment vertical="bottom"/>
    </xf>
    <xf numFmtId="2" fontId="55" fillId="0" borderId="0" xfId="0">
      <alignment vertical="bottom"/>
    </xf>
    <xf numFmtId="302" fontId="54" fillId="0" borderId="4" xfId="0">
      <alignment horizontal="right" vertical="center"/>
    </xf>
    <xf numFmtId="2" fontId="55" fillId="7" borderId="3" xfId="0">
      <alignment vertical="bottom"/>
    </xf>
    <xf numFmtId="2" fontId="55" fillId="7" borderId="116" xfId="0">
      <alignment vertical="bottom"/>
    </xf>
    <xf numFmtId="301" fontId="54" fillId="0" borderId="86" xfId="0">
      <alignment vertical="center"/>
    </xf>
    <xf numFmtId="2" fontId="54" fillId="0" borderId="0" xfId="0">
      <alignment vertical="bottom"/>
    </xf>
    <xf numFmtId="305" fontId="54" fillId="0" borderId="0" xfId="0">
      <alignment vertical="bottom"/>
    </xf>
    <xf numFmtId="2" fontId="57" fillId="0" borderId="0" xfId="0">
      <alignment vertical="center"/>
    </xf>
    <xf numFmtId="301" fontId="54" fillId="0" borderId="5" xfId="0">
      <alignment horizontal="right" vertical="center"/>
    </xf>
    <xf numFmtId="2" fontId="57" fillId="0" borderId="0" xfId="0">
      <alignment vertical="bottom"/>
    </xf>
    <xf numFmtId="2" fontId="55" fillId="0" borderId="15" xfId="0">
      <alignment horizontal="left" vertical="center" wrapText="true"/>
    </xf>
    <xf numFmtId="0" fontId="55" fillId="0" borderId="0" xfId="0">
      <alignment vertical="bottom"/>
    </xf>
    <xf numFmtId="0" fontId="55" fillId="0" borderId="3" xfId="0">
      <alignment vertical="bottom"/>
    </xf>
    <xf numFmtId="301" fontId="54" fillId="3" borderId="15" xfId="0">
      <alignment horizontal="right" vertical="center"/>
    </xf>
    <xf numFmtId="301" fontId="54" fillId="0" borderId="4" xfId="0">
      <alignment horizontal="center" vertical="center" wrapText="true"/>
    </xf>
    <xf numFmtId="2" fontId="55" fillId="0" borderId="0" xfId="0">
      <alignment vertical="center"/>
    </xf>
    <xf numFmtId="0" fontId="54" fillId="0" borderId="4" xfId="0">
      <alignment horizontal="right" vertical="center"/>
    </xf>
    <xf numFmtId="301" fontId="58" fillId="0" borderId="4" xfId="0">
      <alignment horizontal="right" vertical="center"/>
    </xf>
    <xf numFmtId="301" fontId="54" fillId="0" borderId="15" xfId="0">
      <alignment horizontal="right" vertical="center"/>
    </xf>
    <xf numFmtId="0" fontId="54" fillId="7" borderId="0" xfId="0">
      <alignment vertical="bottom"/>
    </xf>
    <xf numFmtId="0" fontId="54" fillId="7" borderId="3" xfId="0">
      <alignment vertical="bottom"/>
    </xf>
    <xf numFmtId="300" fontId="59" fillId="0" borderId="4" xfId="0">
      <alignment horizontal="right" vertical="center"/>
    </xf>
    <xf numFmtId="300" fontId="59" fillId="0" borderId="4" xfId="0">
      <alignment horizontal="left" vertical="center"/>
    </xf>
    <xf numFmtId="49" fontId="55" fillId="0" borderId="0" xfId="0">
      <alignment horizontal="center" vertical="center" wrapText="true"/>
    </xf>
    <xf numFmtId="0" fontId="55" fillId="0" borderId="0" xfId="0">
      <alignment horizontal="center" vertical="center" wrapText="true"/>
    </xf>
    <xf numFmtId="0" fontId="54" fillId="3" borderId="0" xfId="0">
      <alignment vertical="bottom"/>
    </xf>
    <xf numFmtId="303" fontId="56" fillId="0" borderId="0" xfId="0">
      <alignment horizontal="center" vertical="center" wrapText="true"/>
    </xf>
    <xf numFmtId="0" fontId="54" fillId="0" borderId="0" xfId="0">
      <alignment vertical="bottom" wrapText="true"/>
    </xf>
    <xf numFmtId="301" fontId="59" fillId="0" borderId="0" xfId="0">
      <alignment vertical="bottom"/>
    </xf>
    <xf numFmtId="301" fontId="55" fillId="0" borderId="0" xfId="0">
      <alignment vertical="bottom"/>
    </xf>
    <xf numFmtId="0" fontId="4" fillId="0" borderId="8" xfId="0">
      <alignment horizontal="center" vertical="center" wrapText="true"/>
    </xf>
    <xf fontId="0" fillId="0" borderId="51" xfId="0">
      <alignment vertical="center"/>
    </xf>
    <xf fontId="19" fillId="0" borderId="5" xfId="0">
      <alignment horizontal="center" vertical="center"/>
    </xf>
    <xf fontId="19" fillId="0" borderId="16" xfId="0">
      <alignment vertical="center" wrapText="true"/>
    </xf>
    <xf numFmtId="301" fontId="4" fillId="0" borderId="16" xfId="0">
      <alignment horizontal="center" vertical="center"/>
    </xf>
    <xf fontId="4" fillId="0" borderId="16" xfId="0">
      <alignment horizontal="center" vertical="center" wrapText="true"/>
    </xf>
    <xf fontId="4" fillId="2" borderId="16" xfId="0">
      <alignment horizontal="center" vertical="center" wrapText="true"/>
    </xf>
    <xf fontId="60" fillId="0" borderId="5" xfId="0">
      <alignment vertical="center" wrapText="true"/>
    </xf>
    <xf fontId="4" fillId="0" borderId="12" xfId="0">
      <alignment horizontal="center" vertical="center" wrapText="true"/>
    </xf>
    <xf fontId="4" fillId="2" borderId="12" xfId="0">
      <alignment horizontal="center" vertical="center" wrapText="true"/>
    </xf>
    <xf fontId="4" fillId="0" borderId="5" xfId="0">
      <alignment vertical="center" wrapText="true"/>
    </xf>
    <xf fontId="4" fillId="2" borderId="5" xfId="0">
      <alignment horizontal="center" vertical="center" wrapText="true"/>
    </xf>
    <xf fontId="61" fillId="0" borderId="5" xfId="0">
      <alignment horizontal="center" vertical="center" wrapText="true"/>
    </xf>
    <xf fontId="61" fillId="0" borderId="5" xfId="0">
      <alignment vertical="center" wrapText="true"/>
    </xf>
    <xf fontId="14" fillId="0" borderId="5" xfId="0">
      <alignment horizontal="center" vertical="center" wrapText="true"/>
    </xf>
    <xf fontId="14" fillId="0" borderId="5" xfId="0">
      <alignment vertical="center" wrapText="true"/>
    </xf>
    <xf numFmtId="301" fontId="14" fillId="0" borderId="5" xfId="0">
      <alignment horizontal="center" vertical="center"/>
    </xf>
    <xf fontId="4" fillId="0" borderId="5" xfId="0">
      <alignment vertical="bottom" wrapText="true"/>
    </xf>
    <xf fontId="4" fillId="0" borderId="25" xfId="0">
      <alignment horizontal="center" vertical="center" wrapText="true"/>
    </xf>
    <xf fontId="19" fillId="0" borderId="18" xfId="0">
      <alignment horizontal="center" vertical="center"/>
    </xf>
    <xf fontId="19" fillId="0" borderId="29" xfId="0">
      <alignment vertical="center" wrapText="true"/>
    </xf>
    <xf fontId="61" fillId="0" borderId="5" xfId="0">
      <alignment vertical="bottom" wrapText="true"/>
    </xf>
    <xf fontId="11" fillId="3" borderId="5" xfId="0">
      <alignment horizontal="center" vertical="center" wrapText="true"/>
    </xf>
    <xf fontId="61" fillId="3" borderId="5" xfId="0">
      <alignment horizontal="center" vertical="center" wrapText="true"/>
    </xf>
    <xf fontId="6" fillId="0" borderId="16" xfId="0">
      <alignment/>
    </xf>
    <xf fontId="21" fillId="0" borderId="5" xfId="0">
      <alignment horizontal="center" vertical="center"/>
    </xf>
    <xf fontId="4" fillId="0" borderId="10" xfId="0">
      <alignment horizontal="center" vertical="center"/>
    </xf>
    <xf numFmtId="301" fontId="4" fillId="0" borderId="12" xfId="0">
      <alignment horizontal="center" vertical="center"/>
    </xf>
    <xf fontId="14" fillId="0" borderId="5" xfId="0">
      <alignment vertical="center"/>
    </xf>
    <xf fontId="14" fillId="0" borderId="5" xfId="0">
      <alignment horizontal="left" vertical="center"/>
    </xf>
    <xf fontId="19" fillId="0" borderId="5" xfId="0">
      <alignment vertical="center" wrapText="true"/>
    </xf>
    <xf fontId="4" fillId="0" borderId="16" xfId="0">
      <alignment horizontal="center" vertical="center"/>
    </xf>
    <xf fontId="4" fillId="0" borderId="5" xfId="0">
      <alignment vertical="bottom"/>
    </xf>
    <xf fontId="4" fillId="2" borderId="5" xfId="0">
      <alignment vertical="bottom"/>
    </xf>
    <xf fontId="4" fillId="2" borderId="16" xfId="0">
      <alignment vertical="bottom"/>
    </xf>
    <xf fontId="62" fillId="0" borderId="5" xfId="0">
      <alignment horizontal="center" vertical="center"/>
    </xf>
    <xf numFmtId="300" fontId="4" fillId="0" borderId="5" xfId="0">
      <alignment horizontal="center" vertical="center" wrapText="true"/>
    </xf>
    <xf fontId="62" fillId="0" borderId="5" xfId="0">
      <alignment horizontal="center" vertical="center" wrapText="true"/>
    </xf>
    <xf fontId="4" fillId="3" borderId="5" xfId="0">
      <alignment vertical="center" wrapText="true"/>
    </xf>
    <xf fontId="62" fillId="3" borderId="5" xfId="0">
      <alignment horizontal="center" vertical="center" wrapText="true"/>
    </xf>
    <xf fontId="61" fillId="3" borderId="5" xfId="0">
      <alignment vertical="center" wrapText="true"/>
    </xf>
    <xf fontId="4" fillId="3" borderId="5" xfId="0">
      <alignment vertical="bottom" wrapText="true"/>
    </xf>
    <xf fontId="11" fillId="16" borderId="5" xfId="0">
      <alignment horizontal="center" vertical="center" wrapText="true"/>
    </xf>
    <xf fontId="19" fillId="8" borderId="5" xfId="0">
      <alignment horizontal="center" vertical="center"/>
    </xf>
    <xf fontId="19" fillId="8" borderId="5" xfId="0">
      <alignment vertical="center" wrapText="true"/>
    </xf>
    <xf fontId="11" fillId="17" borderId="5" xfId="0">
      <alignment horizontal="center" vertical="center" wrapText="true"/>
    </xf>
    <xf fontId="11" fillId="0" borderId="5" xfId="0">
      <alignment vertical="center" wrapText="true"/>
    </xf>
    <xf fontId="4" fillId="16" borderId="5" xfId="0">
      <alignment vertical="bottom" wrapText="true"/>
    </xf>
    <xf fontId="61" fillId="0" borderId="5" xfId="0">
      <alignment vertical="center"/>
    </xf>
    <xf fontId="63" fillId="0" borderId="5" xfId="0">
      <alignment vertical="center" wrapText="true"/>
    </xf>
    <xf fontId="61" fillId="0" borderId="16" xfId="0">
      <alignment vertical="center"/>
    </xf>
    <xf fontId="61" fillId="2" borderId="5" xfId="0">
      <alignment vertical="bottom"/>
    </xf>
    <xf numFmtId="0" fontId="64" fillId="0" borderId="0" xfId="0">
      <alignment vertical="bottom"/>
    </xf>
    <xf numFmtId="0" fontId="64" fillId="0" borderId="4" xfId="0">
      <alignment horizontal="center" vertical="center"/>
    </xf>
    <xf numFmtId="0" fontId="64" fillId="0" borderId="4" xfId="0">
      <alignment horizontal="center" vertical="center" wrapText="true"/>
    </xf>
    <xf numFmtId="314" fontId="64" fillId="0" borderId="4" xfId="0">
      <alignment horizontal="center" vertical="center" wrapText="true"/>
    </xf>
    <xf numFmtId="0" fontId="65" fillId="15" borderId="117" xfId="0">
      <alignment vertical="bottom"/>
    </xf>
    <xf numFmtId="0" fontId="65" fillId="15" borderId="117" xfId="0">
      <alignment horizontal="center" vertical="center" wrapText="true"/>
    </xf>
    <xf numFmtId="0" fontId="66" fillId="7" borderId="65" xfId="0">
      <alignment vertical="bottom"/>
    </xf>
    <xf numFmtId="9" fontId="64" fillId="0" borderId="4" xfId="0">
      <alignment horizontal="center" vertical="center"/>
    </xf>
    <xf numFmtId="315" fontId="66" fillId="7" borderId="65" xfId="0">
      <alignment vertical="bottom"/>
    </xf>
    <xf numFmtId="316" fontId="66" fillId="7" borderId="65" xfId="0">
      <alignment vertical="bottom"/>
    </xf>
    <xf numFmtId="0" fontId="64" fillId="7" borderId="65" xfId="0">
      <alignment vertical="bottom"/>
    </xf>
    <xf numFmtId="0" fontId="65" fillId="7" borderId="65" xfId="0">
      <alignment vertical="bottom"/>
    </xf>
    <xf numFmtId="0" fontId="65" fillId="7" borderId="65" xfId="0">
      <alignment horizontal="center" vertical="center" wrapText="true"/>
    </xf>
    <xf numFmtId="0" fontId="66" fillId="7" borderId="4" xfId="0">
      <alignment vertical="bottom"/>
    </xf>
    <xf numFmtId="0" fontId="66" fillId="7" borderId="4" xfId="0">
      <alignment horizontal="center" vertical="center"/>
    </xf>
    <xf numFmtId="0" fontId="67" fillId="7" borderId="4" xfId="0">
      <alignment horizontal="center" vertical="center"/>
    </xf>
    <xf numFmtId="1" fontId="66" fillId="7" borderId="4" xfId="0">
      <alignment vertical="bottom"/>
    </xf>
    <xf numFmtId="9" fontId="66" fillId="7" borderId="4" xfId="0">
      <alignment vertical="bottom"/>
    </xf>
    <xf numFmtId="0" fontId="66" fillId="0" borderId="4" xfId="0">
      <alignment vertical="center"/>
    </xf>
    <xf numFmtId="315" fontId="66" fillId="7" borderId="4" xfId="0">
      <alignment vertical="bottom"/>
    </xf>
    <xf numFmtId="0" fontId="66" fillId="7" borderId="4" xfId="0">
      <alignment horizontal="center" vertical="center" wrapText="true"/>
    </xf>
    <xf numFmtId="2" fontId="66" fillId="7" borderId="4" xfId="0">
      <alignment horizontal="center" vertical="center" wrapText="true"/>
    </xf>
    <xf numFmtId="0" fontId="66" fillId="7" borderId="65" xfId="0">
      <alignment horizontal="center" vertical="center" wrapText="true"/>
    </xf>
    <xf numFmtId="2" fontId="66" fillId="7" borderId="65" xfId="0">
      <alignment horizontal="center" vertical="center" wrapText="true"/>
    </xf>
    <xf numFmtId="9" fontId="66" fillId="7" borderId="65" xfId="0">
      <alignment vertical="bottom"/>
    </xf>
    <xf numFmtId="0" fontId="68" fillId="18" borderId="118" xfId="0">
      <alignment vertical="bottom"/>
    </xf>
    <xf numFmtId="314" fontId="68" fillId="18" borderId="118" xfId="0">
      <alignment vertical="bottom"/>
    </xf>
    <xf numFmtId="0" fontId="47" fillId="0" borderId="119" xfId="0">
      <alignment horizontal="center" vertical="center"/>
    </xf>
    <xf numFmtId="0" fontId="47" fillId="0" borderId="120" xfId="0">
      <alignment horizontal="center" vertical="center"/>
    </xf>
    <xf numFmtId="0" fontId="69" fillId="0" borderId="120" xfId="0">
      <alignment horizontal="center" vertical="center"/>
    </xf>
    <xf numFmtId="0" fontId="47" fillId="0" borderId="121" xfId="0">
      <alignment horizontal="center" vertical="center"/>
    </xf>
    <xf numFmtId="0" fontId="47" fillId="0" borderId="122" xfId="0">
      <alignment horizontal="center" vertical="center"/>
    </xf>
    <xf numFmtId="0" fontId="47" fillId="0" borderId="123" xfId="0">
      <alignment horizontal="center" vertical="center"/>
    </xf>
    <xf numFmtId="0" fontId="47" fillId="0" borderId="68" xfId="0">
      <alignment horizontal="center" vertical="center"/>
    </xf>
    <xf numFmtId="0" fontId="69" fillId="0" borderId="68" xfId="0">
      <alignment horizontal="center" vertical="center"/>
    </xf>
    <xf numFmtId="0" fontId="70" fillId="0" borderId="68" xfId="0">
      <alignment horizontal="left" vertical="center"/>
    </xf>
    <xf numFmtId="0" fontId="29" fillId="0" borderId="121" xfId="0">
      <alignment horizontal="center" vertical="center"/>
    </xf>
    <xf numFmtId="0" fontId="29" fillId="0" borderId="122" xfId="0">
      <alignment horizontal="center" vertical="center"/>
    </xf>
    <xf numFmtId="0" fontId="29" fillId="0" borderId="120" xfId="0">
      <alignment horizontal="center" vertical="center"/>
    </xf>
    <xf numFmtId="0" fontId="29" fillId="0" borderId="123" xfId="0">
      <alignment horizontal="center" vertical="center"/>
    </xf>
    <xf numFmtId="0" fontId="29" fillId="0" borderId="68" xfId="0">
      <alignment horizontal="center" vertical="center"/>
    </xf>
    <xf numFmtId="0" fontId="71" fillId="0" borderId="68" xfId="0">
      <alignment horizontal="center" vertical="center"/>
    </xf>
    <xf numFmtId="0" fontId="29" fillId="0" borderId="124" xfId="0">
      <alignment horizontal="center" vertical="center"/>
    </xf>
    <xf numFmtId="0" fontId="29" fillId="0" borderId="125" xfId="0">
      <alignment horizontal="center" vertical="center"/>
    </xf>
    <xf numFmtId="0" fontId="71" fillId="0" borderId="124" xfId="0">
      <alignment horizontal="center" vertical="center"/>
    </xf>
    <xf numFmtId="0" fontId="71" fillId="0" borderId="123" xfId="0">
      <alignment horizontal="center" vertical="center"/>
    </xf>
    <xf numFmtId="0" fontId="47" fillId="0" borderId="126" xfId="0">
      <alignment horizontal="center" vertical="center"/>
    </xf>
    <xf numFmtId="0" fontId="47" fillId="0" borderId="127" xfId="0">
      <alignment horizontal="center" vertical="center"/>
    </xf>
    <xf numFmtId="0" fontId="47" fillId="0" borderId="128" xfId="0">
      <alignment horizontal="center" vertical="center"/>
    </xf>
    <xf numFmtId="0" fontId="29" fillId="0" borderId="127" xfId="0">
      <alignment horizontal="center" vertical="center"/>
    </xf>
    <xf numFmtId="0" fontId="72" fillId="0" borderId="68" xfId="0">
      <alignment horizontal="center" vertical="center"/>
    </xf>
    <xf numFmtId="0" fontId="29" fillId="0" borderId="69" xfId="0">
      <alignment horizontal="center" vertical="center"/>
    </xf>
    <xf numFmtId="0" fontId="30" fillId="0" borderId="69" xfId="0">
      <alignment horizontal="center" vertical="center"/>
    </xf>
    <xf numFmtId="0" fontId="30" fillId="0" borderId="68" xfId="0">
      <alignment horizontal="center" vertical="center"/>
    </xf>
    <xf numFmtId="0" fontId="72" fillId="0" borderId="68" xfId="0">
      <alignment horizontal="left" vertical="center"/>
    </xf>
    <xf numFmtId="2" fontId="24" fillId="0" borderId="4" xfId="0">
      <alignment horizontal="left" vertical="center" wrapText="true"/>
    </xf>
    <xf numFmtId="301" fontId="26" fillId="0" borderId="4" xfId="0">
      <alignment horizontal="right" vertical="center"/>
    </xf>
    <xf numFmtId="301" fontId="24" fillId="0" borderId="4" xfId="0">
      <alignment horizontal="right" vertical="center"/>
    </xf>
    <xf numFmtId="303" fontId="24" fillId="0" borderId="4" xfId="0">
      <alignment horizontal="right" vertical="center"/>
    </xf>
    <xf numFmtId="302" fontId="24" fillId="0" borderId="4" xfId="0">
      <alignment horizontal="right" vertical="center"/>
    </xf>
    <xf numFmtId="0" fontId="26" fillId="7" borderId="4" xfId="0">
      <alignment horizontal="center" vertical="center" wrapText="true"/>
    </xf>
    <xf numFmtId="2" fontId="26" fillId="0" borderId="4" xfId="0">
      <alignment horizontal="left" vertical="center" wrapText="true"/>
    </xf>
    <xf numFmtId="0" fontId="26" fillId="0" borderId="4" xfId="0">
      <alignment horizontal="center" vertical="center" wrapText="true"/>
    </xf>
    <xf numFmtId="303" fontId="26" fillId="0" borderId="4" xfId="0">
      <alignment horizontal="right" vertical="center"/>
    </xf>
    <xf numFmtId="300" fontId="24" fillId="0" borderId="4" xfId="0">
      <alignment horizontal="left" vertical="center" wrapText="true"/>
    </xf>
    <xf numFmtId="49" fontId="24" fillId="0" borderId="4" xfId="0">
      <alignment horizontal="center" vertical="center" wrapText="true"/>
    </xf>
    <xf numFmtId="0" fontId="24" fillId="0" borderId="4" xfId="0">
      <alignment horizontal="left" vertical="center" wrapText="true"/>
    </xf>
    <xf numFmtId="0" fontId="24" fillId="0" borderId="4" xfId="0">
      <alignment vertical="bottom"/>
    </xf>
    <xf numFmtId="302" fontId="24" fillId="0" borderId="4" xfId="0">
      <alignment horizontal="center" vertical="center" wrapText="true"/>
    </xf>
    <xf numFmtId="303" fontId="24" fillId="0" borderId="4" xfId="0">
      <alignment horizontal="left" vertical="center" wrapText="true"/>
    </xf>
    <xf numFmtId="302" fontId="26" fillId="0" borderId="4" xfId="0">
      <alignment horizontal="center" vertical="center" wrapText="true"/>
    </xf>
    <xf fontId="73" fillId="0" borderId="0" xfId="0">
      <alignment vertical="center"/>
    </xf>
    <xf fontId="0" fillId="10" borderId="0" xfId="0">
      <alignment vertical="center"/>
    </xf>
    <xf fontId="6" fillId="0" borderId="5" xfId="0">
      <alignment horizontal="center" vertical="center"/>
    </xf>
    <xf fontId="6" fillId="0" borderId="5" xfId="0">
      <alignment vertical="center"/>
    </xf>
    <xf fontId="0" fillId="0" borderId="5" xfId="0">
      <alignment vertical="center" wrapText="true"/>
    </xf>
    <xf fontId="40" fillId="0" borderId="0" xfId="0">
      <alignment vertical="center"/>
    </xf>
    <xf fontId="40" fillId="10" borderId="0" xfId="0">
      <alignment vertical="center"/>
    </xf>
    <xf fontId="40" fillId="0" borderId="5" xfId="0">
      <alignment horizontal="center" vertical="center"/>
    </xf>
    <xf fontId="40" fillId="10" borderId="5" xfId="0">
      <alignment vertical="center"/>
    </xf>
    <xf fontId="40" fillId="0" borderId="0" xfId="0">
      <alignment vertical="center" wrapText="true"/>
    </xf>
    <xf numFmtId="317" fontId="0" fillId="2" borderId="0" xfId="0">
      <alignment vertical="center"/>
    </xf>
    <xf fontId="0" fillId="2" borderId="0" xfId="0">
      <alignment vertical="center"/>
    </xf>
    <xf fontId="40" fillId="9" borderId="0" xfId="0">
      <alignment vertical="center"/>
    </xf>
    <xf numFmtId="317" fontId="0" fillId="0" borderId="0" xfId="0">
      <alignment vertical="center"/>
    </xf>
    <xf numFmtId="302" fontId="0" fillId="0" borderId="0" xfId="0">
      <alignment vertical="center"/>
    </xf>
    <xf numFmtId="318" fontId="0" fillId="0" borderId="0" xfId="0">
      <alignment vertical="center"/>
    </xf>
    <xf fontId="0" fillId="0" borderId="0" xfId="0">
      <alignment horizontal="left" vertical="center"/>
    </xf>
    <xf fontId="0" fillId="0" borderId="0" xfId="0">
      <alignment horizontal="left" vertical="center" wrapText="true"/>
    </xf>
    <xf fontId="0" fillId="0" borderId="0" xfId="0">
      <alignment horizontal="center" vertical="center"/>
    </xf>
    <xf fontId="0" fillId="0" borderId="0" xfId="0">
      <alignment horizontal="center" vertical="center" wrapText="true"/>
    </xf>
    <xf numFmtId="302" fontId="0" fillId="2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12" Type="http://schemas.openxmlformats.org/officeDocument/2006/relationships/worksheet" Target="worksheets/sheet9.xml" /><Relationship Id="rId20" Type="http://schemas.openxmlformats.org/officeDocument/2006/relationships/worksheet" Target="worksheets/sheet17.xml" /><Relationship Id="rId10" Type="http://schemas.openxmlformats.org/officeDocument/2006/relationships/worksheet" Target="worksheets/sheet7.xml" /><Relationship Id="rId13" Type="http://schemas.openxmlformats.org/officeDocument/2006/relationships/worksheet" Target="worksheets/sheet10.xml" /><Relationship Id="rId16" Type="http://schemas.openxmlformats.org/officeDocument/2006/relationships/worksheet" Target="worksheets/sheet13.xml" /><Relationship Id="rId19" Type="http://schemas.openxmlformats.org/officeDocument/2006/relationships/worksheet" Target="worksheets/sheet16.xml" /><Relationship Id="rId0" Type="http://schemas.openxmlformats.org/officeDocument/2006/relationships/sharedStrings" Target="sharedStrings.xml" /><Relationship Id="rId15" Type="http://schemas.openxmlformats.org/officeDocument/2006/relationships/worksheet" Target="worksheets/sheet12.xml" /><Relationship Id="rId9" Type="http://schemas.openxmlformats.org/officeDocument/2006/relationships/worksheet" Target="worksheets/sheet6.xml" /><Relationship Id="rId14" Type="http://schemas.openxmlformats.org/officeDocument/2006/relationships/worksheet" Target="worksheets/sheet11.xml" /><Relationship Id="rId11" Type="http://schemas.openxmlformats.org/officeDocument/2006/relationships/worksheet" Target="worksheets/sheet8.xml" /><Relationship Id="rId21" Type="http://schemas.openxmlformats.org/officeDocument/2006/relationships/worksheet" Target="worksheets/sheet18.xml" /><Relationship Id="rId1" Type="http://schemas.openxmlformats.org/officeDocument/2006/relationships/theme" Target="theme/theme1.xml" /><Relationship Id="rId17" Type="http://schemas.openxmlformats.org/officeDocument/2006/relationships/worksheet" Target="worksheets/sheet14.xml" /><Relationship Id="rId18" Type="http://schemas.openxmlformats.org/officeDocument/2006/relationships/worksheet" Target="worksheets/sheet15.xml" /><Relationship Id="rId4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microsoft.com/office/2017/10/relationships/person" Target="persons/person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janson" id="{51E5A2B9-41F5-4104-88A6-4BA718DE35EC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T6" dT="2023-11-17T01:55:16Z" personId="{51E5A2B9-41F5-4104-88A6-4BA718DE35EC}" id="{C77C4BFA-60C3-4A90-8024-4E40F301AC70}">
    <tc2018:text>电梯载重1350kg，速度1.75m/s，3/4站</tc2018:text>
  </tc2018:threadedComment>
  <tc2018:threadedComment ref="W6" dT="2023-11-17T01:42:31Z" personId="{51E5A2B9-41F5-4104-88A6-4BA718DE35EC}" id="{6284900B-5BD6-40CA-A516-DF8ABA9447E8}">
    <tc2018:text>全费用单价</tc2018:text>
  </tc2018:threadedComment>
  <tc2018:threadedComment ref="Q6" dT="2023-11-17T06:47:10Z" personId="{51E5A2B9-41F5-4104-88A6-4BA718DE35EC}" id="{45C38AFD-8EB6-4CE7-B633-81D6CFBEADA9}">
    <tc2018:text>无参数</tc2018:text>
  </tc2018:threadedComment>
  <tc2018:threadedComment ref="G6" dT="2023-11-17T01:42:40Z" personId="{51E5A2B9-41F5-4104-88A6-4BA718DE35EC}" id="{457A6EFF-EE3C-437A-B99E-0D2028214F3A}">
    <tc2018:text>全费用单价，电梯载重1350kg，速度1.75m/s，3/4站</tc2018:text>
  </tc2018:threadedComment>
  <tc2018:threadedComment ref="Q9" dT="2023-11-17T06:39:02Z" personId="{51E5A2B9-41F5-4104-88A6-4BA718DE35EC}" id="{10E9FF63-4CA6-41A7-B557-5335AF66783B}">
    <tc2018:text>SCB13-2000kVA</tc2018:text>
  </tc2018:threadedComment>
  <tc2018:threadedComment ref="M10" dT="2023-11-17T04:05:07Z" personId="{51E5A2B9-41F5-4104-88A6-4BA718DE35EC}" id="{87653023-CFFD-4052-B8C3-161121729C07}">
    <tc2018:text>800kw,静音型</tc2018:text>
  </tc2018:threadedComment>
  <tc2018:threadedComment ref="O10" dT="2023-11-17T03:55:38Z" personId="{51E5A2B9-41F5-4104-88A6-4BA718DE35EC}" id="{D7CEBA95-5F4D-431B-96AE-03D312CE350D}">
    <tc2018:text>静音型，长行功率1200kw，选用最低价玉柴</tc2018:text>
  </tc2018:threadedComment>
  <tc2018:threadedComment ref="O6" dT="2023-11-17T01:54:19Z" personId="{51E5A2B9-41F5-4104-88A6-4BA718DE35EC}" id="{33189E23-F5E5-45D7-8EAC-52B1B9E18A74}">
    <tc2018:text>电梯载重1150kg，速度1m/s，5站</tc2018:text>
  </tc2018:threadedComment>
  <tc2018:threadedComment ref="O9" dT="2023-11-17T03:45:51Z" personId="{51E5A2B9-41F5-4104-88A6-4BA718DE35EC}" id="{6C0C8422-4105-4A4B-AC68-FDB48E175BFA}">
    <tc2018:text>选的最低价汉光SCB14-10/0.4kV,2500kVA</tc2018:text>
  </tc2018:threadedComment>
  <tc2018:threadedComment ref="M9" dT="2023-11-17T04:02:08Z" personId="{51E5A2B9-41F5-4104-88A6-4BA718DE35EC}" id="{6040709D-987F-446A-969D-6A88F73436A5}">
    <tc2018:text>SCB18-10/0.4kV,2000kVA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C35" dT="2023-11-18T10:56:50Z" personId="{51E5A2B9-41F5-4104-88A6-4BA718DE35EC}" id="{9B3FAF0D-5E32-48FB-9C35-0C78F9340927}">
    <tc2018:text>总价-景观照明-总图地面照明-设备</tc2018:text>
  </tc2018:threadedComment>
  <tc2018:threadedComment ref="D35" dT="2023-11-18T10:57:00Z" personId="{51E5A2B9-41F5-4104-88A6-4BA718DE35EC}" id="{58BD1334-91BA-4C9C-8B68-3A58A02C82A2}">
    <tc2018:text>总价-景观照明-总图地面照明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0" Type="http://schemas.openxmlformats.org/officeDocument/2006/relationships/comments" Target="../comments2.xml" /><Relationship Id="rId1" Type="http://schemas.microsoft.com/office/2017/10/relationships/threadedComment" Target="../threadedComments/threadedComment2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://13826107878@163.com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microsoft.com/office/2017/10/relationships/threadedComment" Target="../threadedComments/threadedComment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安装及设备购置费四厂对比表">
    <tabColor rgb="FFFFFFFF"/>
  </sheetPr>
  <dimension ref="AC109"/>
  <sheetViews>
    <sheetView showGridLines="true" rightToLeft="false" workbookViewId="0">
      <pane xSplit="2" ySplit="8" topLeftCell="C9" state="frozen"/>
    </sheetView>
  </sheetViews>
  <cols>
    <col min="1" max="1" width="8.09375" customWidth="true"/>
    <col min="2" max="2" width="31.4219" customWidth="true"/>
    <col min="3" max="3" width="11.7344"/>
    <col min="4" max="4" width="12.6836" customWidth="true"/>
    <col min="5" max="5" width="10.3828" customWidth="true"/>
    <col min="6" max="6" width="12.6836" customWidth="true"/>
    <col min="7" max="7" width="10.9219" customWidth="true"/>
    <col min="8" max="8" width="12.6836" customWidth="true"/>
    <col min="9" max="9" width="10.9219" customWidth="true"/>
    <col min="10" max="10" width="12.6836" customWidth="true"/>
    <col min="11" max="12" width="13.082" style="995" customWidth="true"/>
    <col min="13" max="13" width="10.9219" customWidth="true"/>
    <col min="14" max="14" width="12.6836" customWidth="true"/>
    <col min="15" max="15" width="82.8242" customWidth="true"/>
    <col min="16" max="16" width="20.3633" customWidth="true"/>
    <col min="17" max="17" width="13.8633" customWidth="true"/>
    <col min="18" max="18" width="23.4336" customWidth="true"/>
    <col min="19" max="19" width="29.8711" customWidth="true"/>
    <col min="20" max="20" width="12.5742" customWidth="true"/>
    <col min="21" max="21" width="13.0039" customWidth="true"/>
    <col min="22" max="22" width="10.0039" customWidth="true"/>
    <col min="23" max="23" width="11.4336" customWidth="true"/>
    <col min="24" max="24" width="17.1523" customWidth="true"/>
    <col min="25" max="25" width="10.293" customWidth="true"/>
    <col min="26" max="26" width="13.1445" customWidth="true"/>
    <col min="27" max="28" width="10.293" customWidth="true"/>
    <col min="29" max="29" width="12.1445" customWidth="true"/>
  </cols>
  <sheetData>
    <row r="1" spans="1:29" ht="40" customHeight="true">
      <c r="A1" s="775" t="s">
        <v>2102</v>
      </c>
      <c r="B1" s="776" t="s"/>
      <c r="C1" s="777" t="s"/>
      <c r="D1" s="776" t="s"/>
      <c r="E1" s="778" t="s"/>
      <c r="F1" s="776" t="s"/>
      <c r="G1" s="778" t="s"/>
      <c r="H1" s="776" t="s"/>
      <c r="I1" s="778" t="s"/>
      <c r="J1" s="776" t="s"/>
      <c r="K1" s="778" t="s"/>
      <c r="L1" s="778" t="s"/>
      <c r="M1" s="778" t="s"/>
      <c r="N1" s="776" t="s"/>
      <c r="O1" s="238" t="s"/>
      <c r="P1" s="779" t="s"/>
      <c r="Q1" s="779" t="s"/>
      <c r="R1" s="779" t="s"/>
      <c r="S1" s="779" t="s"/>
      <c r="T1" s="779" t="s"/>
      <c r="U1" s="779" t="s"/>
      <c r="V1" s="779" t="s"/>
      <c r="W1" s="779" t="s"/>
      <c r="X1" s="779" t="s"/>
      <c r="Y1" s="779" t="s"/>
      <c r="Z1" s="779" t="s"/>
      <c r="AA1" s="779" t="s"/>
      <c r="AB1" s="779" t="s"/>
      <c r="AC1" s="779" t="s"/>
    </row>
    <row r="2" spans="1:29" ht="33" customHeight="true">
      <c r="A2" s="780" t="s">
        <v>3</v>
      </c>
      <c r="B2" s="780" t="s">
        <v>364</v>
      </c>
      <c r="C2" s="781" t="s">
        <v>575</v>
      </c>
      <c r="D2" s="782" t="s"/>
      <c r="E2" s="783" t="s"/>
      <c r="F2" s="344" t="s"/>
      <c r="G2" s="784" t="s"/>
      <c r="H2" s="785" t="s"/>
      <c r="I2" s="786" t="s">
        <v>2103</v>
      </c>
      <c r="J2" s="172" t="s"/>
      <c r="K2" s="787" t="s">
        <v>2104</v>
      </c>
      <c r="L2" s="788" t="s"/>
      <c r="M2" s="789" t="s">
        <v>2105</v>
      </c>
      <c r="N2" s="172" t="s"/>
      <c r="O2" s="790" t="s">
        <v>2106</v>
      </c>
      <c r="P2" s="779" t="s"/>
      <c r="Q2" s="791" t="s"/>
      <c r="R2" s="792" t="s"/>
      <c r="S2" s="792" t="s"/>
      <c r="T2" s="779" t="s"/>
      <c r="U2" s="779" t="s"/>
      <c r="V2" s="779" t="s"/>
      <c r="W2" s="779" t="s"/>
      <c r="X2" s="779" t="s"/>
      <c r="Y2" s="779" t="s"/>
      <c r="Z2" s="779" t="s"/>
      <c r="AA2" s="779" t="s"/>
      <c r="AB2" s="779" t="s"/>
      <c r="AC2" s="779" t="s"/>
    </row>
    <row r="3" spans="1:29" ht="33" customHeight="true">
      <c r="A3" s="793" t="s"/>
      <c r="B3" s="780" t="s"/>
      <c r="C3" s="794" t="s">
        <v>2107</v>
      </c>
      <c r="D3" s="795" t="s"/>
      <c r="E3" s="780" t="s">
        <v>2108</v>
      </c>
      <c r="F3" s="9" t="s"/>
      <c r="G3" s="796" t="s">
        <v>2109</v>
      </c>
      <c r="H3" s="785" t="s"/>
      <c r="I3" s="797" t="s"/>
      <c r="J3" s="377" t="s"/>
      <c r="K3" s="178" t="s"/>
      <c r="L3" s="127" t="s"/>
      <c r="M3" s="797" t="s"/>
      <c r="N3" s="377" t="s"/>
      <c r="O3" s="798" t="s"/>
      <c r="P3" s="779" t="s"/>
      <c r="Q3" s="779" t="s"/>
      <c r="R3" s="779" t="s"/>
      <c r="S3" s="779" t="s"/>
      <c r="T3" s="779" t="s"/>
      <c r="U3" s="779" t="s"/>
      <c r="V3" s="779" t="s"/>
      <c r="W3" s="799" t="s"/>
      <c r="X3" s="779" t="s"/>
      <c r="Y3" s="779" t="s"/>
      <c r="Z3" s="779" t="s"/>
      <c r="AA3" s="779" t="s"/>
      <c r="AB3" s="779" t="s"/>
      <c r="AC3" s="779" t="s"/>
    </row>
    <row r="4" spans="1:29" ht="33" customHeight="true">
      <c r="A4" s="800" t="s"/>
      <c r="B4" s="801" t="s"/>
      <c r="C4" s="802" t="s">
        <v>2553</v>
      </c>
      <c r="D4" s="780" t="s">
        <v>2554</v>
      </c>
      <c r="E4" s="793" t="s">
        <v>2553</v>
      </c>
      <c r="F4" s="780" t="s">
        <v>2554</v>
      </c>
      <c r="G4" s="780" t="s">
        <v>2553</v>
      </c>
      <c r="H4" s="780" t="s">
        <v>2554</v>
      </c>
      <c r="I4" s="780" t="s">
        <v>2553</v>
      </c>
      <c r="J4" s="780" t="s">
        <v>2554</v>
      </c>
      <c r="K4" s="803" t="s">
        <v>2553</v>
      </c>
      <c r="L4" s="803" t="s">
        <v>2554</v>
      </c>
      <c r="M4" s="780" t="s">
        <v>2553</v>
      </c>
      <c r="N4" s="780" t="s">
        <v>2554</v>
      </c>
      <c r="O4" s="804" t="s"/>
      <c r="P4" s="792" t="s"/>
      <c r="Q4" s="792" t="s"/>
      <c r="R4" s="792" t="s"/>
      <c r="S4" s="792" t="s"/>
      <c r="T4" s="792" t="s"/>
      <c r="U4" s="779" t="s"/>
      <c r="V4" s="779" t="s"/>
      <c r="W4" s="799" t="s"/>
      <c r="X4" s="779" t="s"/>
      <c r="Y4" s="779" t="s"/>
      <c r="Z4" s="779" t="s"/>
      <c r="AA4" s="779" t="s"/>
      <c r="AB4" s="779" t="s"/>
      <c r="AC4" s="779" t="s"/>
    </row>
    <row r="5" spans="1:29" ht="25.5" customHeight="true">
      <c r="A5" s="805" t="s"/>
      <c r="B5" s="806" t="s">
        <v>2110</v>
      </c>
      <c r="C5" s="807">
        <v>5</v>
      </c>
      <c r="D5" s="808" t="s"/>
      <c r="E5" s="807">
        <v>5</v>
      </c>
      <c r="F5" s="390" t="s"/>
      <c r="G5" s="807">
        <v>10</v>
      </c>
      <c r="H5" s="390" t="s"/>
      <c r="I5" s="809">
        <v>10</v>
      </c>
      <c r="J5" s="499" t="s"/>
      <c r="K5" s="810">
        <v>5</v>
      </c>
      <c r="L5" s="811" t="s"/>
      <c r="M5" s="809">
        <v>10</v>
      </c>
      <c r="N5" s="499" t="s"/>
      <c r="O5" s="812" t="s"/>
      <c r="P5" s="779" t="s"/>
      <c r="Q5" s="779" t="s"/>
      <c r="R5" s="779" t="s"/>
      <c r="S5" s="779" t="s"/>
      <c r="T5" s="779" t="s"/>
      <c r="U5" s="779" t="s"/>
      <c r="V5" s="779" t="s"/>
      <c r="W5" s="779" t="s"/>
      <c r="X5" s="779" t="s"/>
      <c r="Y5" s="779" t="s"/>
      <c r="Z5" s="779" t="s"/>
      <c r="AA5" s="779" t="s"/>
      <c r="AB5" s="779" t="s"/>
      <c r="AC5" s="779" t="s"/>
    </row>
    <row r="6" spans="1:29" ht="25.5" customHeight="true">
      <c r="A6" s="805" t="s"/>
      <c r="B6" s="806" t="s">
        <v>2111</v>
      </c>
      <c r="C6" s="813" t="s">
        <v>2112</v>
      </c>
      <c r="D6" s="782" t="s"/>
      <c r="E6" s="355" t="s"/>
      <c r="F6" s="355" t="s"/>
      <c r="G6" s="355" t="s"/>
      <c r="H6" s="390" t="s"/>
      <c r="I6" s="814" t="s">
        <v>2112</v>
      </c>
      <c r="J6" s="499" t="s"/>
      <c r="K6" s="815" t="s">
        <v>2112</v>
      </c>
      <c r="L6" s="811" t="s"/>
      <c r="M6" s="814" t="s">
        <v>2113</v>
      </c>
      <c r="N6" s="499" t="s"/>
      <c r="O6" s="812" t="s"/>
      <c r="P6" s="779" t="s"/>
      <c r="Q6" s="779" t="s"/>
      <c r="R6" s="779" t="s"/>
      <c r="S6" s="779" t="s"/>
      <c r="T6" s="779" t="s"/>
      <c r="U6" s="779" t="s"/>
      <c r="V6" s="779" t="s"/>
      <c r="W6" s="779" t="s"/>
      <c r="X6" s="779" t="s"/>
      <c r="Y6" s="779" t="s"/>
      <c r="Z6" s="779" t="s"/>
      <c r="AA6" s="779" t="s"/>
      <c r="AB6" s="779" t="s"/>
      <c r="AC6" s="779" t="s"/>
    </row>
    <row r="7" spans="1:29" ht="25.5" customHeight="true">
      <c r="A7" s="805" t="s"/>
      <c r="B7" s="806" t="s">
        <v>2555</v>
      </c>
      <c r="C7" s="816">
        <v>1.5</v>
      </c>
      <c r="D7" s="782" t="s"/>
      <c r="E7" s="355" t="s"/>
      <c r="F7" s="355" t="s"/>
      <c r="G7" s="355" t="s"/>
      <c r="H7" s="390" t="s"/>
      <c r="I7" s="817">
        <v>1.5</v>
      </c>
      <c r="J7" s="818" t="s"/>
      <c r="K7" s="819">
        <v>1.3</v>
      </c>
      <c r="L7" s="811" t="s"/>
      <c r="M7" s="820">
        <v>1.5</v>
      </c>
      <c r="N7" s="499" t="s"/>
      <c r="O7" s="812" t="s"/>
      <c r="P7" s="779" t="s"/>
      <c r="Q7" s="779" t="s"/>
      <c r="R7" s="779" t="s"/>
      <c r="S7" s="779" t="s"/>
      <c r="T7" s="779" t="s"/>
      <c r="U7" s="779" t="s"/>
      <c r="V7" s="779" t="s"/>
      <c r="W7" s="779" t="s"/>
      <c r="X7" s="779" t="s"/>
      <c r="Y7" s="779" t="s"/>
      <c r="Z7" s="779" t="s"/>
      <c r="AA7" s="779" t="s"/>
      <c r="AB7" s="779" t="s"/>
      <c r="AC7" s="779" t="s"/>
    </row>
    <row r="8" spans="1:29" ht="32" customHeight="true">
      <c r="A8" s="805" t="s"/>
      <c r="B8" s="821" t="s">
        <v>2114</v>
      </c>
      <c r="C8" s="822">
        <f>=C9+C20+C42</f>
        <v>4363.32158116</v>
      </c>
      <c r="D8" s="822">
        <f>=D9+D20+D42</f>
        <v>13067.64575926</v>
      </c>
      <c r="E8" s="822">
        <f>=E9+E20+E42</f>
        <v>525.0722056</v>
      </c>
      <c r="F8" s="822">
        <f>=F9+F20+F42</f>
        <v>7780.22277</v>
      </c>
      <c r="G8" s="822">
        <f>=G9+G20+G42</f>
        <v>4888.39378676</v>
      </c>
      <c r="H8" s="822">
        <f>=H9+H20+H42</f>
        <v>20847.86852926</v>
      </c>
      <c r="I8" s="822">
        <f>=I9+I20+I42</f>
        <v>7656.68</v>
      </c>
      <c r="J8" s="822">
        <f>=J9+J20+J42</f>
        <v>20780.0363</v>
      </c>
      <c r="K8" s="823">
        <f>=K9+K20+K42</f>
        <v>3463.079557</v>
      </c>
      <c r="L8" s="823">
        <f>=L9+L20+L42</f>
        <v>11487.8922</v>
      </c>
      <c r="M8" s="822">
        <f>=M9+M20+M42</f>
        <v>6332.75943609212</v>
      </c>
      <c r="N8" s="822">
        <f>=N9+N20+N42</f>
        <v>15425.08401934</v>
      </c>
      <c r="O8" s="812" t="s"/>
      <c r="P8" s="779" t="s"/>
      <c r="Q8" s="779" t="s"/>
      <c r="R8" s="779" t="s"/>
      <c r="S8" s="779" t="s"/>
      <c r="T8" s="779" t="s"/>
      <c r="U8" s="779" t="s"/>
      <c r="V8" s="779" t="s"/>
      <c r="W8" s="779" t="s"/>
      <c r="X8" s="779" t="s"/>
      <c r="Y8" s="779" t="s"/>
      <c r="Z8" s="779" t="s"/>
      <c r="AA8" s="779" t="s"/>
      <c r="AB8" s="779" t="s"/>
      <c r="AC8" s="779" t="s"/>
    </row>
    <row r="9" spans="1:29" ht="32" customHeight="true">
      <c r="A9" s="824" t="s">
        <v>2115</v>
      </c>
      <c r="B9" s="821" t="s">
        <v>2116</v>
      </c>
      <c r="C9" s="822">
        <f>=SUM(C10:C19)</f>
        <v>0</v>
      </c>
      <c r="D9" s="822">
        <f>=SUM(D10:D19)</f>
        <v>8933.869144</v>
      </c>
      <c r="E9" s="822">
        <f>=SUM(E10:E19)</f>
        <v>0</v>
      </c>
      <c r="F9" s="822">
        <f>=SUM(F10:F19)</f>
        <v>6308.790714</v>
      </c>
      <c r="G9" s="822">
        <f>=SUM(G10:G19)</f>
        <v>0</v>
      </c>
      <c r="H9" s="822">
        <f>=SUM(H10:H19)</f>
        <v>15242.659858</v>
      </c>
      <c r="I9" s="825">
        <f>=SUM(I10:I19)</f>
        <v>985.62</v>
      </c>
      <c r="J9" s="825">
        <f>=SUM(J10:J19)</f>
        <v>12014.4463</v>
      </c>
      <c r="K9" s="823">
        <f>=SUM(K10:K19)</f>
        <v>659.55</v>
      </c>
      <c r="L9" s="823">
        <f>=SUM(L10:L19)</f>
        <v>7934.4139</v>
      </c>
      <c r="M9" s="822" t="s"/>
      <c r="N9" s="822">
        <f>=SUM(N10:N19)</f>
        <v>5879.68476</v>
      </c>
      <c r="O9" s="826" t="s"/>
      <c r="P9" s="792" t="s"/>
      <c r="Q9" s="792" t="s"/>
      <c r="R9" s="792" t="s"/>
      <c r="S9" s="792" t="s"/>
      <c r="T9" s="792" t="s"/>
      <c r="U9" s="792" t="s"/>
      <c r="V9" s="779" t="s"/>
      <c r="W9" s="779" t="s"/>
      <c r="X9" s="779" t="s"/>
      <c r="Y9" s="779" t="s"/>
      <c r="Z9" s="779" t="s"/>
      <c r="AA9" s="779" t="s"/>
      <c r="AB9" s="779" t="s"/>
      <c r="AC9" s="779" t="s"/>
    </row>
    <row r="10" spans="1:29" ht="117" customHeight="true">
      <c r="A10" s="827">
        <v>1</v>
      </c>
      <c r="B10" s="828" t="s">
        <v>2117</v>
      </c>
      <c r="C10" s="829">
        <v>0</v>
      </c>
      <c r="D10" s="829">
        <f>=甲供设备!L6/10000</f>
        <v>170.333714</v>
      </c>
      <c r="E10" s="829">
        <v>0</v>
      </c>
      <c r="F10" s="829">
        <f>=甲供设备!L7/10000</f>
        <v>99.954838</v>
      </c>
      <c r="G10" s="829">
        <v>0</v>
      </c>
      <c r="H10" s="829">
        <f>=D10+F10</f>
        <v>270.288552</v>
      </c>
      <c r="I10" s="829">
        <v>0</v>
      </c>
      <c r="J10" s="829">
        <f>=甲供设备!N6/10000</f>
        <v>114.9012</v>
      </c>
      <c r="K10" s="830">
        <v>0</v>
      </c>
      <c r="L10" s="830">
        <f>=甲供设备!R6/10000</f>
        <v>136.5891</v>
      </c>
      <c r="M10" s="829" t="s">
        <v>654</v>
      </c>
      <c r="N10" s="829">
        <f>=甲供设备!P6/10000</f>
        <v>220</v>
      </c>
      <c r="O10" s="826" t="s">
        <v>2556</v>
      </c>
      <c r="P10" s="791" t="s"/>
      <c r="Q10" s="791" t="s">
        <v>2118</v>
      </c>
      <c r="R10" s="791" t="s"/>
      <c r="S10" s="791" t="s"/>
      <c r="T10" s="791" t="s"/>
      <c r="U10" s="791" t="s"/>
      <c r="V10" s="831" t="s"/>
      <c r="W10" s="831" t="s"/>
      <c r="X10" s="831" t="s"/>
      <c r="Y10" s="831" t="s"/>
      <c r="Z10" s="831" t="s"/>
      <c r="AA10" s="831" t="s"/>
      <c r="AB10" s="831" t="s"/>
      <c r="AC10" s="831" t="s"/>
    </row>
    <row r="11" spans="1:29" ht="98.25" customHeight="true">
      <c r="A11" s="827">
        <v>2</v>
      </c>
      <c r="B11" s="832" t="s">
        <v>2119</v>
      </c>
      <c r="C11" s="829">
        <v>0</v>
      </c>
      <c r="D11" s="829">
        <f>=甲供设备!L9/10000</f>
        <v>400.727958</v>
      </c>
      <c r="E11" s="829">
        <v>0</v>
      </c>
      <c r="F11" s="829">
        <f>=甲供设备!K10/10000+甲供设备!K15*2/10000</f>
        <v>207.024528</v>
      </c>
      <c r="G11" s="829">
        <v>0</v>
      </c>
      <c r="H11" s="829">
        <f>=D11+F11</f>
        <v>607.752486</v>
      </c>
      <c r="I11" s="829">
        <v>0</v>
      </c>
      <c r="J11" s="829">
        <f>=甲供设备!N9/10000</f>
        <v>569.66</v>
      </c>
      <c r="K11" s="830">
        <v>0</v>
      </c>
      <c r="L11" s="830">
        <f>=甲供设备!R9/10000</f>
        <v>718.4068</v>
      </c>
      <c r="M11" s="829" t="s">
        <v>654</v>
      </c>
      <c r="N11" s="829">
        <f>=甲供设备!P9/10000</f>
        <v>510</v>
      </c>
      <c r="O11" s="826" t="s">
        <v>2557</v>
      </c>
      <c r="P11" s="833" t="s">
        <v>2120</v>
      </c>
      <c r="Q11" s="791" t="s">
        <v>2121</v>
      </c>
      <c r="R11" s="791" t="s"/>
      <c r="S11" s="791" t="s"/>
      <c r="T11" s="791" t="s"/>
      <c r="U11" s="791" t="s"/>
      <c r="V11" s="834" t="s"/>
      <c r="W11" s="834" t="s"/>
      <c r="X11" s="834" t="s"/>
      <c r="Y11" s="831" t="s"/>
      <c r="Z11" s="831" t="s"/>
      <c r="AA11" s="831" t="s"/>
      <c r="AB11" s="831" t="s"/>
      <c r="AC11" s="831" t="s"/>
    </row>
    <row r="12" spans="1:29" ht="45" customHeight="true">
      <c r="A12" s="801">
        <v>3</v>
      </c>
      <c r="B12" s="826" t="s">
        <v>2122</v>
      </c>
      <c r="C12" s="835">
        <v>0</v>
      </c>
      <c r="D12" s="835">
        <f>=甲供设备!L20/10000</f>
        <v>100.77875</v>
      </c>
      <c r="E12" s="835">
        <v>0</v>
      </c>
      <c r="F12" s="835">
        <f>=甲供设备!L20/5*4/10000</f>
        <v>80.623</v>
      </c>
      <c r="G12" s="835">
        <v>0</v>
      </c>
      <c r="H12" s="835">
        <f>=D12+F12</f>
        <v>181.40175</v>
      </c>
      <c r="I12" s="835">
        <v>0</v>
      </c>
      <c r="J12" s="835">
        <f>=甲供设备!N20/10000</f>
        <v>165</v>
      </c>
      <c r="K12" s="830">
        <v>0</v>
      </c>
      <c r="L12" s="830">
        <f>=甲供设备!R20/10000</f>
        <v>124.839</v>
      </c>
      <c r="M12" s="835" t="s">
        <v>654</v>
      </c>
      <c r="N12" s="835">
        <f>=甲供设备!P20/10000</f>
        <v>69</v>
      </c>
      <c r="O12" s="836" t="s">
        <v>2558</v>
      </c>
      <c r="P12" s="837" t="s"/>
      <c r="Q12" s="838" t="s">
        <v>2123</v>
      </c>
      <c r="R12" s="839" t="s"/>
      <c r="S12" s="839" t="s"/>
      <c r="T12" s="839" t="s"/>
      <c r="U12" s="840" t="s"/>
      <c r="V12" s="841" t="s"/>
      <c r="W12" s="841" t="s"/>
      <c r="X12" s="841" t="s"/>
      <c r="Y12" s="841" t="s"/>
      <c r="Z12" s="841" t="s"/>
      <c r="AA12" s="841" t="s"/>
      <c r="AB12" s="841" t="s"/>
      <c r="AC12" s="841" t="s"/>
    </row>
    <row r="13" spans="1:29" ht="52.5" customHeight="true">
      <c r="A13" s="801">
        <v>4</v>
      </c>
      <c r="B13" s="826" t="s">
        <v>2124</v>
      </c>
      <c r="C13" s="842">
        <v>0</v>
      </c>
      <c r="D13" s="842">
        <f>=甲供设备!L23/10000</f>
        <v>60.0838</v>
      </c>
      <c r="E13" s="835">
        <v>0</v>
      </c>
      <c r="F13" s="835">
        <f>=甲供设备!L23/5*4/10000</f>
        <v>48.06704</v>
      </c>
      <c r="G13" s="835">
        <v>0</v>
      </c>
      <c r="H13" s="835">
        <f>=D13+F13</f>
        <v>108.15084</v>
      </c>
      <c r="I13" s="835">
        <v>0</v>
      </c>
      <c r="J13" s="835">
        <f>=甲供设备!N23/10000</f>
        <v>221</v>
      </c>
      <c r="K13" s="830">
        <v>0</v>
      </c>
      <c r="L13" s="830">
        <f>=甲供设备!R23/10000</f>
        <v>33.465</v>
      </c>
      <c r="M13" s="835" t="s">
        <v>654</v>
      </c>
      <c r="N13" s="835">
        <f>=甲供设备!P23/10000</f>
        <v>216</v>
      </c>
      <c r="O13" s="61" t="s"/>
      <c r="P13" s="837" t="s"/>
      <c r="Q13" s="838" t="s">
        <v>2123</v>
      </c>
      <c r="R13" s="843" t="s"/>
      <c r="S13" s="843" t="s"/>
      <c r="T13" s="843" t="s"/>
      <c r="U13" s="844" t="s"/>
      <c r="V13" s="834" t="s"/>
      <c r="W13" s="834" t="s"/>
      <c r="X13" s="834" t="s"/>
      <c r="Y13" s="834" t="s"/>
      <c r="Z13" s="834" t="s"/>
      <c r="AA13" s="834" t="s"/>
      <c r="AB13" s="834" t="s"/>
      <c r="AC13" s="834" t="s"/>
    </row>
    <row r="14" spans="1:29" ht="38.25" customHeight="true">
      <c r="A14" s="801">
        <v>5</v>
      </c>
      <c r="B14" s="826" t="s">
        <v>2125</v>
      </c>
      <c r="C14" s="835" t="s"/>
      <c r="D14" s="835">
        <f>=甲供设备!L25/10000</f>
        <v>3305.567058</v>
      </c>
      <c r="E14" s="835" t="s"/>
      <c r="F14" s="845">
        <f>=甲供设备!L25/10000</f>
        <v>3305.567058</v>
      </c>
      <c r="G14" s="835" t="s"/>
      <c r="H14" s="835">
        <f>=D14+F14</f>
        <v>6611.134116</v>
      </c>
      <c r="I14" s="835">
        <v>850.44</v>
      </c>
      <c r="J14" s="835">
        <v>5468.37</v>
      </c>
      <c r="K14" s="830">
        <v>226.96</v>
      </c>
      <c r="L14" s="830">
        <v>2371.45</v>
      </c>
      <c r="M14" s="835" t="s">
        <v>654</v>
      </c>
      <c r="N14" s="835" t="s">
        <f>=甲供设备!P25</f>
        <v>654</v>
      </c>
      <c r="O14" s="826" t="s"/>
      <c r="P14" s="837" t="s"/>
      <c r="Q14" s="846" t="s">
        <v>2126</v>
      </c>
      <c r="R14" s="779" t="s"/>
      <c r="S14" s="779" t="s"/>
      <c r="T14" s="779" t="s"/>
      <c r="U14" s="779" t="s"/>
      <c r="V14" s="847" t="s"/>
      <c r="W14" s="779" t="s"/>
      <c r="X14" s="779" t="s"/>
      <c r="Y14" s="779" t="s"/>
      <c r="Z14" s="779" t="s"/>
      <c r="AA14" s="779" t="s"/>
      <c r="AB14" s="779" t="s"/>
      <c r="AC14" s="779" t="s"/>
    </row>
    <row r="15" spans="1:29" ht="32" customHeight="true">
      <c r="A15" s="801">
        <v>6</v>
      </c>
      <c r="B15" s="828" t="s">
        <v>2127</v>
      </c>
      <c r="C15" s="835">
        <v>0</v>
      </c>
      <c r="D15" s="835">
        <f>=甲供设备!L147/10000</f>
        <v>350.335264</v>
      </c>
      <c r="E15" s="835">
        <v>0</v>
      </c>
      <c r="F15" s="830">
        <v>50</v>
      </c>
      <c r="G15" s="835">
        <v>0</v>
      </c>
      <c r="H15" s="835">
        <f>=D15+F15</f>
        <v>400.335264</v>
      </c>
      <c r="I15" s="835">
        <v>0</v>
      </c>
      <c r="J15" s="835">
        <f>=甲供设备!N147/10000</f>
        <v>554.2</v>
      </c>
      <c r="K15" s="830" t="s">
        <v>654</v>
      </c>
      <c r="L15" s="830" t="s">
        <f>=甲供设备!R147</f>
        <v>654</v>
      </c>
      <c r="M15" s="835" t="s">
        <v>654</v>
      </c>
      <c r="N15" s="835">
        <f>=甲供设备!P147/10000</f>
        <v>314.68476</v>
      </c>
      <c r="O15" s="826" t="s"/>
      <c r="P15" s="848" t="s"/>
      <c r="Q15" s="792" t="s">
        <v>2128</v>
      </c>
      <c r="R15" s="792" t="s"/>
      <c r="S15" s="792" t="s"/>
      <c r="T15" s="792" t="s"/>
      <c r="U15" s="792" t="s"/>
      <c r="V15" s="792" t="s"/>
      <c r="W15" s="792" t="s"/>
      <c r="X15" s="779" t="s"/>
      <c r="Y15" s="779" t="s"/>
      <c r="Z15" s="779" t="s"/>
      <c r="AA15" s="779" t="s"/>
      <c r="AB15" s="779" t="s"/>
      <c r="AC15" s="779" t="s"/>
    </row>
    <row r="16" spans="1:29" ht="101.25" customHeight="true">
      <c r="A16" s="801">
        <v>7</v>
      </c>
      <c r="B16" s="826" t="s">
        <v>2129</v>
      </c>
      <c r="C16" s="835">
        <v>0</v>
      </c>
      <c r="D16" s="835">
        <f>=甲供设备!L159/10000</f>
        <v>909.9395</v>
      </c>
      <c r="E16" s="835">
        <v>0</v>
      </c>
      <c r="F16" s="835">
        <f>=甲供设备!L159/10000</f>
        <v>909.9395</v>
      </c>
      <c r="G16" s="835">
        <v>0</v>
      </c>
      <c r="H16" s="835">
        <f>=D16+F16</f>
        <v>1819.879</v>
      </c>
      <c r="I16" s="835">
        <v>0</v>
      </c>
      <c r="J16" s="835">
        <f>=甲供设备!N159/10000</f>
        <v>1143.22</v>
      </c>
      <c r="K16" s="830">
        <v>0</v>
      </c>
      <c r="L16" s="830">
        <f>=甲供设备!R159/10000</f>
        <v>1211.8</v>
      </c>
      <c r="M16" s="835" t="s">
        <v>654</v>
      </c>
      <c r="N16" s="835">
        <f>=甲供设备!P159/10000</f>
        <v>720</v>
      </c>
      <c r="O16" s="826" t="s">
        <v>2559</v>
      </c>
      <c r="P16" s="848" t="s"/>
      <c r="Q16" s="838" t="s">
        <v>2130</v>
      </c>
      <c r="R16" s="792" t="s"/>
      <c r="S16" s="792" t="s"/>
      <c r="T16" s="792" t="s"/>
      <c r="U16" s="792" t="s"/>
      <c r="V16" s="792" t="s"/>
      <c r="W16" s="792" t="s"/>
      <c r="X16" s="779" t="s"/>
      <c r="Y16" s="779" t="s"/>
      <c r="Z16" s="779" t="s"/>
      <c r="AA16" s="779" t="s"/>
      <c r="AB16" s="779" t="s"/>
      <c r="AC16" s="779" t="s"/>
    </row>
    <row r="17" spans="1:29" ht="75" customHeight="true">
      <c r="A17" s="801">
        <v>8</v>
      </c>
      <c r="B17" s="826" t="s">
        <v>2131</v>
      </c>
      <c r="C17" s="835" t="s"/>
      <c r="D17" s="835">
        <f>=甲供设备!L163/10000</f>
        <v>3215.2295</v>
      </c>
      <c r="E17" s="835" t="s"/>
      <c r="F17" s="835">
        <f>=甲供设备!L163/2/10000</f>
        <v>1607.61475</v>
      </c>
      <c r="G17" s="835" t="s"/>
      <c r="H17" s="835">
        <f>=D17+F17</f>
        <v>4822.84425</v>
      </c>
      <c r="I17" s="835">
        <v>135.18</v>
      </c>
      <c r="J17" s="835">
        <v>3349.07</v>
      </c>
      <c r="K17" s="830">
        <v>432.59</v>
      </c>
      <c r="L17" s="830">
        <v>3217.44</v>
      </c>
      <c r="M17" s="849" t="s">
        <v>654</v>
      </c>
      <c r="N17" s="835">
        <f>=甲供设备!P163/10000</f>
        <v>3720</v>
      </c>
      <c r="O17" s="826" t="s">
        <v>2560</v>
      </c>
      <c r="P17" s="850" t="s"/>
      <c r="Q17" s="792" t="s">
        <v>2132</v>
      </c>
      <c r="R17" s="792" t="s"/>
      <c r="S17" s="792" t="s"/>
      <c r="T17" s="792" t="s"/>
      <c r="U17" s="792" t="s"/>
      <c r="V17" s="792" t="s"/>
      <c r="W17" s="792" t="s"/>
      <c r="X17" s="779" t="s"/>
      <c r="Y17" s="779" t="s"/>
      <c r="Z17" s="779" t="s"/>
      <c r="AA17" s="779" t="s"/>
      <c r="AB17" s="779" t="s"/>
      <c r="AC17" s="779" t="s"/>
    </row>
    <row r="18" spans="1:29" ht="31.5" customHeight="true">
      <c r="A18" s="801">
        <v>9</v>
      </c>
      <c r="B18" s="828" t="s">
        <v>2133</v>
      </c>
      <c r="C18" s="835" t="s"/>
      <c r="D18" s="835">
        <f>=甲供设备!L263/10000</f>
        <v>120.8736</v>
      </c>
      <c r="E18" s="835" t="s"/>
      <c r="F18" s="830">
        <v>0</v>
      </c>
      <c r="G18" s="835" t="s"/>
      <c r="H18" s="835">
        <f>=D18+F18</f>
        <v>120.8736</v>
      </c>
      <c r="I18" s="835">
        <v>0</v>
      </c>
      <c r="J18" s="835">
        <f>=甲供设备!N263/10000</f>
        <v>104.8</v>
      </c>
      <c r="K18" s="830" t="s"/>
      <c r="L18" s="830">
        <f>=甲供设备!R263/10000</f>
        <v>120.424</v>
      </c>
      <c r="M18" s="835" t="s">
        <v>654</v>
      </c>
      <c r="N18" s="835">
        <f>=甲供设备!P263/10000</f>
        <v>110</v>
      </c>
      <c r="O18" s="826" t="s"/>
      <c r="P18" s="779" t="s"/>
      <c r="Q18" s="792" t="s"/>
      <c r="R18" s="792" t="s"/>
      <c r="S18" s="792" t="s"/>
      <c r="T18" s="792" t="s"/>
      <c r="U18" s="792" t="s"/>
      <c r="V18" s="792" t="s"/>
      <c r="W18" s="792" t="s"/>
      <c r="X18" s="779" t="s"/>
      <c r="Y18" s="779" t="s"/>
      <c r="Z18" s="779" t="s"/>
      <c r="AA18" s="779" t="s"/>
      <c r="AB18" s="779" t="s"/>
      <c r="AC18" s="779" t="s"/>
    </row>
    <row r="19" spans="1:29" ht="31.5" customHeight="true">
      <c r="A19" s="801">
        <v>10</v>
      </c>
      <c r="B19" s="826" t="s">
        <v>2134</v>
      </c>
      <c r="C19" s="835" t="s"/>
      <c r="D19" s="835">
        <f>=甲供设备!L270/10000</f>
        <v>300</v>
      </c>
      <c r="E19" s="835" t="s"/>
      <c r="F19" s="835">
        <v>0</v>
      </c>
      <c r="G19" s="835" t="s"/>
      <c r="H19" s="835">
        <f>=D19+F19</f>
        <v>300</v>
      </c>
      <c r="I19" s="835">
        <v>0</v>
      </c>
      <c r="J19" s="835">
        <f>=甲供设备!N270/10000</f>
        <v>324.2251</v>
      </c>
      <c r="K19" s="830" t="s"/>
      <c r="L19" s="830" t="s">
        <f>=甲供设备!R270</f>
        <v>654</v>
      </c>
      <c r="M19" s="835" t="s">
        <v>654</v>
      </c>
      <c r="N19" s="835" t="s">
        <f>=甲供设备!P270</f>
        <v>654</v>
      </c>
      <c r="O19" s="826" t="s">
        <v>2135</v>
      </c>
      <c r="P19" s="846" t="s"/>
      <c r="Q19" s="792" t="s"/>
      <c r="R19" s="792" t="s"/>
      <c r="S19" s="792" t="s"/>
      <c r="T19" s="792" t="s"/>
      <c r="U19" s="792" t="s"/>
      <c r="V19" s="792" t="s"/>
      <c r="W19" s="792" t="s"/>
      <c r="X19" s="779" t="s"/>
      <c r="Y19" s="779" t="s"/>
      <c r="Z19" s="779" t="s"/>
      <c r="AA19" s="779" t="s"/>
      <c r="AB19" s="779" t="s"/>
      <c r="AC19" s="779" t="s"/>
    </row>
    <row r="20" spans="1:29" ht="32" customHeight="true">
      <c r="A20" s="780" t="s">
        <v>467</v>
      </c>
      <c r="B20" s="821" t="s">
        <v>2136</v>
      </c>
      <c r="C20" s="822">
        <f>=SUM(C21,C34,C35,C36,C39,C40,C41)</f>
        <v>4363.32158116</v>
      </c>
      <c r="D20" s="822">
        <f>=SUM(D21,D34,D35,D36,D39,D40,D41)</f>
        <v>4133.77661526</v>
      </c>
      <c r="E20" s="822">
        <f>=SUM(E21,E34,E35,E36,E39,E40,E41)</f>
        <v>525.0722056</v>
      </c>
      <c r="F20" s="822">
        <f>=SUM(F21,F34,F35,F36,F39,F40,F41)</f>
        <v>1471.432056</v>
      </c>
      <c r="G20" s="822">
        <f>=SUM(G21,G34,G35,G36,G39,G40,G41)</f>
        <v>4888.39378676</v>
      </c>
      <c r="H20" s="822">
        <f>=SUM(H21,H34,H35,H36,H39,H40,H41)</f>
        <v>5605.20867126</v>
      </c>
      <c r="I20" s="822">
        <f>=SUM(I21,I34,I35,I36,I39,I40,I41)</f>
        <v>6671.06</v>
      </c>
      <c r="J20" s="822">
        <f>=SUM(J21,J34,J35,J36,J39,J40,J41)</f>
        <v>8557.79</v>
      </c>
      <c r="K20" s="823">
        <f>=SUM(K21,K34,K35,K36,K39,K40,K41)</f>
        <v>2803.529557</v>
      </c>
      <c r="L20" s="823">
        <f>=SUM(L21,L34,L35,L36,L39,L40,L41)</f>
        <v>3553.4783</v>
      </c>
      <c r="M20" s="822">
        <f>=SUM(M21,M34,M35,M36,M39,M40,M41)</f>
        <v>6127.48943609212</v>
      </c>
      <c r="N20" s="822">
        <f>=SUM(N21,N34,N35,N36,N39,N40,N41)</f>
        <v>9545.39925934</v>
      </c>
      <c r="O20" s="821" t="s"/>
      <c r="P20" s="779" t="s"/>
      <c r="Q20" s="792" t="s"/>
      <c r="R20" s="792" t="s"/>
      <c r="S20" s="792" t="s"/>
      <c r="T20" s="792" t="s"/>
      <c r="U20" s="792" t="s"/>
      <c r="V20" s="792" t="s"/>
      <c r="W20" s="792" t="s"/>
      <c r="X20" s="779" t="s"/>
      <c r="Y20" s="779" t="s"/>
      <c r="Z20" s="779" t="s"/>
      <c r="AA20" s="779" t="s"/>
      <c r="AB20" s="779" t="s"/>
      <c r="AC20" s="779" t="s"/>
    </row>
    <row r="21" spans="1:29" s="994" ht="32" customHeight="true">
      <c r="A21" s="780">
        <v>1</v>
      </c>
      <c r="B21" s="821" t="s">
        <v>2561</v>
      </c>
      <c r="C21" s="822">
        <f>=SUM(C22:C33)</f>
        <v>800.17</v>
      </c>
      <c r="D21" s="822">
        <f>=SUM(D22:D33)</f>
        <v>1603.58</v>
      </c>
      <c r="E21" s="822">
        <f>=SUM(E22:E33)</f>
        <v>86.4622056</v>
      </c>
      <c r="F21" s="822">
        <f>=SUM(F22:F33)</f>
        <v>864.622056</v>
      </c>
      <c r="G21" s="822">
        <f>=SUM(G22:G33)</f>
        <v>886.6322056</v>
      </c>
      <c r="H21" s="822">
        <f>=SUM(H22:H33)</f>
        <v>2468.202056</v>
      </c>
      <c r="I21" s="822">
        <f>=SUM(I22:I33)</f>
        <v>1412.15</v>
      </c>
      <c r="J21" s="822">
        <f>=SUM(J22:J33)</f>
        <v>3078.16</v>
      </c>
      <c r="K21" s="823">
        <f>=SUM(K22:K33)</f>
        <v>663.347707</v>
      </c>
      <c r="L21" s="823">
        <f>=SUM(L22:L33)</f>
        <v>1730.59</v>
      </c>
      <c r="M21" s="822">
        <f>=SUM(M22:M33)</f>
        <v>1919.31695301212</v>
      </c>
      <c r="N21" s="822">
        <f>=SUM(N22:N33)</f>
        <v>5866.5337299</v>
      </c>
      <c r="O21" s="851" t="s">
        <v>2562</v>
      </c>
      <c r="P21" s="852" t="s"/>
      <c r="Q21" s="853" t="s"/>
      <c r="R21" s="853" t="s"/>
      <c r="S21" s="853" t="s"/>
      <c r="T21" s="853" t="s"/>
      <c r="U21" s="853" t="s"/>
      <c r="V21" s="853" t="s"/>
      <c r="W21" s="853" t="s"/>
      <c r="X21" s="852" t="s"/>
      <c r="Y21" s="852" t="s"/>
      <c r="Z21" s="852" t="s"/>
      <c r="AA21" s="852" t="s"/>
      <c r="AB21" s="852" t="s"/>
      <c r="AC21" s="852" t="s"/>
    </row>
    <row r="22" spans="1:29" ht="32" customHeight="true">
      <c r="A22" s="801">
        <v>1.1</v>
      </c>
      <c r="B22" s="826" t="s">
        <v>452</v>
      </c>
      <c r="C22" s="835">
        <f>=197.4</f>
        <v>197.4</v>
      </c>
      <c r="D22" s="835">
        <f>=370.67</f>
        <v>370.67</v>
      </c>
      <c r="E22" s="835">
        <f>=F22*0.1</f>
        <v>5.672</v>
      </c>
      <c r="F22" s="835">
        <f>=56.72</f>
        <v>56.72</v>
      </c>
      <c r="G22" s="822">
        <f>=C22+E22</f>
        <v>203.072</v>
      </c>
      <c r="H22" s="822">
        <f>=D22+F22</f>
        <v>427.39</v>
      </c>
      <c r="I22" s="835">
        <f>=22.38+84.52</f>
        <v>106.9</v>
      </c>
      <c r="J22" s="835">
        <f>=223.33+1214.46-J11</f>
        <v>868.13</v>
      </c>
      <c r="K22" s="854">
        <f>=6699477.07/10000-226.96</f>
        <v>442.987707</v>
      </c>
      <c r="L22" s="830">
        <f>=484.76</f>
        <v>484.76</v>
      </c>
      <c r="M22" s="835">
        <f>=(13066219.29+35471.24-10136098.81*1.09)/10000</f>
        <v>205.33428271</v>
      </c>
      <c r="N22" s="835">
        <f>=10136098.81*1.13/10000</f>
        <v>1145.37916553</v>
      </c>
      <c r="O22" s="57" t="s"/>
      <c r="P22" s="779" t="s"/>
      <c r="Q22" s="792" t="s"/>
      <c r="R22" s="792" t="s"/>
      <c r="S22" s="792" t="s"/>
      <c r="T22" s="792" t="s"/>
      <c r="U22" s="792" t="s"/>
      <c r="V22" s="792" t="s"/>
      <c r="W22" s="792" t="s"/>
      <c r="X22" s="779" t="s"/>
      <c r="Y22" s="779" t="s"/>
      <c r="Z22" s="779" t="s"/>
      <c r="AA22" s="779" t="s"/>
      <c r="AB22" s="779" t="s"/>
      <c r="AC22" s="779" t="s"/>
    </row>
    <row r="23" spans="1:29" ht="32" customHeight="true">
      <c r="A23" s="801">
        <v>1.2</v>
      </c>
      <c r="B23" s="826" t="s">
        <v>2137</v>
      </c>
      <c r="C23" s="835">
        <f>=25.84</f>
        <v>25.84</v>
      </c>
      <c r="D23" s="835">
        <f>=620.68</f>
        <v>620.68</v>
      </c>
      <c r="E23" s="835">
        <f>=F23*0.1</f>
        <v>2.3482056</v>
      </c>
      <c r="F23" s="835">
        <f>=234820.56/10000</f>
        <v>23.482056</v>
      </c>
      <c r="G23" s="822">
        <f>=C23+E23</f>
        <v>28.1882056</v>
      </c>
      <c r="H23" s="822">
        <f>=D23+F23</f>
        <v>644.162056</v>
      </c>
      <c r="I23" s="835">
        <v>332.21</v>
      </c>
      <c r="J23" s="835">
        <f>=1104.15-386</f>
        <v>718.15</v>
      </c>
      <c r="K23" s="57" t="s"/>
      <c r="L23" s="830">
        <v>284.46</v>
      </c>
      <c r="M23" s="835">
        <f>=(13732603.83-7372886.14*1.09)/10000</f>
        <v>569.61579374</v>
      </c>
      <c r="N23" s="835">
        <f>=7372886.14*1.13/10000</f>
        <v>833.13613382</v>
      </c>
      <c r="O23" s="57" t="s"/>
      <c r="P23" s="779" t="s"/>
      <c r="Q23" s="792" t="s"/>
      <c r="R23" s="792" t="s"/>
      <c r="S23" s="792" t="s"/>
      <c r="T23" s="792" t="s"/>
      <c r="U23" s="792" t="s"/>
      <c r="V23" s="792" t="s"/>
      <c r="W23" s="792" t="s"/>
      <c r="X23" s="779" t="s"/>
      <c r="Y23" s="779" t="s"/>
      <c r="Z23" s="779" t="s"/>
      <c r="AA23" s="779" t="s"/>
      <c r="AB23" s="779" t="s"/>
      <c r="AC23" s="779" t="s"/>
    </row>
    <row r="24" spans="1:29" ht="32" customHeight="true">
      <c r="A24" s="801">
        <v>1.3</v>
      </c>
      <c r="B24" s="826" t="s">
        <v>770</v>
      </c>
      <c r="C24" s="835">
        <f>=4.49</f>
        <v>4.49</v>
      </c>
      <c r="D24" s="835">
        <f>=141.61</f>
        <v>141.61</v>
      </c>
      <c r="E24" s="835">
        <f>=F24*0.1</f>
        <v>0</v>
      </c>
      <c r="F24" s="835">
        <f>=0</f>
        <v>0</v>
      </c>
      <c r="G24" s="822">
        <f>=C24+E24</f>
        <v>4.49</v>
      </c>
      <c r="H24" s="822">
        <f>=D24+F24</f>
        <v>141.61</v>
      </c>
      <c r="I24" s="835">
        <v>0</v>
      </c>
      <c r="J24" s="835">
        <v>188.5</v>
      </c>
      <c r="K24" s="57" t="s"/>
      <c r="L24" s="830">
        <v>59.87</v>
      </c>
      <c r="M24" s="835" t="s">
        <v>654</v>
      </c>
      <c r="N24" s="835" t="s">
        <v>654</v>
      </c>
      <c r="O24" s="57" t="s"/>
      <c r="P24" s="779" t="s"/>
      <c r="Q24" s="792" t="s"/>
      <c r="R24" s="792" t="s"/>
      <c r="S24" s="792" t="s"/>
      <c r="T24" s="792" t="s"/>
      <c r="U24" s="792" t="s"/>
      <c r="V24" s="792" t="s"/>
      <c r="W24" s="792" t="s"/>
      <c r="X24" s="779" t="s"/>
      <c r="Y24" s="779" t="s"/>
      <c r="Z24" s="779" t="s"/>
      <c r="AA24" s="779" t="s"/>
      <c r="AB24" s="779" t="s"/>
      <c r="AC24" s="779" t="s"/>
    </row>
    <row r="25" spans="1:29" ht="32" customHeight="true">
      <c r="A25" s="801">
        <v>1.4</v>
      </c>
      <c r="B25" s="826" t="s">
        <v>777</v>
      </c>
      <c r="C25" s="835">
        <f>=87.67</f>
        <v>87.67</v>
      </c>
      <c r="D25" s="835">
        <f>=217.5</f>
        <v>217.5</v>
      </c>
      <c r="E25" s="835">
        <f>=F25*0.1</f>
        <v>50.84</v>
      </c>
      <c r="F25" s="835">
        <f>=508.4</f>
        <v>508.4</v>
      </c>
      <c r="G25" s="822">
        <f>=C25+E25</f>
        <v>138.51</v>
      </c>
      <c r="H25" s="822">
        <f>=D25+F25</f>
        <v>725.9</v>
      </c>
      <c r="I25" s="835">
        <v>42.99</v>
      </c>
      <c r="J25" s="835">
        <v>532.46</v>
      </c>
      <c r="K25" s="57" t="s"/>
      <c r="L25" s="830">
        <v>172.27</v>
      </c>
      <c r="M25" s="835">
        <f>=(17595506.9+2264997.25-(15500198.22+747758.14)*1.09)/10000</f>
        <v>215.02317176</v>
      </c>
      <c r="N25" s="835">
        <f>=(15500198.22+747758.14)*1.13/10000</f>
        <v>1836.01906868</v>
      </c>
      <c r="O25" s="57" t="s"/>
      <c r="P25" s="779" t="s"/>
      <c r="Q25" s="792" t="s"/>
      <c r="R25" s="792" t="s"/>
      <c r="S25" s="792" t="s"/>
      <c r="T25" s="792" t="s"/>
      <c r="U25" s="792" t="s"/>
      <c r="V25" s="792" t="s"/>
      <c r="W25" s="792" t="s"/>
      <c r="X25" s="779" t="s"/>
      <c r="Y25" s="779" t="s"/>
      <c r="Z25" s="779" t="s"/>
      <c r="AA25" s="779" t="s"/>
      <c r="AB25" s="779" t="s"/>
      <c r="AC25" s="779" t="s"/>
    </row>
    <row r="26" spans="1:29" ht="32" customHeight="true">
      <c r="A26" s="801">
        <v>1.5</v>
      </c>
      <c r="B26" s="826" t="s">
        <v>812</v>
      </c>
      <c r="C26" s="835">
        <f>=19.06</f>
        <v>19.06</v>
      </c>
      <c r="D26" s="835">
        <f>=37.29</f>
        <v>37.29</v>
      </c>
      <c r="E26" s="835">
        <f>=F26*0.1</f>
        <v>4.326</v>
      </c>
      <c r="F26" s="835">
        <f>=43.26</f>
        <v>43.26</v>
      </c>
      <c r="G26" s="822">
        <f>=C26+E26</f>
        <v>23.386</v>
      </c>
      <c r="H26" s="822">
        <f>=D26+F26</f>
        <v>80.55</v>
      </c>
      <c r="I26" s="835">
        <v>58.46</v>
      </c>
      <c r="J26" s="835">
        <v>119.57</v>
      </c>
      <c r="K26" s="57" t="s"/>
      <c r="L26" s="830" t="s">
        <v>654</v>
      </c>
      <c r="M26" s="835">
        <f>=(91.74-39.74/1.13)+19.97</f>
        <v>76.5418584070797</v>
      </c>
      <c r="N26" s="835">
        <f>=(11032.74+15421.68+8451.33+316814.16)*1.13/10000</f>
        <v>39.74434983</v>
      </c>
      <c r="O26" s="57" t="s"/>
      <c r="P26" s="779" t="s"/>
      <c r="Q26" s="779" t="s"/>
      <c r="R26" s="779" t="s"/>
      <c r="S26" s="779" t="s"/>
      <c r="T26" s="779" t="s"/>
      <c r="U26" s="779" t="s"/>
      <c r="V26" s="779" t="s"/>
      <c r="W26" s="779" t="s"/>
      <c r="X26" s="779" t="s"/>
      <c r="Y26" s="779" t="s"/>
      <c r="Z26" s="779" t="s"/>
      <c r="AA26" s="779" t="s"/>
      <c r="AB26" s="779" t="s"/>
      <c r="AC26" s="779" t="s"/>
    </row>
    <row r="27" spans="1:29" ht="32" customHeight="true">
      <c r="A27" s="801">
        <v>1.6</v>
      </c>
      <c r="B27" s="826" t="s">
        <v>831</v>
      </c>
      <c r="C27" s="835">
        <f>=56.58</f>
        <v>56.58</v>
      </c>
      <c r="D27" s="835">
        <f>=26.61</f>
        <v>26.61</v>
      </c>
      <c r="E27" s="835">
        <f>=F27*0.1</f>
        <v>0</v>
      </c>
      <c r="F27" s="835">
        <v>0</v>
      </c>
      <c r="G27" s="822">
        <f>=C27+E27</f>
        <v>56.58</v>
      </c>
      <c r="H27" s="822">
        <f>=D27+F27</f>
        <v>26.61</v>
      </c>
      <c r="I27" s="835">
        <v>19.26</v>
      </c>
      <c r="J27" s="835">
        <f>=164.61-114.9</f>
        <v>49.71</v>
      </c>
      <c r="K27" s="57" t="s"/>
      <c r="L27" s="830">
        <v>133.75</v>
      </c>
      <c r="M27" s="835">
        <f>=(1093431.08-531539.82*1.09)/10000</f>
        <v>51.40526762</v>
      </c>
      <c r="N27" s="835">
        <f>=531539.82*1.13/10000</f>
        <v>60.06399966</v>
      </c>
      <c r="O27" s="57" t="s"/>
      <c r="P27" s="779" t="s"/>
      <c r="Q27" s="779" t="s"/>
      <c r="R27" s="779" t="s"/>
      <c r="S27" s="779" t="s"/>
      <c r="T27" s="779" t="s"/>
      <c r="U27" s="779" t="s"/>
      <c r="V27" s="779" t="s"/>
      <c r="W27" s="779" t="s"/>
      <c r="X27" s="779" t="s"/>
      <c r="Y27" s="779" t="s"/>
      <c r="Z27" s="779" t="s"/>
      <c r="AA27" s="779" t="s"/>
      <c r="AB27" s="779" t="s"/>
      <c r="AC27" s="779" t="s"/>
    </row>
    <row r="28" spans="1:29" ht="32" customHeight="true">
      <c r="A28" s="801">
        <v>1.7</v>
      </c>
      <c r="B28" s="826" t="s">
        <v>420</v>
      </c>
      <c r="C28" s="835">
        <f>=88.24</f>
        <v>88.24</v>
      </c>
      <c r="D28" s="835">
        <f>=37.04</f>
        <v>37.04</v>
      </c>
      <c r="E28" s="835">
        <f>=F28*0.1</f>
        <v>0</v>
      </c>
      <c r="F28" s="835">
        <v>0</v>
      </c>
      <c r="G28" s="822">
        <f>=C28+E28</f>
        <v>88.24</v>
      </c>
      <c r="H28" s="822">
        <f>=D28+F28</f>
        <v>37.04</v>
      </c>
      <c r="I28" s="835">
        <v>85.72</v>
      </c>
      <c r="J28" s="835">
        <f>=1197.63-1143.22</f>
        <v>54.4100000000001</v>
      </c>
      <c r="K28" s="57" t="s"/>
      <c r="L28" s="830">
        <f>=21.33</f>
        <v>21.33</v>
      </c>
      <c r="M28" s="835">
        <f>=(908383.68-104558.59*1.09)/10000</f>
        <v>79.44148169</v>
      </c>
      <c r="N28" s="835">
        <f>=104558.59*1.13/10000</f>
        <v>11.81512067</v>
      </c>
      <c r="O28" s="57" t="s"/>
      <c r="P28" s="779" t="s"/>
      <c r="Q28" s="779" t="s"/>
      <c r="R28" s="779" t="s"/>
      <c r="S28" s="779" t="s"/>
      <c r="T28" s="779" t="s"/>
      <c r="U28" s="779" t="s"/>
      <c r="V28" s="779" t="s"/>
      <c r="W28" s="779" t="s"/>
      <c r="X28" s="779" t="s"/>
      <c r="Y28" s="779" t="s"/>
      <c r="Z28" s="779" t="s"/>
      <c r="AA28" s="779" t="s"/>
      <c r="AB28" s="779" t="s"/>
      <c r="AC28" s="779" t="s"/>
    </row>
    <row r="29" spans="1:29" ht="32" customHeight="true">
      <c r="A29" s="801">
        <v>1.8</v>
      </c>
      <c r="B29" s="826" t="s">
        <v>411</v>
      </c>
      <c r="C29" s="835">
        <f>=47.09</f>
        <v>47.09</v>
      </c>
      <c r="D29" s="835">
        <f>=140.12</f>
        <v>140.12</v>
      </c>
      <c r="E29" s="835">
        <f>=F29*0.1</f>
        <v>23.276</v>
      </c>
      <c r="F29" s="835">
        <v>232.76</v>
      </c>
      <c r="G29" s="822">
        <f>=C29+E29</f>
        <v>70.366</v>
      </c>
      <c r="H29" s="822">
        <f>=D29+F29</f>
        <v>372.88</v>
      </c>
      <c r="I29" s="835">
        <v>79.48</v>
      </c>
      <c r="J29" s="835">
        <v>188.87</v>
      </c>
      <c r="K29" s="57" t="s"/>
      <c r="L29" s="830">
        <v>34.85</v>
      </c>
      <c r="M29" s="835">
        <f>=(66.02-38.4/1.13)+9.98</f>
        <v>42.0176991150442</v>
      </c>
      <c r="N29" s="835">
        <f>=78.14-39.74</f>
        <v>38.4</v>
      </c>
      <c r="O29" s="57" t="s"/>
      <c r="P29" s="779" t="s"/>
      <c r="Q29" s="779" t="s"/>
      <c r="R29" s="779" t="s"/>
      <c r="S29" s="779" t="s"/>
      <c r="T29" s="779" t="s"/>
      <c r="U29" s="779" t="s"/>
      <c r="V29" s="779" t="s"/>
      <c r="W29" s="779" t="s"/>
      <c r="X29" s="779" t="s"/>
      <c r="Y29" s="779" t="s"/>
      <c r="Z29" s="779" t="s"/>
      <c r="AA29" s="779" t="s"/>
      <c r="AB29" s="779" t="s"/>
      <c r="AC29" s="779" t="s"/>
    </row>
    <row r="30" spans="1:29" ht="32" customHeight="true">
      <c r="A30" s="801">
        <v>1.9</v>
      </c>
      <c r="B30" s="826" t="s">
        <v>402</v>
      </c>
      <c r="C30" s="835" t="s">
        <v>654</v>
      </c>
      <c r="D30" s="835" t="s">
        <v>654</v>
      </c>
      <c r="E30" s="835" t="s">
        <v>654</v>
      </c>
      <c r="F30" s="835" t="s">
        <v>654</v>
      </c>
      <c r="G30" s="835" t="s">
        <v>654</v>
      </c>
      <c r="H30" s="835" t="s">
        <v>654</v>
      </c>
      <c r="I30" s="835" t="s">
        <v>654</v>
      </c>
      <c r="J30" s="835" t="s">
        <v>654</v>
      </c>
      <c r="K30" s="57" t="s"/>
      <c r="L30" s="830">
        <v>520.03</v>
      </c>
      <c r="M30" s="835">
        <f>=(1518526.32-248027.5*1.09)/10000</f>
        <v>124.8176345</v>
      </c>
      <c r="N30" s="835">
        <f>=248027.5*1.13/10000+1300</f>
        <v>1328.0271075</v>
      </c>
      <c r="O30" s="57" t="s"/>
      <c r="P30" s="779" t="s"/>
      <c r="Q30" s="779" t="s"/>
      <c r="R30" s="779" t="s"/>
      <c r="S30" s="779" t="s"/>
      <c r="T30" s="779" t="s"/>
      <c r="U30" s="779" t="s"/>
      <c r="V30" s="779" t="s"/>
      <c r="W30" s="779" t="s"/>
      <c r="X30" s="779" t="s"/>
      <c r="Y30" s="779" t="s"/>
      <c r="Z30" s="779" t="s"/>
      <c r="AA30" s="779" t="s"/>
      <c r="AB30" s="779" t="s"/>
      <c r="AC30" s="779" t="s"/>
    </row>
    <row r="31" spans="1:29" ht="32" customHeight="true">
      <c r="A31" s="855">
        <v>1.1</v>
      </c>
      <c r="B31" s="826" t="s">
        <v>400</v>
      </c>
      <c r="C31" s="835" t="s">
        <v>654</v>
      </c>
      <c r="D31" s="835" t="s">
        <v>654</v>
      </c>
      <c r="E31" s="835" t="s">
        <v>654</v>
      </c>
      <c r="F31" s="835" t="s">
        <v>654</v>
      </c>
      <c r="G31" s="835" t="s">
        <v>654</v>
      </c>
      <c r="H31" s="835" t="s">
        <v>654</v>
      </c>
      <c r="I31" s="835" t="s">
        <v>654</v>
      </c>
      <c r="J31" s="835" t="s">
        <v>654</v>
      </c>
      <c r="K31" s="57" t="s"/>
      <c r="L31" s="830" t="s"/>
      <c r="M31" s="835">
        <f>=(4688890.04-697272.42*1.09)/10000</f>
        <v>392.88631022</v>
      </c>
      <c r="N31" s="835">
        <f>=697272.42*1.13/10000+480</f>
        <v>558.79178346</v>
      </c>
      <c r="O31" s="57" t="s"/>
      <c r="P31" s="779" t="s"/>
      <c r="Q31" s="779" t="s"/>
      <c r="R31" s="779" t="s"/>
      <c r="S31" s="779" t="s"/>
      <c r="T31" s="779" t="s"/>
      <c r="U31" s="779" t="s"/>
      <c r="V31" s="779" t="s"/>
      <c r="W31" s="779" t="s"/>
      <c r="X31" s="779" t="s"/>
      <c r="Y31" s="779" t="s"/>
      <c r="Z31" s="779" t="s"/>
      <c r="AA31" s="779" t="s"/>
      <c r="AB31" s="779" t="s"/>
      <c r="AC31" s="779" t="s"/>
    </row>
    <row r="32" spans="1:29" ht="32" customHeight="true">
      <c r="A32" s="801">
        <v>1.11</v>
      </c>
      <c r="B32" s="826" t="s">
        <v>2138</v>
      </c>
      <c r="C32" s="835">
        <f>=1.08</f>
        <v>1.08</v>
      </c>
      <c r="D32" s="835">
        <f>=2.83</f>
        <v>2.83</v>
      </c>
      <c r="E32" s="835">
        <f>=F32*0.1</f>
        <v>0</v>
      </c>
      <c r="F32" s="835">
        <v>0</v>
      </c>
      <c r="G32" s="822">
        <f>=C32+E32</f>
        <v>1.08</v>
      </c>
      <c r="H32" s="822">
        <f>=D32+F32</f>
        <v>2.83</v>
      </c>
      <c r="I32" s="835">
        <v>0</v>
      </c>
      <c r="J32" s="835">
        <f>=21.17+92.15</f>
        <v>113.32</v>
      </c>
      <c r="K32" s="61" t="s"/>
      <c r="L32" s="830">
        <v>9.86</v>
      </c>
      <c r="M32" s="835">
        <f>=(104277.5-81035.4*1.09)/10000</f>
        <v>1.5948914</v>
      </c>
      <c r="N32" s="835">
        <f>=81035.4*1.13/10000</f>
        <v>9.1570002</v>
      </c>
      <c r="O32" s="57" t="s"/>
      <c r="P32" s="779" t="s"/>
      <c r="Q32" s="779" t="s"/>
      <c r="R32" s="779" t="s"/>
      <c r="S32" s="779" t="s"/>
      <c r="T32" s="779" t="s"/>
      <c r="U32" s="779" t="s"/>
      <c r="V32" s="779" t="s"/>
      <c r="W32" s="779" t="s"/>
      <c r="X32" s="779" t="s"/>
      <c r="Y32" s="779" t="s"/>
      <c r="Z32" s="779" t="s"/>
      <c r="AA32" s="779" t="s"/>
      <c r="AB32" s="779" t="s"/>
      <c r="AC32" s="779" t="s"/>
    </row>
    <row r="33" spans="1:29" ht="32" customHeight="true">
      <c r="A33" s="801">
        <v>1.12</v>
      </c>
      <c r="B33" s="826" t="s">
        <v>913</v>
      </c>
      <c r="C33" s="835">
        <f>=272.72</f>
        <v>272.72</v>
      </c>
      <c r="D33" s="835">
        <f>=9.23</f>
        <v>9.23</v>
      </c>
      <c r="E33" s="835">
        <f>=F33*0.1</f>
        <v>0</v>
      </c>
      <c r="F33" s="835">
        <v>0</v>
      </c>
      <c r="G33" s="822">
        <f>=C33+E33</f>
        <v>272.72</v>
      </c>
      <c r="H33" s="822">
        <f>=D33+F33</f>
        <v>9.23</v>
      </c>
      <c r="I33" s="835">
        <v>687.13</v>
      </c>
      <c r="J33" s="835">
        <f>=235.04+10</f>
        <v>245.04</v>
      </c>
      <c r="K33" s="830">
        <v>220.36</v>
      </c>
      <c r="L33" s="830">
        <v>9.41</v>
      </c>
      <c r="M33" s="835">
        <f>=(1664261.73-53097.35*1.09)/10000</f>
        <v>160.63856185</v>
      </c>
      <c r="N33" s="835">
        <f>=53097.35*1.13/10000</f>
        <v>6.00000055</v>
      </c>
      <c r="O33" s="61" t="s"/>
      <c r="P33" s="779" t="s"/>
      <c r="Q33" s="779" t="s"/>
      <c r="R33" s="779" t="s"/>
      <c r="S33" s="779" t="s"/>
      <c r="T33" s="779" t="s"/>
      <c r="U33" s="779" t="s"/>
      <c r="V33" s="779" t="s"/>
      <c r="W33" s="779" t="s"/>
      <c r="X33" s="779" t="s"/>
      <c r="Y33" s="779" t="s"/>
      <c r="Z33" s="779" t="s"/>
      <c r="AA33" s="779" t="s"/>
      <c r="AB33" s="779" t="s"/>
      <c r="AC33" s="779" t="s"/>
    </row>
    <row r="34" spans="1:29" s="994">
      <c r="A34" s="780">
        <v>2</v>
      </c>
      <c r="B34" s="821" t="s">
        <v>2563</v>
      </c>
      <c r="C34" s="822">
        <v>347.46</v>
      </c>
      <c r="D34" s="822">
        <v>1105.25</v>
      </c>
      <c r="E34" s="822">
        <v>38.61</v>
      </c>
      <c r="F34" s="822">
        <v>122.81</v>
      </c>
      <c r="G34" s="822">
        <f>=C34+E34</f>
        <v>386.07</v>
      </c>
      <c r="H34" s="822">
        <f>=D34+F34</f>
        <v>1228.06</v>
      </c>
      <c r="I34" s="822">
        <v>1096.83</v>
      </c>
      <c r="J34" s="822">
        <f>=1226.45-104.8</f>
        <v>1121.65</v>
      </c>
      <c r="K34" s="823">
        <f>=(1392951.6+246173.88)/10000</f>
        <v>163.912548</v>
      </c>
      <c r="L34" s="823">
        <f>=(3506260+2861504)/10000-L18</f>
        <v>516.3524</v>
      </c>
      <c r="M34" s="822">
        <f>=(23696286.07-15301218.04*1.09)/10000</f>
        <v>701.79584064</v>
      </c>
      <c r="N34" s="822">
        <f>=15301218.04*1.13/10000-314.68</f>
        <v>1414.35763852</v>
      </c>
      <c r="O34" s="821" t="s">
        <v>2564</v>
      </c>
      <c r="P34" s="852" t="s"/>
      <c r="Q34" s="853" t="s"/>
      <c r="R34" s="853" t="s"/>
      <c r="S34" s="853" t="s"/>
      <c r="T34" s="853" t="s"/>
      <c r="U34" s="853" t="s"/>
      <c r="V34" s="853" t="s"/>
      <c r="W34" s="853" t="s"/>
      <c r="X34" s="852" t="s"/>
      <c r="Y34" s="852" t="s"/>
      <c r="Z34" s="852" t="s"/>
      <c r="AA34" s="852" t="s"/>
      <c r="AB34" s="852" t="s"/>
      <c r="AC34" s="852" t="s"/>
    </row>
    <row r="35" spans="1:29" s="994">
      <c r="A35" s="780">
        <v>3</v>
      </c>
      <c r="B35" s="821" t="s">
        <v>2565</v>
      </c>
      <c r="C35" s="822">
        <f>=(32700857.94-762028.01-185537.84-(6547631.99-94646.94-79979.29)*1.09)/10000</f>
        <v>2480.67158116</v>
      </c>
      <c r="D35" s="822">
        <f>=(6547631.99-17130.97)*1.13/10000</f>
        <v>737.94661526</v>
      </c>
      <c r="E35" s="822">
        <v>400</v>
      </c>
      <c r="F35" s="822">
        <v>184</v>
      </c>
      <c r="G35" s="822">
        <f>=C35+E35</f>
        <v>2880.67158116</v>
      </c>
      <c r="H35" s="822">
        <f>=D35+F35</f>
        <v>921.94661526</v>
      </c>
      <c r="I35" s="822">
        <f>=2120.46+903.7+17.5+85.64</f>
        <v>3127.3</v>
      </c>
      <c r="J35" s="822">
        <f>=1444.97+122.76+70</f>
        <v>1637.73</v>
      </c>
      <c r="K35" s="823">
        <f>=(8735870.42+264248.07+379091.27+47274.27+129858.67+2292379.56+114682.16)/10000</f>
        <v>1196.340442</v>
      </c>
      <c r="L35" s="823">
        <f>=8744319/10000</f>
        <v>874.4319</v>
      </c>
      <c r="M35" s="822">
        <f>=(8505692.48+10405978.9+1895043.72+1090440.24-(3945265.32+2060121.53+181867.96+372159.09)*1.09)/10000</f>
        <v>1474.7394189</v>
      </c>
      <c r="N35" s="822">
        <f>=(3945265.32+2060121.53+181867.96+372159.09)*1.13/10000</f>
        <v>741.2137707</v>
      </c>
      <c r="O35" s="821" t="s">
        <v>2566</v>
      </c>
      <c r="P35" s="852" t="s"/>
      <c r="Q35" s="853" t="s"/>
      <c r="R35" s="853" t="s"/>
      <c r="S35" s="853" t="s"/>
      <c r="T35" s="853" t="s"/>
      <c r="U35" s="853" t="s"/>
      <c r="V35" s="853" t="s"/>
      <c r="W35" s="853" t="s"/>
      <c r="X35" s="852" t="s"/>
      <c r="Y35" s="852" t="s"/>
      <c r="Z35" s="852" t="s"/>
      <c r="AA35" s="852" t="s"/>
      <c r="AB35" s="852" t="s"/>
      <c r="AC35" s="852" t="s"/>
    </row>
    <row r="36" spans="1:29" s="994" ht="32" customHeight="true">
      <c r="A36" s="780">
        <v>4</v>
      </c>
      <c r="B36" s="821" t="s">
        <v>2567</v>
      </c>
      <c r="C36" s="822">
        <f>=C37+C38</f>
        <v>735.02</v>
      </c>
      <c r="D36" s="822">
        <f>=D37+D38</f>
        <v>687</v>
      </c>
      <c r="E36" s="822">
        <f>=E37+E38</f>
        <v>0</v>
      </c>
      <c r="F36" s="822">
        <f>=F37+F38</f>
        <v>300</v>
      </c>
      <c r="G36" s="822">
        <f>=G37+G38</f>
        <v>735.02</v>
      </c>
      <c r="H36" s="822">
        <f>=H37+H38</f>
        <v>987</v>
      </c>
      <c r="I36" s="822">
        <f>=I37+I38</f>
        <v>618.21</v>
      </c>
      <c r="J36" s="822">
        <f>=J37+J38</f>
        <v>770.49</v>
      </c>
      <c r="K36" s="823">
        <f>=K37+K38</f>
        <v>502.854477</v>
      </c>
      <c r="L36" s="823">
        <f>=L37+L38</f>
        <v>395.934</v>
      </c>
      <c r="M36" s="822">
        <f>=M37</f>
        <v>1684.11547136</v>
      </c>
      <c r="N36" s="822">
        <f>=N37</f>
        <v>1483.97769348</v>
      </c>
      <c r="O36" s="851" t="s">
        <v>2568</v>
      </c>
      <c r="P36" s="856" t="s"/>
      <c r="Q36" s="853" t="s"/>
      <c r="R36" s="853" t="s"/>
      <c r="S36" s="853" t="s"/>
      <c r="T36" s="853" t="s"/>
      <c r="U36" s="853" t="s"/>
      <c r="V36" s="853" t="s"/>
      <c r="W36" s="853" t="s"/>
      <c r="X36" s="852" t="s"/>
      <c r="Y36" s="852" t="s"/>
      <c r="Z36" s="852" t="s"/>
      <c r="AA36" s="852" t="s"/>
      <c r="AB36" s="852" t="s"/>
      <c r="AC36" s="852" t="s"/>
    </row>
    <row r="37" spans="1:29" ht="32" customHeight="true">
      <c r="A37" s="801">
        <v>4.1</v>
      </c>
      <c r="B37" s="826" t="s">
        <v>2139</v>
      </c>
      <c r="C37" s="835">
        <v>506.48</v>
      </c>
      <c r="D37" s="857">
        <v>190.31</v>
      </c>
      <c r="E37" s="835">
        <v>0</v>
      </c>
      <c r="F37" s="835">
        <v>0</v>
      </c>
      <c r="G37" s="858">
        <f>=C37+E37</f>
        <v>506.48</v>
      </c>
      <c r="H37" s="858">
        <f>=D37+F37</f>
        <v>190.31</v>
      </c>
      <c r="I37" s="835">
        <f>=372.78+6.56</f>
        <v>379.34</v>
      </c>
      <c r="J37" s="835">
        <f>=212.86+47.61</f>
        <v>260.47</v>
      </c>
      <c r="K37" s="830">
        <f>=(4892831.43+135713.34)/10000</f>
        <v>502.854477</v>
      </c>
      <c r="L37" s="830">
        <f>=906700/10000</f>
        <v>90.67</v>
      </c>
      <c r="M37" s="859">
        <f>=(29785405.02+1370224.79-(12562539.41+570006.55)*1.09)/10000</f>
        <v>1684.11547136</v>
      </c>
      <c r="N37" s="859">
        <f>=(12562539.41+570006.55)*1.13/10000</f>
        <v>1483.97769348</v>
      </c>
      <c r="O37" s="57" t="s"/>
      <c r="P37" s="837" t="s"/>
      <c r="Q37" s="779" t="s"/>
      <c r="R37" s="779" t="s"/>
      <c r="S37" s="779" t="s"/>
      <c r="T37" s="779" t="s"/>
      <c r="U37" s="779" t="s"/>
      <c r="V37" s="860" t="s"/>
      <c r="W37" s="779" t="s"/>
      <c r="X37" s="779" t="s"/>
      <c r="Y37" s="779" t="s"/>
      <c r="Z37" s="779" t="s"/>
      <c r="AA37" s="779" t="s"/>
      <c r="AB37" s="779" t="s"/>
      <c r="AC37" s="779" t="s"/>
    </row>
    <row r="38" spans="1:29" ht="32" customHeight="true">
      <c r="A38" s="801">
        <v>4.2</v>
      </c>
      <c r="B38" s="826" t="s">
        <v>2140</v>
      </c>
      <c r="C38" s="857">
        <v>228.54</v>
      </c>
      <c r="D38" s="857">
        <v>496.69</v>
      </c>
      <c r="E38" s="835">
        <v>0</v>
      </c>
      <c r="F38" s="835">
        <v>300</v>
      </c>
      <c r="G38" s="858">
        <f>=C38+E38</f>
        <v>228.54</v>
      </c>
      <c r="H38" s="858">
        <f>=D38+F38</f>
        <v>796.69</v>
      </c>
      <c r="I38" s="835">
        <f>=238.87</f>
        <v>238.87</v>
      </c>
      <c r="J38" s="835">
        <f>=510.02</f>
        <v>510.02</v>
      </c>
      <c r="K38" s="830" t="s"/>
      <c r="L38" s="830">
        <f>=3052640/10000</f>
        <v>305.264</v>
      </c>
      <c r="M38" s="61" t="s"/>
      <c r="N38" s="61" t="s"/>
      <c r="O38" s="61" t="s"/>
      <c r="P38" s="837" t="s"/>
      <c r="Q38" s="792" t="s"/>
      <c r="R38" s="792" t="s"/>
      <c r="S38" s="792" t="s"/>
      <c r="T38" s="792" t="s"/>
      <c r="U38" s="792" t="s"/>
      <c r="V38" s="861" t="s"/>
      <c r="W38" s="792" t="s"/>
      <c r="X38" s="779" t="s"/>
      <c r="Y38" s="779" t="s"/>
      <c r="Z38" s="779" t="s"/>
      <c r="AA38" s="779" t="s"/>
      <c r="AB38" s="779" t="s"/>
      <c r="AC38" s="779" t="s"/>
    </row>
    <row r="39" spans="1:29" ht="32" customHeight="true">
      <c r="A39" s="780">
        <v>5</v>
      </c>
      <c r="B39" s="821" t="s">
        <v>2569</v>
      </c>
      <c r="C39" s="822" t="s"/>
      <c r="D39" s="822" t="s"/>
      <c r="E39" s="822" t="s"/>
      <c r="F39" s="822" t="s"/>
      <c r="G39" s="822" t="s"/>
      <c r="H39" s="822" t="s"/>
      <c r="I39" s="822">
        <f>=19.55+397.02</f>
        <v>416.57</v>
      </c>
      <c r="J39" s="822">
        <f>=60.41</f>
        <v>60.41</v>
      </c>
      <c r="K39" s="823">
        <f>=(2470845.58+299898.25)/10000</f>
        <v>277.074383</v>
      </c>
      <c r="L39" s="823">
        <v>0</v>
      </c>
      <c r="M39" s="822">
        <f>=(496306.72+989426.11+2368731.64-(136689.31+130205.18+81038.49)*1.09)/10000</f>
        <v>347.52175218</v>
      </c>
      <c r="N39" s="822">
        <f>=(136689.31+130205.18+81038.49)*1.13/10000</f>
        <v>39.31642674</v>
      </c>
      <c r="O39" s="862" t="s"/>
      <c r="P39" s="837" t="s"/>
      <c r="Q39" s="792" t="s"/>
      <c r="R39" s="792" t="s"/>
      <c r="S39" s="792" t="s"/>
      <c r="T39" s="792" t="s"/>
      <c r="U39" s="861" t="s"/>
      <c r="V39" s="792" t="s"/>
      <c r="W39" s="792" t="s"/>
      <c r="X39" s="779" t="s"/>
      <c r="Y39" s="779" t="s"/>
      <c r="Z39" s="779" t="s"/>
      <c r="AA39" s="779" t="s"/>
      <c r="AB39" s="779" t="s"/>
      <c r="AC39" s="779" t="s"/>
    </row>
    <row r="40" spans="1:29" ht="32" customHeight="true">
      <c r="A40" s="780">
        <v>6</v>
      </c>
      <c r="B40" s="821" t="s">
        <v>2141</v>
      </c>
      <c r="C40" s="822" t="s"/>
      <c r="D40" s="822" t="s"/>
      <c r="E40" s="822" t="s"/>
      <c r="F40" s="822" t="s"/>
      <c r="G40" s="822" t="s"/>
      <c r="H40" s="822" t="s"/>
      <c r="I40" s="822">
        <v>0</v>
      </c>
      <c r="J40" s="822">
        <v>166.48</v>
      </c>
      <c r="K40" s="823" t="s">
        <v>654</v>
      </c>
      <c r="L40" s="823">
        <f>=361700/10000</f>
        <v>36.17</v>
      </c>
      <c r="M40" s="822" t="s">
        <v>654</v>
      </c>
      <c r="N40" s="822">
        <v>0</v>
      </c>
      <c r="O40" s="863" t="s"/>
      <c r="P40" s="837" t="s"/>
      <c r="Q40" s="779" t="s"/>
      <c r="R40" s="779" t="s"/>
      <c r="S40" s="779" t="s"/>
      <c r="T40" s="779" t="s"/>
      <c r="U40" s="846" t="s"/>
      <c r="V40" s="779" t="s"/>
      <c r="W40" s="846" t="s"/>
      <c r="X40" s="860" t="s"/>
      <c r="Y40" s="779" t="s"/>
      <c r="Z40" s="779" t="s"/>
      <c r="AA40" s="779" t="s"/>
      <c r="AB40" s="779" t="s"/>
      <c r="AC40" s="779" t="s"/>
    </row>
    <row r="41" spans="1:29" ht="32" customHeight="true">
      <c r="A41" s="780">
        <v>7</v>
      </c>
      <c r="B41" s="821" t="s">
        <v>2142</v>
      </c>
      <c r="C41" s="822" t="s"/>
      <c r="D41" s="822" t="s"/>
      <c r="E41" s="822" t="s"/>
      <c r="F41" s="822" t="s"/>
      <c r="G41" s="822" t="s"/>
      <c r="H41" s="822" t="s"/>
      <c r="I41" s="822">
        <v>0</v>
      </c>
      <c r="J41" s="822">
        <f>=2601.3-324.23-554.2</f>
        <v>1722.87</v>
      </c>
      <c r="K41" s="823">
        <v>0</v>
      </c>
      <c r="L41" s="823">
        <v>0</v>
      </c>
      <c r="M41" s="822" t="s">
        <v>654</v>
      </c>
      <c r="N41" s="822" t="s">
        <v>654</v>
      </c>
      <c r="O41" s="863" t="s"/>
      <c r="P41" s="837" t="s"/>
      <c r="Q41" s="779" t="s"/>
      <c r="R41" s="779" t="s"/>
      <c r="S41" s="779" t="s"/>
      <c r="T41" s="779" t="s"/>
      <c r="U41" s="779" t="s"/>
      <c r="V41" s="779" t="s"/>
      <c r="W41" s="779" t="s"/>
      <c r="X41" s="779" t="s"/>
      <c r="Y41" s="779" t="s"/>
      <c r="Z41" s="779" t="s"/>
      <c r="AA41" s="779" t="s"/>
      <c r="AB41" s="779" t="s"/>
      <c r="AC41" s="779" t="s"/>
    </row>
    <row r="42" spans="1:29" ht="32" customHeight="true">
      <c r="A42" s="780" t="s">
        <v>2143</v>
      </c>
      <c r="B42" s="821" t="s">
        <v>466</v>
      </c>
      <c r="C42" s="822" t="s"/>
      <c r="D42" s="822" t="s"/>
      <c r="E42" s="822" t="s"/>
      <c r="F42" s="822" t="s"/>
      <c r="G42" s="822" t="s"/>
      <c r="H42" s="822" t="s"/>
      <c r="I42" s="822">
        <v>0</v>
      </c>
      <c r="J42" s="822">
        <v>207.8</v>
      </c>
      <c r="K42" s="823">
        <v>0</v>
      </c>
      <c r="L42" s="823">
        <v>0</v>
      </c>
      <c r="M42" s="822">
        <v>205.27</v>
      </c>
      <c r="N42" s="822" t="s"/>
      <c r="O42" s="863" t="s"/>
      <c r="P42" s="837" t="s"/>
      <c r="Q42" s="779" t="s"/>
      <c r="R42" s="779" t="s"/>
      <c r="S42" s="779" t="s"/>
      <c r="T42" s="779" t="s"/>
      <c r="U42" s="779" t="s"/>
      <c r="V42" s="779" t="s"/>
      <c r="W42" s="779" t="s"/>
      <c r="X42" s="779" t="s"/>
      <c r="Y42" s="779" t="s"/>
      <c r="Z42" s="779" t="s"/>
      <c r="AA42" s="779" t="s"/>
      <c r="AB42" s="779" t="s"/>
      <c r="AC42" s="779" t="s"/>
    </row>
    <row r="43" spans="1:29" ht="32" customHeight="true">
      <c r="A43" s="864" t="s"/>
      <c r="B43" s="865" t="s"/>
      <c r="C43" s="779" t="s"/>
      <c r="D43" s="779" t="s"/>
      <c r="E43" s="779" t="s"/>
      <c r="F43" s="779" t="s"/>
      <c r="G43" s="779" t="s"/>
      <c r="H43" s="779" t="s"/>
      <c r="I43" s="779" t="s"/>
      <c r="J43" s="779" t="s"/>
      <c r="K43" s="866" t="s"/>
      <c r="L43" s="866" t="s"/>
      <c r="M43" s="779" t="s"/>
      <c r="N43" s="779" t="s"/>
      <c r="O43" s="867" t="s"/>
      <c r="P43" s="779" t="s"/>
      <c r="Q43" s="779" t="s"/>
      <c r="R43" s="779" t="s"/>
      <c r="S43" s="779" t="s"/>
      <c r="T43" s="779" t="s"/>
      <c r="U43" s="779" t="s"/>
      <c r="V43" s="779" t="s"/>
      <c r="W43" s="779" t="s"/>
      <c r="X43" s="779" t="s"/>
      <c r="Y43" s="779" t="s"/>
      <c r="Z43" s="779" t="s"/>
      <c r="AA43" s="779" t="s"/>
      <c r="AB43" s="779" t="s"/>
      <c r="AC43" s="779" t="s"/>
    </row>
    <row r="44" spans="1:29" customHeight="false">
      <c r="A44" s="779" t="s"/>
      <c r="B44" s="868" t="s"/>
      <c r="C44" s="779" t="s"/>
      <c r="D44" s="779" t="s"/>
      <c r="E44" s="779" t="s"/>
      <c r="F44" s="779" t="s"/>
      <c r="G44" s="779" t="s"/>
      <c r="H44" s="779" t="s"/>
      <c r="I44" s="779" t="s"/>
      <c r="J44" s="779" t="s"/>
      <c r="K44" s="866" t="s"/>
      <c r="L44" s="866" t="s"/>
      <c r="M44" s="779" t="s"/>
      <c r="N44" s="779" t="s"/>
      <c r="O44" s="869" t="s"/>
      <c r="P44" s="870" t="s"/>
      <c r="Q44" s="779" t="s"/>
      <c r="R44" s="779" t="s"/>
      <c r="S44" s="779" t="s"/>
      <c r="T44" s="779" t="s"/>
      <c r="U44" s="779" t="s"/>
      <c r="V44" s="779" t="s"/>
      <c r="W44" s="779" t="s"/>
      <c r="X44" s="779" t="s"/>
      <c r="Y44" s="779" t="s"/>
      <c r="Z44" s="779" t="s"/>
      <c r="AA44" s="779" t="s"/>
      <c r="AB44" s="779" t="s"/>
      <c r="AC44" s="779" t="s"/>
    </row>
    <row r="45" spans="1:29" customHeight="false">
      <c r="A45" s="779" t="s"/>
      <c r="B45" s="868" t="s"/>
      <c r="C45" s="779" t="s"/>
      <c r="D45" s="779" t="s"/>
      <c r="E45" s="779" t="s"/>
      <c r="F45" s="779" t="s"/>
      <c r="G45" s="779" t="s"/>
      <c r="H45" s="779" t="s"/>
      <c r="I45" s="779" t="s"/>
      <c r="J45" s="779" t="s"/>
      <c r="K45" s="866" t="s"/>
      <c r="L45" s="866" t="s"/>
      <c r="M45" s="779" t="s"/>
      <c r="N45" s="779" t="s"/>
      <c r="O45" s="869" t="s"/>
      <c r="P45" s="779" t="s"/>
      <c r="Q45" s="779" t="s"/>
      <c r="R45" s="779" t="s"/>
      <c r="S45" s="779" t="s"/>
      <c r="T45" s="779" t="s"/>
      <c r="U45" s="779" t="s"/>
      <c r="V45" s="779" t="s"/>
      <c r="W45" s="779" t="s"/>
      <c r="X45" s="779" t="s"/>
      <c r="Y45" s="779" t="s"/>
      <c r="Z45" s="779" t="s"/>
      <c r="AA45" s="779" t="s"/>
      <c r="AB45" s="779" t="s"/>
      <c r="AC45" s="779" t="s"/>
    </row>
    <row r="46" spans="1:29" customHeight="false">
      <c r="A46" s="779" t="s"/>
      <c r="B46" s="868" t="s"/>
      <c r="C46" s="779" t="s"/>
      <c r="D46" s="779" t="s"/>
      <c r="E46" s="779" t="s"/>
      <c r="F46" s="779" t="s"/>
      <c r="G46" s="779" t="s"/>
      <c r="H46" s="779" t="s"/>
      <c r="I46" s="779" t="s"/>
      <c r="J46" s="779" t="s"/>
      <c r="K46" s="866" t="s"/>
      <c r="L46" s="866" t="s"/>
      <c r="M46" s="779" t="s"/>
      <c r="N46" s="779" t="s"/>
      <c r="O46" s="869" t="s"/>
      <c r="P46" s="779" t="s"/>
      <c r="Q46" s="779" t="s"/>
      <c r="R46" s="779" t="s"/>
      <c r="S46" s="779" t="s"/>
      <c r="T46" s="779" t="s"/>
      <c r="U46" s="779" t="s"/>
      <c r="V46" s="779" t="s"/>
      <c r="W46" s="779" t="s"/>
      <c r="X46" s="779" t="s"/>
      <c r="Y46" s="779" t="s"/>
      <c r="Z46" s="779" t="s"/>
      <c r="AA46" s="779" t="s"/>
      <c r="AB46" s="779" t="s"/>
      <c r="AC46" s="779" t="s"/>
    </row>
    <row r="47" spans="1:29" customHeight="false">
      <c r="A47" s="779" t="s"/>
      <c r="B47" s="868" t="s"/>
      <c r="C47" s="779" t="s"/>
      <c r="D47" s="779" t="s"/>
      <c r="E47" s="779" t="s"/>
      <c r="F47" s="779" t="s"/>
      <c r="G47" s="779" t="s"/>
      <c r="H47" s="779" t="s"/>
      <c r="I47" s="779" t="s"/>
      <c r="J47" s="779" t="s"/>
      <c r="K47" s="866" t="s"/>
      <c r="L47" s="866" t="s"/>
      <c r="M47" s="779" t="s"/>
      <c r="N47" s="779" t="s"/>
      <c r="O47" s="869" t="s"/>
      <c r="P47" s="779" t="s"/>
      <c r="Q47" s="779" t="s"/>
      <c r="R47" s="779" t="s"/>
      <c r="S47" s="779" t="s"/>
      <c r="T47" s="779" t="s"/>
      <c r="U47" s="779" t="s"/>
      <c r="V47" s="779" t="s"/>
      <c r="W47" s="779" t="s"/>
      <c r="X47" s="779" t="s"/>
      <c r="Y47" s="779" t="s"/>
      <c r="Z47" s="779" t="s"/>
      <c r="AA47" s="779" t="s"/>
      <c r="AB47" s="779" t="s"/>
      <c r="AC47" s="779" t="s"/>
    </row>
    <row r="48" spans="1:29" customHeight="false">
      <c r="A48" s="779" t="s"/>
      <c r="B48" s="868" t="s"/>
      <c r="C48" s="779" t="s"/>
      <c r="D48" s="779" t="s"/>
      <c r="E48" s="779" t="s"/>
      <c r="F48" s="779" t="s"/>
      <c r="G48" s="779" t="s"/>
      <c r="H48" s="779" t="s"/>
      <c r="I48" s="779" t="s"/>
      <c r="J48" s="779" t="s"/>
      <c r="K48" s="866" t="s"/>
      <c r="L48" s="866" t="s"/>
      <c r="M48" s="779" t="s"/>
      <c r="N48" s="779" t="s"/>
      <c r="O48" s="869" t="s"/>
      <c r="P48" s="779" t="s"/>
      <c r="Q48" s="779" t="s"/>
      <c r="R48" s="779" t="s"/>
      <c r="S48" s="779" t="s"/>
      <c r="T48" s="779" t="s"/>
      <c r="U48" s="779" t="s"/>
      <c r="V48" s="779" t="s"/>
      <c r="W48" s="779" t="s"/>
      <c r="X48" s="779" t="s"/>
      <c r="Y48" s="779" t="s"/>
      <c r="Z48" s="779" t="s"/>
      <c r="AA48" s="779" t="s"/>
      <c r="AB48" s="779" t="s"/>
      <c r="AC48" s="779" t="s"/>
    </row>
    <row r="49" spans="1:29" customHeight="false">
      <c r="A49" s="779" t="s"/>
      <c r="B49" s="868" t="s"/>
      <c r="C49" s="779" t="s"/>
      <c r="D49" s="779" t="s"/>
      <c r="E49" s="779" t="s"/>
      <c r="F49" s="779" t="s"/>
      <c r="G49" s="779" t="s"/>
      <c r="H49" s="779" t="s"/>
      <c r="I49" s="779" t="s"/>
      <c r="J49" s="779" t="s"/>
      <c r="K49" s="866" t="s"/>
      <c r="L49" s="866" t="s"/>
      <c r="M49" s="779" t="s"/>
      <c r="N49" s="779" t="s"/>
      <c r="O49" s="869" t="s"/>
      <c r="P49" s="779" t="s"/>
      <c r="Q49" s="779" t="s"/>
      <c r="R49" s="779" t="s"/>
      <c r="S49" s="779" t="s"/>
      <c r="T49" s="779" t="s"/>
      <c r="U49" s="779" t="s"/>
      <c r="V49" s="779" t="s"/>
      <c r="W49" s="779" t="s"/>
      <c r="X49" s="779" t="s"/>
      <c r="Y49" s="779" t="s"/>
      <c r="Z49" s="779" t="s"/>
      <c r="AA49" s="779" t="s"/>
      <c r="AB49" s="779" t="s"/>
      <c r="AC49" s="779" t="s"/>
    </row>
    <row r="50" spans="1:29" customHeight="false">
      <c r="A50" s="779" t="s"/>
      <c r="B50" s="868" t="s"/>
      <c r="C50" s="779" t="s"/>
      <c r="D50" s="779" t="s"/>
      <c r="E50" s="779" t="s"/>
      <c r="F50" s="779" t="s"/>
      <c r="G50" s="779" t="s"/>
      <c r="H50" s="779" t="s"/>
      <c r="I50" s="779" t="s"/>
      <c r="J50" s="779" t="s"/>
      <c r="K50" s="866" t="s"/>
      <c r="L50" s="866" t="s"/>
      <c r="M50" s="779" t="s"/>
      <c r="N50" s="779" t="s"/>
      <c r="O50" s="869" t="s"/>
      <c r="P50" s="779" t="s"/>
      <c r="Q50" s="779" t="s"/>
      <c r="R50" s="779" t="s"/>
      <c r="S50" s="779" t="s"/>
      <c r="T50" s="779" t="s"/>
      <c r="U50" s="779" t="s"/>
      <c r="V50" s="779" t="s"/>
      <c r="W50" s="779" t="s"/>
      <c r="X50" s="779" t="s"/>
      <c r="Y50" s="779" t="s"/>
      <c r="Z50" s="779" t="s"/>
      <c r="AA50" s="779" t="s"/>
      <c r="AB50" s="779" t="s"/>
      <c r="AC50" s="779" t="s"/>
    </row>
    <row r="51" spans="1:29" customHeight="false">
      <c r="A51" s="779" t="s"/>
      <c r="B51" s="868" t="s"/>
      <c r="C51" s="779" t="s"/>
      <c r="D51" s="779" t="s"/>
      <c r="E51" s="779" t="s"/>
      <c r="F51" s="779" t="s"/>
      <c r="G51" s="779" t="s"/>
      <c r="H51" s="779" t="s"/>
      <c r="I51" s="779" t="s"/>
      <c r="J51" s="779" t="s"/>
      <c r="K51" s="866" t="s"/>
      <c r="L51" s="866" t="s"/>
      <c r="M51" s="779" t="s"/>
      <c r="N51" s="779" t="s"/>
      <c r="O51" s="779" t="s"/>
      <c r="P51" s="779" t="s"/>
      <c r="Q51" s="779" t="s"/>
      <c r="R51" s="779" t="s"/>
      <c r="S51" s="779" t="s"/>
      <c r="T51" s="779" t="s"/>
      <c r="U51" s="779" t="s"/>
      <c r="V51" s="779" t="s"/>
      <c r="W51" s="779" t="s"/>
      <c r="X51" s="779" t="s"/>
      <c r="Y51" s="779" t="s"/>
      <c r="Z51" s="779" t="s"/>
      <c r="AA51" s="779" t="s"/>
      <c r="AB51" s="779" t="s"/>
      <c r="AC51" s="779" t="s"/>
    </row>
    <row r="52" spans="1:29" customHeight="false">
      <c r="A52" s="779" t="s"/>
      <c r="B52" s="868" t="s"/>
      <c r="C52" s="779" t="s"/>
      <c r="D52" s="779" t="s"/>
      <c r="E52" s="779" t="s"/>
      <c r="F52" s="779" t="s"/>
      <c r="G52" s="779" t="s"/>
      <c r="H52" s="779" t="s"/>
      <c r="I52" s="779" t="s"/>
      <c r="J52" s="779" t="s"/>
      <c r="K52" s="866" t="s"/>
      <c r="L52" s="866" t="s"/>
      <c r="M52" s="779" t="s"/>
      <c r="N52" s="779" t="s"/>
      <c r="O52" s="869" t="s"/>
      <c r="P52" s="779" t="s"/>
      <c r="Q52" s="779" t="s"/>
      <c r="R52" s="779" t="s"/>
      <c r="S52" s="779" t="s"/>
      <c r="T52" s="779" t="s"/>
      <c r="U52" s="779" t="s"/>
      <c r="V52" s="779" t="s"/>
      <c r="W52" s="779" t="s"/>
      <c r="X52" s="779" t="s"/>
      <c r="Y52" s="779" t="s"/>
      <c r="Z52" s="779" t="s"/>
      <c r="AA52" s="779" t="s"/>
      <c r="AB52" s="779" t="s"/>
      <c r="AC52" s="779" t="s"/>
    </row>
    <row r="53" spans="1:29" customHeight="false">
      <c r="A53" s="779" t="s"/>
      <c r="B53" s="868" t="s"/>
      <c r="C53" s="779" t="s"/>
      <c r="D53" s="779" t="s"/>
      <c r="E53" s="779" t="s"/>
      <c r="F53" s="779" t="s"/>
      <c r="G53" s="779" t="s"/>
      <c r="H53" s="779" t="s"/>
      <c r="I53" s="779" t="s"/>
      <c r="J53" s="779" t="s"/>
      <c r="K53" s="866" t="s"/>
      <c r="L53" s="866" t="s"/>
      <c r="M53" s="779" t="s"/>
      <c r="N53" s="779" t="s"/>
      <c r="O53" s="869" t="s"/>
      <c r="P53" s="779" t="s"/>
      <c r="Q53" s="779" t="s"/>
      <c r="R53" s="779" t="s"/>
      <c r="S53" s="779" t="s"/>
      <c r="T53" s="779" t="s"/>
      <c r="U53" s="779" t="s"/>
      <c r="V53" s="779" t="s"/>
      <c r="W53" s="779" t="s"/>
      <c r="X53" s="779" t="s"/>
      <c r="Y53" s="779" t="s"/>
      <c r="Z53" s="779" t="s"/>
      <c r="AA53" s="779" t="s"/>
      <c r="AB53" s="779" t="s"/>
      <c r="AC53" s="779" t="s"/>
    </row>
    <row r="54" spans="1:29" customHeight="false">
      <c r="A54" s="779" t="s"/>
      <c r="B54" s="868" t="s"/>
      <c r="C54" s="779" t="s"/>
      <c r="D54" s="779" t="s"/>
      <c r="E54" s="779" t="s"/>
      <c r="F54" s="779" t="s"/>
      <c r="G54" s="779" t="s"/>
      <c r="H54" s="779" t="s"/>
      <c r="I54" s="779" t="s"/>
      <c r="J54" s="779" t="s"/>
      <c r="K54" s="866" t="s"/>
      <c r="L54" s="866" t="s"/>
      <c r="M54" s="779" t="s"/>
      <c r="N54" s="779" t="s"/>
      <c r="O54" s="869" t="s"/>
      <c r="P54" s="779" t="s"/>
      <c r="Q54" s="779" t="s"/>
      <c r="R54" s="779" t="s"/>
      <c r="S54" s="779" t="s"/>
      <c r="T54" s="779" t="s"/>
      <c r="U54" s="779" t="s"/>
      <c r="V54" s="779" t="s"/>
      <c r="W54" s="779" t="s"/>
      <c r="X54" s="779" t="s"/>
      <c r="Y54" s="779" t="s"/>
      <c r="Z54" s="779" t="s"/>
      <c r="AA54" s="779" t="s"/>
      <c r="AB54" s="779" t="s"/>
      <c r="AC54" s="779" t="s"/>
    </row>
    <row r="55" spans="1:29" customHeight="false">
      <c r="A55" s="779" t="s"/>
      <c r="B55" s="868" t="s"/>
      <c r="C55" s="779" t="s"/>
      <c r="D55" s="779" t="s"/>
      <c r="E55" s="779" t="s"/>
      <c r="F55" s="779" t="s"/>
      <c r="G55" s="779" t="s"/>
      <c r="H55" s="779" t="s"/>
      <c r="I55" s="779" t="s"/>
      <c r="J55" s="779" t="s"/>
      <c r="K55" s="866" t="s"/>
      <c r="L55" s="866" t="s"/>
      <c r="M55" s="779" t="s"/>
      <c r="N55" s="779" t="s"/>
      <c r="O55" s="869" t="s"/>
      <c r="P55" s="779" t="s"/>
      <c r="Q55" s="779" t="s"/>
      <c r="R55" s="779" t="s"/>
      <c r="S55" s="779" t="s"/>
      <c r="T55" s="779" t="s"/>
      <c r="U55" s="779" t="s"/>
      <c r="V55" s="779" t="s"/>
      <c r="W55" s="779" t="s"/>
      <c r="X55" s="779" t="s"/>
      <c r="Y55" s="779" t="s"/>
      <c r="Z55" s="779" t="s"/>
      <c r="AA55" s="779" t="s"/>
      <c r="AB55" s="779" t="s"/>
      <c r="AC55" s="779" t="s"/>
    </row>
    <row r="56" spans="1:29" customHeight="false">
      <c r="A56" s="779" t="s"/>
      <c r="B56" s="779" t="s"/>
      <c r="C56" s="779" t="s"/>
      <c r="D56" s="779" t="s"/>
      <c r="E56" s="779" t="s"/>
      <c r="F56" s="779" t="s"/>
      <c r="G56" s="779" t="s"/>
      <c r="H56" s="779" t="s"/>
      <c r="I56" s="779" t="s"/>
      <c r="J56" s="779" t="s"/>
      <c r="K56" s="866" t="s"/>
      <c r="L56" s="866" t="s"/>
      <c r="M56" s="779" t="s"/>
      <c r="N56" s="779" t="s"/>
      <c r="O56" s="869" t="s"/>
      <c r="P56" s="779" t="s"/>
      <c r="Q56" s="779" t="s"/>
      <c r="R56" s="779" t="s"/>
      <c r="S56" s="779" t="s"/>
      <c r="T56" s="779" t="s"/>
      <c r="U56" s="779" t="s"/>
      <c r="V56" s="779" t="s"/>
      <c r="W56" s="779" t="s"/>
      <c r="X56" s="779" t="s"/>
      <c r="Y56" s="779" t="s"/>
      <c r="Z56" s="779" t="s"/>
      <c r="AA56" s="779" t="s"/>
      <c r="AB56" s="779" t="s"/>
      <c r="AC56" s="779" t="s"/>
    </row>
    <row r="57" spans="1:29" customHeight="false">
      <c r="A57" s="779" t="s"/>
      <c r="B57" s="779" t="s"/>
      <c r="C57" s="779" t="s"/>
      <c r="D57" s="779" t="s"/>
      <c r="E57" s="779" t="s"/>
      <c r="F57" s="779" t="s"/>
      <c r="G57" s="779" t="s"/>
      <c r="H57" s="779" t="s"/>
      <c r="I57" s="779" t="s"/>
      <c r="J57" s="779" t="s"/>
      <c r="K57" s="866" t="s"/>
      <c r="L57" s="866" t="s"/>
      <c r="M57" s="779" t="s"/>
      <c r="N57" s="779" t="s"/>
      <c r="O57" s="869" t="s"/>
      <c r="P57" s="779" t="s"/>
      <c r="Q57" s="779" t="s"/>
      <c r="R57" s="779" t="s"/>
      <c r="S57" s="779" t="s"/>
      <c r="T57" s="779" t="s"/>
      <c r="U57" s="779" t="s"/>
      <c r="V57" s="779" t="s"/>
      <c r="W57" s="779" t="s"/>
      <c r="X57" s="779" t="s"/>
      <c r="Y57" s="779" t="s"/>
      <c r="Z57" s="779" t="s"/>
      <c r="AA57" s="779" t="s"/>
      <c r="AB57" s="779" t="s"/>
      <c r="AC57" s="779" t="s"/>
    </row>
    <row r="58" spans="1:29" customHeight="false">
      <c r="A58" s="779" t="s"/>
      <c r="B58" s="779" t="s"/>
      <c r="C58" s="779" t="s"/>
      <c r="D58" s="779" t="s"/>
      <c r="E58" s="779" t="s"/>
      <c r="F58" s="779" t="s"/>
      <c r="G58" s="779" t="s"/>
      <c r="H58" s="779" t="s"/>
      <c r="I58" s="779" t="s"/>
      <c r="J58" s="779" t="s"/>
      <c r="K58" s="866" t="s"/>
      <c r="L58" s="866" t="s"/>
      <c r="M58" s="779" t="s"/>
      <c r="N58" s="779" t="s"/>
      <c r="O58" s="869" t="s"/>
      <c r="P58" s="779" t="s"/>
      <c r="Q58" s="779" t="s"/>
      <c r="R58" s="779" t="s"/>
      <c r="S58" s="779" t="s"/>
      <c r="T58" s="779" t="s"/>
      <c r="U58" s="779" t="s"/>
      <c r="V58" s="779" t="s"/>
      <c r="W58" s="779" t="s"/>
      <c r="X58" s="779" t="s"/>
      <c r="Y58" s="779" t="s"/>
      <c r="Z58" s="779" t="s"/>
      <c r="AA58" s="779" t="s"/>
      <c r="AB58" s="779" t="s"/>
      <c r="AC58" s="779" t="s"/>
    </row>
    <row r="59" spans="1:29" customHeight="false">
      <c r="A59" s="779" t="s"/>
      <c r="B59" s="779" t="s"/>
      <c r="C59" s="779" t="s"/>
      <c r="D59" s="779" t="s"/>
      <c r="E59" s="779" t="s"/>
      <c r="F59" s="779" t="s"/>
      <c r="G59" s="779" t="s"/>
      <c r="H59" s="779" t="s"/>
      <c r="I59" s="779" t="s"/>
      <c r="J59" s="779" t="s"/>
      <c r="K59" s="866" t="s"/>
      <c r="L59" s="866" t="s"/>
      <c r="M59" s="779" t="s"/>
      <c r="N59" s="779" t="s"/>
      <c r="O59" s="869" t="s"/>
      <c r="P59" s="779" t="s"/>
      <c r="Q59" s="779" t="s"/>
      <c r="R59" s="779" t="s"/>
      <c r="S59" s="779" t="s"/>
      <c r="T59" s="779" t="s"/>
      <c r="U59" s="779" t="s"/>
      <c r="V59" s="779" t="s"/>
      <c r="W59" s="779" t="s"/>
      <c r="X59" s="779" t="s"/>
      <c r="Y59" s="779" t="s"/>
      <c r="Z59" s="779" t="s"/>
      <c r="AA59" s="779" t="s"/>
      <c r="AB59" s="779" t="s"/>
      <c r="AC59" s="779" t="s"/>
    </row>
    <row r="60" spans="1:29" customHeight="false">
      <c r="A60" s="779" t="s"/>
      <c r="B60" s="779" t="s"/>
      <c r="C60" s="779" t="s"/>
      <c r="D60" s="779" t="s"/>
      <c r="E60" s="779" t="s"/>
      <c r="F60" s="779" t="s"/>
      <c r="G60" s="779" t="s"/>
      <c r="H60" s="779" t="s"/>
      <c r="I60" s="779" t="s"/>
      <c r="J60" s="779" t="s"/>
      <c r="K60" s="866" t="s"/>
      <c r="L60" s="866" t="s"/>
      <c r="M60" s="779" t="s"/>
      <c r="N60" s="779" t="s"/>
      <c r="O60" s="869" t="s"/>
      <c r="P60" s="779" t="s"/>
      <c r="Q60" s="779" t="s"/>
      <c r="R60" s="779" t="s"/>
      <c r="S60" s="779" t="s"/>
      <c r="T60" s="779" t="s"/>
      <c r="U60" s="779" t="s"/>
      <c r="V60" s="779" t="s"/>
      <c r="W60" s="779" t="s"/>
      <c r="X60" s="779" t="s"/>
      <c r="Y60" s="779" t="s"/>
      <c r="Z60" s="779" t="s"/>
      <c r="AA60" s="779" t="s"/>
      <c r="AB60" s="779" t="s"/>
      <c r="AC60" s="779" t="s"/>
    </row>
    <row r="61" spans="1:29" customHeight="false">
      <c r="A61" s="779" t="s"/>
      <c r="B61" s="779" t="s"/>
      <c r="C61" s="779" t="s"/>
      <c r="D61" s="779" t="s"/>
      <c r="E61" s="779" t="s"/>
      <c r="F61" s="779" t="s"/>
      <c r="G61" s="779" t="s"/>
      <c r="H61" s="779" t="s"/>
      <c r="I61" s="779" t="s"/>
      <c r="J61" s="779" t="s"/>
      <c r="K61" s="866" t="s"/>
      <c r="L61" s="866" t="s"/>
      <c r="M61" s="779" t="s"/>
      <c r="N61" s="779" t="s"/>
      <c r="O61" s="869" t="s"/>
      <c r="P61" s="779" t="s"/>
      <c r="Q61" s="779" t="s"/>
      <c r="R61" s="779" t="s"/>
      <c r="S61" s="779" t="s"/>
      <c r="T61" s="779" t="s"/>
      <c r="U61" s="779" t="s"/>
      <c r="V61" s="779" t="s"/>
      <c r="W61" s="779" t="s"/>
      <c r="X61" s="779" t="s"/>
      <c r="Y61" s="779" t="s"/>
      <c r="Z61" s="779" t="s"/>
      <c r="AA61" s="779" t="s"/>
      <c r="AB61" s="779" t="s"/>
      <c r="AC61" s="779" t="s"/>
    </row>
    <row r="62" spans="1:29" customHeight="false">
      <c r="A62" s="779" t="s"/>
      <c r="B62" s="779" t="s"/>
      <c r="C62" s="779" t="s"/>
      <c r="D62" s="779" t="s"/>
      <c r="E62" s="779" t="s"/>
      <c r="F62" s="779" t="s"/>
      <c r="G62" s="779" t="s"/>
      <c r="H62" s="779" t="s"/>
      <c r="I62" s="779" t="s"/>
      <c r="J62" s="779" t="s"/>
      <c r="K62" s="866" t="s"/>
      <c r="L62" s="866" t="s"/>
      <c r="M62" s="779" t="s"/>
      <c r="N62" s="779" t="s"/>
      <c r="O62" s="869" t="s"/>
      <c r="P62" s="779" t="s"/>
      <c r="Q62" s="779" t="s"/>
      <c r="R62" s="779" t="s"/>
      <c r="S62" s="779" t="s"/>
      <c r="T62" s="779" t="s"/>
      <c r="U62" s="779" t="s"/>
      <c r="V62" s="779" t="s"/>
      <c r="W62" s="779" t="s"/>
      <c r="X62" s="779" t="s"/>
      <c r="Y62" s="779" t="s"/>
      <c r="Z62" s="779" t="s"/>
      <c r="AA62" s="779" t="s"/>
      <c r="AB62" s="779" t="s"/>
      <c r="AC62" s="779" t="s"/>
    </row>
    <row r="63" spans="1:29" customHeight="false">
      <c r="A63" s="779" t="s"/>
      <c r="B63" s="779" t="s"/>
      <c r="C63" s="779" t="s"/>
      <c r="D63" s="779" t="s"/>
      <c r="E63" s="779" t="s"/>
      <c r="F63" s="779" t="s"/>
      <c r="G63" s="779" t="s"/>
      <c r="H63" s="779" t="s"/>
      <c r="I63" s="779" t="s"/>
      <c r="J63" s="779" t="s"/>
      <c r="K63" s="866" t="s"/>
      <c r="L63" s="866" t="s"/>
      <c r="M63" s="779" t="s"/>
      <c r="N63" s="779" t="s"/>
      <c r="O63" s="869" t="s"/>
      <c r="P63" s="779" t="s"/>
      <c r="Q63" s="779" t="s"/>
      <c r="R63" s="779" t="s"/>
      <c r="S63" s="779" t="s"/>
      <c r="T63" s="779" t="s"/>
      <c r="U63" s="779" t="s"/>
      <c r="V63" s="779" t="s"/>
      <c r="W63" s="779" t="s"/>
      <c r="X63" s="779" t="s"/>
      <c r="Y63" s="779" t="s"/>
      <c r="Z63" s="779" t="s"/>
      <c r="AA63" s="779" t="s"/>
      <c r="AB63" s="779" t="s"/>
      <c r="AC63" s="779" t="s"/>
    </row>
    <row r="64" spans="1:29" customHeight="false">
      <c r="A64" s="779" t="s"/>
      <c r="B64" s="779" t="s"/>
      <c r="C64" s="779" t="s"/>
      <c r="D64" s="779" t="s"/>
      <c r="E64" s="779" t="s"/>
      <c r="F64" s="779" t="s"/>
      <c r="G64" s="779" t="s"/>
      <c r="H64" s="779" t="s"/>
      <c r="I64" s="779" t="s"/>
      <c r="J64" s="779" t="s"/>
      <c r="K64" s="866" t="s"/>
      <c r="L64" s="866" t="s"/>
      <c r="M64" s="779" t="s"/>
      <c r="N64" s="779" t="s"/>
      <c r="O64" s="869" t="s"/>
      <c r="P64" s="779" t="s"/>
      <c r="Q64" s="779" t="s"/>
      <c r="R64" s="779" t="s"/>
      <c r="S64" s="779" t="s"/>
      <c r="T64" s="779" t="s"/>
      <c r="U64" s="779" t="s"/>
      <c r="V64" s="779" t="s"/>
      <c r="W64" s="779" t="s"/>
      <c r="X64" s="779" t="s"/>
      <c r="Y64" s="779" t="s"/>
      <c r="Z64" s="779" t="s"/>
      <c r="AA64" s="779" t="s"/>
      <c r="AB64" s="779" t="s"/>
      <c r="AC64" s="779" t="s"/>
    </row>
    <row r="65" spans="1:29" customHeight="false">
      <c r="A65" s="779" t="s"/>
      <c r="B65" s="779" t="s"/>
      <c r="C65" s="779" t="s"/>
      <c r="D65" s="779" t="s"/>
      <c r="E65" s="779" t="s"/>
      <c r="F65" s="779" t="s"/>
      <c r="G65" s="779" t="s"/>
      <c r="H65" s="779" t="s"/>
      <c r="I65" s="779" t="s"/>
      <c r="J65" s="779" t="s"/>
      <c r="K65" s="866" t="s"/>
      <c r="L65" s="866" t="s"/>
      <c r="M65" s="779" t="s"/>
      <c r="N65" s="779" t="s"/>
      <c r="O65" s="869" t="s"/>
      <c r="P65" s="779" t="s"/>
      <c r="Q65" s="779" t="s"/>
      <c r="R65" s="779" t="s"/>
      <c r="S65" s="779" t="s"/>
      <c r="T65" s="779" t="s"/>
      <c r="U65" s="779" t="s"/>
      <c r="V65" s="779" t="s"/>
      <c r="W65" s="779" t="s"/>
      <c r="X65" s="779" t="s"/>
      <c r="Y65" s="779" t="s"/>
      <c r="Z65" s="779" t="s"/>
      <c r="AA65" s="779" t="s"/>
      <c r="AB65" s="779" t="s"/>
      <c r="AC65" s="779" t="s"/>
    </row>
    <row r="66" spans="1:29" customHeight="false">
      <c r="A66" s="779" t="s"/>
      <c r="B66" s="779" t="s"/>
      <c r="C66" s="779" t="s"/>
      <c r="D66" s="779" t="s"/>
      <c r="E66" s="779" t="s"/>
      <c r="F66" s="779" t="s"/>
      <c r="G66" s="779" t="s"/>
      <c r="H66" s="779" t="s"/>
      <c r="I66" s="779" t="s"/>
      <c r="J66" s="779" t="s"/>
      <c r="K66" s="866" t="s"/>
      <c r="L66" s="866" t="s"/>
      <c r="M66" s="779" t="s"/>
      <c r="N66" s="779" t="s"/>
      <c r="O66" s="869" t="s"/>
      <c r="P66" s="779" t="s"/>
      <c r="Q66" s="779" t="s"/>
      <c r="R66" s="779" t="s"/>
      <c r="S66" s="779" t="s"/>
      <c r="T66" s="779" t="s"/>
      <c r="U66" s="779" t="s"/>
      <c r="V66" s="779" t="s"/>
      <c r="W66" s="779" t="s"/>
      <c r="X66" s="779" t="s"/>
      <c r="Y66" s="779" t="s"/>
      <c r="Z66" s="779" t="s"/>
      <c r="AA66" s="779" t="s"/>
      <c r="AB66" s="779" t="s"/>
      <c r="AC66" s="779" t="s"/>
    </row>
    <row r="67" spans="1:29" customHeight="false">
      <c r="A67" s="779" t="s"/>
      <c r="B67" s="779" t="s"/>
      <c r="C67" s="779" t="s"/>
      <c r="D67" s="779" t="s"/>
      <c r="E67" s="779" t="s"/>
      <c r="F67" s="779" t="s"/>
      <c r="G67" s="779" t="s"/>
      <c r="H67" s="779" t="s"/>
      <c r="I67" s="779" t="s"/>
      <c r="J67" s="779" t="s"/>
      <c r="K67" s="866" t="s"/>
      <c r="L67" s="866" t="s"/>
      <c r="M67" s="779" t="s"/>
      <c r="N67" s="779" t="s"/>
      <c r="O67" s="869" t="s"/>
      <c r="P67" s="779" t="s"/>
      <c r="Q67" s="779" t="s"/>
      <c r="R67" s="779" t="s"/>
      <c r="S67" s="779" t="s"/>
      <c r="T67" s="779" t="s"/>
      <c r="U67" s="779" t="s"/>
      <c r="V67" s="779" t="s"/>
      <c r="W67" s="779" t="s"/>
      <c r="X67" s="779" t="s"/>
      <c r="Y67" s="779" t="s"/>
      <c r="Z67" s="779" t="s"/>
      <c r="AA67" s="779" t="s"/>
      <c r="AB67" s="779" t="s"/>
      <c r="AC67" s="779" t="s"/>
    </row>
    <row r="68" spans="1:29" customHeight="false">
      <c r="A68" s="779" t="s"/>
      <c r="B68" s="779" t="s"/>
      <c r="C68" s="779" t="s"/>
      <c r="D68" s="779" t="s"/>
      <c r="E68" s="779" t="s"/>
      <c r="F68" s="779" t="s"/>
      <c r="G68" s="779" t="s"/>
      <c r="H68" s="779" t="s"/>
      <c r="I68" s="779" t="s"/>
      <c r="J68" s="779" t="s"/>
      <c r="K68" s="866" t="s"/>
      <c r="L68" s="866" t="s"/>
      <c r="M68" s="779" t="s"/>
      <c r="N68" s="779" t="s"/>
      <c r="O68" s="869" t="s"/>
      <c r="P68" s="779" t="s"/>
      <c r="Q68" s="779" t="s"/>
      <c r="R68" s="779" t="s"/>
      <c r="S68" s="779" t="s"/>
      <c r="T68" s="779" t="s"/>
      <c r="U68" s="779" t="s"/>
      <c r="V68" s="779" t="s"/>
      <c r="W68" s="779" t="s"/>
      <c r="X68" s="779" t="s"/>
      <c r="Y68" s="779" t="s"/>
      <c r="Z68" s="779" t="s"/>
      <c r="AA68" s="779" t="s"/>
      <c r="AB68" s="779" t="s"/>
      <c r="AC68" s="779" t="s"/>
    </row>
    <row r="69" spans="1:29" customHeight="false">
      <c r="A69" s="779" t="s"/>
      <c r="B69" s="779" t="s"/>
      <c r="C69" s="779" t="s"/>
      <c r="D69" s="779" t="s"/>
      <c r="E69" s="779" t="s"/>
      <c r="F69" s="779" t="s"/>
      <c r="G69" s="779" t="s"/>
      <c r="H69" s="779" t="s"/>
      <c r="I69" s="779" t="s"/>
      <c r="J69" s="779" t="s"/>
      <c r="K69" s="866" t="s"/>
      <c r="L69" s="866" t="s"/>
      <c r="M69" s="779" t="s"/>
      <c r="N69" s="779" t="s"/>
      <c r="O69" s="869" t="s"/>
      <c r="P69" s="779" t="s"/>
      <c r="Q69" s="779" t="s"/>
      <c r="R69" s="779" t="s"/>
      <c r="S69" s="779" t="s"/>
      <c r="T69" s="779" t="s"/>
      <c r="U69" s="779" t="s"/>
      <c r="V69" s="779" t="s"/>
      <c r="W69" s="779" t="s"/>
      <c r="X69" s="779" t="s"/>
      <c r="Y69" s="779" t="s"/>
      <c r="Z69" s="779" t="s"/>
      <c r="AA69" s="779" t="s"/>
      <c r="AB69" s="779" t="s"/>
      <c r="AC69" s="779" t="s"/>
    </row>
    <row r="70" spans="1:29" customHeight="false">
      <c r="A70" s="779" t="s"/>
      <c r="B70" s="779" t="s"/>
      <c r="C70" s="779" t="s"/>
      <c r="D70" s="779" t="s"/>
      <c r="E70" s="779" t="s"/>
      <c r="F70" s="779" t="s"/>
      <c r="G70" s="779" t="s"/>
      <c r="H70" s="779" t="s"/>
      <c r="I70" s="779" t="s"/>
      <c r="J70" s="779" t="s"/>
      <c r="K70" s="866" t="s"/>
      <c r="L70" s="866" t="s"/>
      <c r="M70" s="779" t="s"/>
      <c r="N70" s="779" t="s"/>
      <c r="O70" s="869" t="s"/>
      <c r="P70" s="779" t="s"/>
      <c r="Q70" s="779" t="s"/>
      <c r="R70" s="779" t="s"/>
      <c r="S70" s="779" t="s"/>
      <c r="T70" s="779" t="s"/>
      <c r="U70" s="779" t="s"/>
      <c r="V70" s="779" t="s"/>
      <c r="W70" s="779" t="s"/>
      <c r="X70" s="779" t="s"/>
      <c r="Y70" s="779" t="s"/>
      <c r="Z70" s="779" t="s"/>
      <c r="AA70" s="779" t="s"/>
      <c r="AB70" s="779" t="s"/>
      <c r="AC70" s="779" t="s"/>
    </row>
    <row r="71" spans="1:29" customHeight="false">
      <c r="A71" s="779" t="s"/>
      <c r="B71" s="779" t="s"/>
      <c r="C71" s="779" t="s"/>
      <c r="D71" s="779" t="s"/>
      <c r="E71" s="779" t="s"/>
      <c r="F71" s="779" t="s"/>
      <c r="G71" s="779" t="s"/>
      <c r="H71" s="779" t="s"/>
      <c r="I71" s="779" t="s"/>
      <c r="J71" s="779" t="s"/>
      <c r="K71" s="866" t="s"/>
      <c r="L71" s="866" t="s"/>
      <c r="M71" s="779" t="s"/>
      <c r="N71" s="779" t="s"/>
      <c r="O71" s="869" t="s"/>
      <c r="P71" s="779" t="s"/>
      <c r="Q71" s="779" t="s"/>
      <c r="R71" s="779" t="s"/>
      <c r="S71" s="779" t="s"/>
      <c r="T71" s="779" t="s"/>
      <c r="U71" s="779" t="s"/>
      <c r="V71" s="779" t="s"/>
      <c r="W71" s="779" t="s"/>
      <c r="X71" s="779" t="s"/>
      <c r="Y71" s="779" t="s"/>
      <c r="Z71" s="779" t="s"/>
      <c r="AA71" s="779" t="s"/>
      <c r="AB71" s="779" t="s"/>
      <c r="AC71" s="779" t="s"/>
    </row>
    <row r="72" spans="1:29" customHeight="false">
      <c r="A72" s="779" t="s"/>
      <c r="B72" s="779" t="s"/>
      <c r="C72" s="779" t="s"/>
      <c r="D72" s="779" t="s"/>
      <c r="E72" s="779" t="s"/>
      <c r="F72" s="779" t="s"/>
      <c r="G72" s="779" t="s"/>
      <c r="H72" s="779" t="s"/>
      <c r="I72" s="779" t="s"/>
      <c r="J72" s="779" t="s"/>
      <c r="K72" s="866" t="s"/>
      <c r="L72" s="866" t="s"/>
      <c r="M72" s="779" t="s"/>
      <c r="N72" s="779" t="s"/>
      <c r="O72" s="869" t="s"/>
      <c r="P72" s="779" t="s"/>
      <c r="Q72" s="779" t="s"/>
      <c r="R72" s="779" t="s"/>
      <c r="S72" s="779" t="s"/>
      <c r="T72" s="779" t="s"/>
      <c r="U72" s="779" t="s"/>
      <c r="V72" s="779" t="s"/>
      <c r="W72" s="779" t="s"/>
      <c r="X72" s="779" t="s"/>
      <c r="Y72" s="779" t="s"/>
      <c r="Z72" s="779" t="s"/>
      <c r="AA72" s="779" t="s"/>
      <c r="AB72" s="779" t="s"/>
      <c r="AC72" s="779" t="s"/>
    </row>
    <row r="73" spans="1:29" customHeight="false">
      <c r="A73" s="779" t="s"/>
      <c r="B73" s="779" t="s"/>
      <c r="C73" s="779" t="s"/>
      <c r="D73" s="779" t="s"/>
      <c r="E73" s="779" t="s"/>
      <c r="F73" s="779" t="s"/>
      <c r="G73" s="779" t="s"/>
      <c r="H73" s="779" t="s"/>
      <c r="I73" s="779" t="s"/>
      <c r="J73" s="779" t="s"/>
      <c r="K73" s="866" t="s"/>
      <c r="L73" s="866" t="s"/>
      <c r="M73" s="779" t="s"/>
      <c r="N73" s="779" t="s"/>
      <c r="O73" s="869" t="s"/>
      <c r="P73" s="779" t="s"/>
      <c r="Q73" s="779" t="s"/>
      <c r="R73" s="779" t="s"/>
      <c r="S73" s="779" t="s"/>
      <c r="T73" s="779" t="s"/>
      <c r="U73" s="779" t="s"/>
      <c r="V73" s="779" t="s"/>
      <c r="W73" s="779" t="s"/>
      <c r="X73" s="779" t="s"/>
      <c r="Y73" s="779" t="s"/>
      <c r="Z73" s="779" t="s"/>
      <c r="AA73" s="779" t="s"/>
      <c r="AB73" s="779" t="s"/>
      <c r="AC73" s="779" t="s"/>
    </row>
    <row r="74" spans="1:29" customHeight="false">
      <c r="A74" s="779" t="s"/>
      <c r="B74" s="779" t="s"/>
      <c r="C74" s="779" t="s"/>
      <c r="D74" s="779" t="s"/>
      <c r="E74" s="779" t="s"/>
      <c r="F74" s="779" t="s"/>
      <c r="G74" s="779" t="s"/>
      <c r="H74" s="779" t="s"/>
      <c r="I74" s="779" t="s"/>
      <c r="J74" s="779" t="s"/>
      <c r="K74" s="866" t="s"/>
      <c r="L74" s="866" t="s"/>
      <c r="M74" s="779" t="s"/>
      <c r="N74" s="779" t="s"/>
      <c r="O74" s="869" t="s"/>
      <c r="P74" s="779" t="s"/>
      <c r="Q74" s="779" t="s"/>
      <c r="R74" s="779" t="s"/>
      <c r="S74" s="779" t="s"/>
      <c r="T74" s="779" t="s"/>
      <c r="U74" s="779" t="s"/>
      <c r="V74" s="779" t="s"/>
      <c r="W74" s="779" t="s"/>
      <c r="X74" s="779" t="s"/>
      <c r="Y74" s="779" t="s"/>
      <c r="Z74" s="779" t="s"/>
      <c r="AA74" s="779" t="s"/>
      <c r="AB74" s="779" t="s"/>
      <c r="AC74" s="779" t="s"/>
    </row>
    <row r="75" spans="1:29" customHeight="false">
      <c r="A75" s="779" t="s"/>
      <c r="B75" s="779" t="s"/>
      <c r="C75" s="779" t="s"/>
      <c r="D75" s="779" t="s"/>
      <c r="E75" s="779" t="s"/>
      <c r="F75" s="779" t="s"/>
      <c r="G75" s="779" t="s"/>
      <c r="H75" s="779" t="s"/>
      <c r="I75" s="779" t="s"/>
      <c r="J75" s="779" t="s"/>
      <c r="K75" s="866" t="s"/>
      <c r="L75" s="866" t="s"/>
      <c r="M75" s="779" t="s"/>
      <c r="N75" s="779" t="s"/>
      <c r="O75" s="869" t="s"/>
      <c r="P75" s="779" t="s"/>
      <c r="Q75" s="779" t="s"/>
      <c r="R75" s="779" t="s"/>
      <c r="S75" s="779" t="s"/>
      <c r="T75" s="779" t="s"/>
      <c r="U75" s="779" t="s"/>
      <c r="V75" s="779" t="s"/>
      <c r="W75" s="779" t="s"/>
      <c r="X75" s="779" t="s"/>
      <c r="Y75" s="779" t="s"/>
      <c r="Z75" s="779" t="s"/>
      <c r="AA75" s="779" t="s"/>
      <c r="AB75" s="779" t="s"/>
      <c r="AC75" s="779" t="s"/>
    </row>
    <row r="76" spans="1:29" customHeight="false">
      <c r="A76" s="779" t="s"/>
      <c r="B76" s="779" t="s"/>
      <c r="C76" s="779" t="s"/>
      <c r="D76" s="779" t="s"/>
      <c r="E76" s="779" t="s"/>
      <c r="F76" s="779" t="s"/>
      <c r="G76" s="779" t="s"/>
      <c r="H76" s="779" t="s"/>
      <c r="I76" s="779" t="s"/>
      <c r="J76" s="779" t="s"/>
      <c r="K76" s="866" t="s"/>
      <c r="L76" s="866" t="s"/>
      <c r="M76" s="779" t="s"/>
      <c r="N76" s="779" t="s"/>
      <c r="O76" s="869" t="s"/>
      <c r="P76" s="779" t="s"/>
      <c r="Q76" s="779" t="s"/>
      <c r="R76" s="779" t="s"/>
      <c r="S76" s="779" t="s"/>
      <c r="T76" s="779" t="s"/>
      <c r="U76" s="779" t="s"/>
      <c r="V76" s="779" t="s"/>
      <c r="W76" s="779" t="s"/>
      <c r="X76" s="779" t="s"/>
      <c r="Y76" s="779" t="s"/>
      <c r="Z76" s="779" t="s"/>
      <c r="AA76" s="779" t="s"/>
      <c r="AB76" s="779" t="s"/>
      <c r="AC76" s="779" t="s"/>
    </row>
    <row r="77" spans="1:29" customHeight="false">
      <c r="A77" s="779" t="s"/>
      <c r="B77" s="779" t="s"/>
      <c r="C77" s="779" t="s"/>
      <c r="D77" s="779" t="s"/>
      <c r="E77" s="779" t="s"/>
      <c r="F77" s="779" t="s"/>
      <c r="G77" s="779" t="s"/>
      <c r="H77" s="779" t="s"/>
      <c r="I77" s="779" t="s"/>
      <c r="J77" s="779" t="s"/>
      <c r="K77" s="866" t="s"/>
      <c r="L77" s="866" t="s"/>
      <c r="M77" s="779" t="s"/>
      <c r="N77" s="779" t="s"/>
      <c r="O77" s="869" t="s"/>
      <c r="P77" s="779" t="s"/>
      <c r="Q77" s="779" t="s"/>
      <c r="R77" s="779" t="s"/>
      <c r="S77" s="779" t="s"/>
      <c r="T77" s="779" t="s"/>
      <c r="U77" s="779" t="s"/>
      <c r="V77" s="779" t="s"/>
      <c r="W77" s="779" t="s"/>
      <c r="X77" s="779" t="s"/>
      <c r="Y77" s="779" t="s"/>
      <c r="Z77" s="779" t="s"/>
      <c r="AA77" s="779" t="s"/>
      <c r="AB77" s="779" t="s"/>
      <c r="AC77" s="779" t="s"/>
    </row>
    <row r="78" spans="1:29" customHeight="false">
      <c r="A78" s="779" t="s"/>
      <c r="B78" s="779" t="s"/>
      <c r="C78" s="779" t="s"/>
      <c r="D78" s="779" t="s"/>
      <c r="E78" s="779" t="s"/>
      <c r="F78" s="779" t="s"/>
      <c r="G78" s="779" t="s"/>
      <c r="H78" s="779" t="s"/>
      <c r="I78" s="779" t="s"/>
      <c r="J78" s="779" t="s"/>
      <c r="K78" s="866" t="s"/>
      <c r="L78" s="866" t="s"/>
      <c r="M78" s="779" t="s"/>
      <c r="N78" s="779" t="s"/>
      <c r="O78" s="869" t="s"/>
      <c r="P78" s="779" t="s"/>
      <c r="Q78" s="779" t="s"/>
      <c r="R78" s="779" t="s"/>
      <c r="S78" s="779" t="s"/>
      <c r="T78" s="779" t="s"/>
      <c r="U78" s="779" t="s"/>
      <c r="V78" s="779" t="s"/>
      <c r="W78" s="779" t="s"/>
      <c r="X78" s="779" t="s"/>
      <c r="Y78" s="779" t="s"/>
      <c r="Z78" s="779" t="s"/>
      <c r="AA78" s="779" t="s"/>
      <c r="AB78" s="779" t="s"/>
      <c r="AC78" s="779" t="s"/>
    </row>
    <row r="79" spans="1:29" customHeight="false">
      <c r="A79" s="779" t="s"/>
      <c r="B79" s="779" t="s"/>
      <c r="C79" s="779" t="s"/>
      <c r="D79" s="779" t="s"/>
      <c r="E79" s="779" t="s"/>
      <c r="F79" s="779" t="s"/>
      <c r="G79" s="779" t="s"/>
      <c r="H79" s="779" t="s"/>
      <c r="I79" s="779" t="s"/>
      <c r="J79" s="779" t="s"/>
      <c r="K79" s="866" t="s"/>
      <c r="L79" s="866" t="s"/>
      <c r="M79" s="779" t="s"/>
      <c r="N79" s="779" t="s"/>
      <c r="O79" s="869" t="s"/>
      <c r="P79" s="779" t="s"/>
      <c r="Q79" s="779" t="s"/>
      <c r="R79" s="779" t="s"/>
      <c r="S79" s="779" t="s"/>
      <c r="T79" s="779" t="s"/>
      <c r="U79" s="779" t="s"/>
      <c r="V79" s="779" t="s"/>
      <c r="W79" s="779" t="s"/>
      <c r="X79" s="779" t="s"/>
      <c r="Y79" s="779" t="s"/>
      <c r="Z79" s="779" t="s"/>
      <c r="AA79" s="779" t="s"/>
      <c r="AB79" s="779" t="s"/>
      <c r="AC79" s="779" t="s"/>
    </row>
    <row r="80" spans="1:29" customHeight="false">
      <c r="A80" s="779" t="s"/>
      <c r="B80" s="779" t="s"/>
      <c r="C80" s="779" t="s"/>
      <c r="D80" s="779" t="s"/>
      <c r="E80" s="779" t="s"/>
      <c r="F80" s="779" t="s"/>
      <c r="G80" s="779" t="s"/>
      <c r="H80" s="779" t="s"/>
      <c r="I80" s="779" t="s"/>
      <c r="J80" s="779" t="s"/>
      <c r="K80" s="866" t="s"/>
      <c r="L80" s="866" t="s"/>
      <c r="M80" s="779" t="s"/>
      <c r="N80" s="779" t="s"/>
      <c r="O80" s="869" t="s"/>
      <c r="P80" s="779" t="s"/>
      <c r="Q80" s="779" t="s"/>
      <c r="R80" s="779" t="s"/>
      <c r="S80" s="779" t="s"/>
      <c r="T80" s="779" t="s"/>
      <c r="U80" s="779" t="s"/>
      <c r="V80" s="779" t="s"/>
      <c r="W80" s="779" t="s"/>
      <c r="X80" s="779" t="s"/>
      <c r="Y80" s="779" t="s"/>
      <c r="Z80" s="779" t="s"/>
      <c r="AA80" s="779" t="s"/>
      <c r="AB80" s="779" t="s"/>
      <c r="AC80" s="779" t="s"/>
    </row>
    <row r="81" spans="1:29" customHeight="false">
      <c r="A81" s="779" t="s"/>
      <c r="B81" s="779" t="s"/>
      <c r="C81" s="779" t="s"/>
      <c r="D81" s="779" t="s"/>
      <c r="E81" s="779" t="s"/>
      <c r="F81" s="779" t="s"/>
      <c r="G81" s="779" t="s"/>
      <c r="H81" s="779" t="s"/>
      <c r="I81" s="779" t="s"/>
      <c r="J81" s="779" t="s"/>
      <c r="K81" s="866" t="s"/>
      <c r="L81" s="866" t="s"/>
      <c r="M81" s="779" t="s"/>
      <c r="N81" s="779" t="s"/>
      <c r="O81" s="869" t="s"/>
      <c r="P81" s="779" t="s"/>
      <c r="Q81" s="779" t="s"/>
      <c r="R81" s="779" t="s"/>
      <c r="S81" s="779" t="s"/>
      <c r="T81" s="779" t="s"/>
      <c r="U81" s="779" t="s"/>
      <c r="V81" s="779" t="s"/>
      <c r="W81" s="779" t="s"/>
      <c r="X81" s="779" t="s"/>
      <c r="Y81" s="779" t="s"/>
      <c r="Z81" s="779" t="s"/>
      <c r="AA81" s="779" t="s"/>
      <c r="AB81" s="779" t="s"/>
      <c r="AC81" s="779" t="s"/>
    </row>
    <row r="82" spans="1:29" customHeight="false">
      <c r="A82" s="779" t="s"/>
      <c r="B82" s="779" t="s"/>
      <c r="C82" s="779" t="s"/>
      <c r="D82" s="779" t="s"/>
      <c r="E82" s="779" t="s"/>
      <c r="F82" s="779" t="s"/>
      <c r="G82" s="779" t="s"/>
      <c r="H82" s="779" t="s"/>
      <c r="I82" s="779" t="s"/>
      <c r="J82" s="779" t="s"/>
      <c r="K82" s="866" t="s"/>
      <c r="L82" s="866" t="s"/>
      <c r="M82" s="779" t="s"/>
      <c r="N82" s="779" t="s"/>
      <c r="O82" s="869" t="s"/>
      <c r="P82" s="779" t="s"/>
      <c r="Q82" s="779" t="s"/>
      <c r="R82" s="779" t="s"/>
      <c r="S82" s="779" t="s"/>
      <c r="T82" s="779" t="s"/>
      <c r="U82" s="779" t="s"/>
      <c r="V82" s="779" t="s"/>
      <c r="W82" s="779" t="s"/>
      <c r="X82" s="779" t="s"/>
      <c r="Y82" s="779" t="s"/>
      <c r="Z82" s="779" t="s"/>
      <c r="AA82" s="779" t="s"/>
      <c r="AB82" s="779" t="s"/>
      <c r="AC82" s="779" t="s"/>
    </row>
    <row r="83" spans="1:29" customHeight="false">
      <c r="A83" s="779" t="s"/>
      <c r="B83" s="779" t="s"/>
      <c r="C83" s="779" t="s"/>
      <c r="D83" s="779" t="s"/>
      <c r="E83" s="779" t="s"/>
      <c r="F83" s="779" t="s"/>
      <c r="G83" s="779" t="s"/>
      <c r="H83" s="779" t="s"/>
      <c r="I83" s="779" t="s"/>
      <c r="J83" s="779" t="s"/>
      <c r="K83" s="866" t="s"/>
      <c r="L83" s="866" t="s"/>
      <c r="M83" s="779" t="s"/>
      <c r="N83" s="779" t="s"/>
      <c r="O83" s="869" t="s"/>
      <c r="P83" s="779" t="s"/>
      <c r="Q83" s="779" t="s"/>
      <c r="R83" s="779" t="s"/>
      <c r="S83" s="779" t="s"/>
      <c r="T83" s="779" t="s"/>
      <c r="U83" s="779" t="s"/>
      <c r="V83" s="779" t="s"/>
      <c r="W83" s="779" t="s"/>
      <c r="X83" s="779" t="s"/>
      <c r="Y83" s="779" t="s"/>
      <c r="Z83" s="779" t="s"/>
      <c r="AA83" s="779" t="s"/>
      <c r="AB83" s="779" t="s"/>
      <c r="AC83" s="779" t="s"/>
    </row>
    <row r="84" spans="1:29" customHeight="false">
      <c r="A84" s="779" t="s"/>
      <c r="B84" s="779" t="s"/>
      <c r="C84" s="779" t="s"/>
      <c r="D84" s="779" t="s"/>
      <c r="E84" s="779" t="s"/>
      <c r="F84" s="779" t="s"/>
      <c r="G84" s="779" t="s"/>
      <c r="H84" s="779" t="s"/>
      <c r="I84" s="779" t="s"/>
      <c r="J84" s="779" t="s"/>
      <c r="K84" s="866" t="s"/>
      <c r="L84" s="866" t="s"/>
      <c r="M84" s="779" t="s"/>
      <c r="N84" s="779" t="s"/>
      <c r="O84" s="869" t="s"/>
      <c r="P84" s="779" t="s"/>
      <c r="Q84" s="779" t="s"/>
      <c r="R84" s="779" t="s"/>
      <c r="S84" s="779" t="s"/>
      <c r="T84" s="779" t="s"/>
      <c r="U84" s="779" t="s"/>
      <c r="V84" s="779" t="s"/>
      <c r="W84" s="779" t="s"/>
      <c r="X84" s="779" t="s"/>
      <c r="Y84" s="779" t="s"/>
      <c r="Z84" s="779" t="s"/>
      <c r="AA84" s="779" t="s"/>
      <c r="AB84" s="779" t="s"/>
      <c r="AC84" s="779" t="s"/>
    </row>
    <row r="85" spans="1:29" customHeight="false">
      <c r="A85" s="779" t="s"/>
      <c r="B85" s="779" t="s"/>
      <c r="C85" s="779" t="s"/>
      <c r="D85" s="779" t="s"/>
      <c r="E85" s="779" t="s"/>
      <c r="F85" s="779" t="s"/>
      <c r="G85" s="779" t="s"/>
      <c r="H85" s="779" t="s"/>
      <c r="I85" s="779" t="s"/>
      <c r="J85" s="779" t="s"/>
      <c r="K85" s="866" t="s"/>
      <c r="L85" s="866" t="s"/>
      <c r="M85" s="779" t="s"/>
      <c r="N85" s="779" t="s"/>
      <c r="O85" s="869" t="s"/>
      <c r="P85" s="779" t="s"/>
      <c r="Q85" s="779" t="s"/>
      <c r="R85" s="779" t="s"/>
      <c r="S85" s="779" t="s"/>
      <c r="T85" s="779" t="s"/>
      <c r="U85" s="779" t="s"/>
      <c r="V85" s="779" t="s"/>
      <c r="W85" s="779" t="s"/>
      <c r="X85" s="779" t="s"/>
      <c r="Y85" s="779" t="s"/>
      <c r="Z85" s="779" t="s"/>
      <c r="AA85" s="779" t="s"/>
      <c r="AB85" s="779" t="s"/>
      <c r="AC85" s="779" t="s"/>
    </row>
    <row r="86" spans="1:29" customHeight="false">
      <c r="A86" s="779" t="s"/>
      <c r="B86" s="779" t="s"/>
      <c r="C86" s="779" t="s"/>
      <c r="D86" s="779" t="s"/>
      <c r="E86" s="779" t="s"/>
      <c r="F86" s="779" t="s"/>
      <c r="G86" s="779" t="s"/>
      <c r="H86" s="779" t="s"/>
      <c r="I86" s="779" t="s"/>
      <c r="J86" s="779" t="s"/>
      <c r="K86" s="866" t="s"/>
      <c r="L86" s="866" t="s"/>
      <c r="M86" s="779" t="s"/>
      <c r="N86" s="779" t="s"/>
      <c r="O86" s="869" t="s"/>
      <c r="P86" s="779" t="s"/>
      <c r="Q86" s="779" t="s"/>
      <c r="R86" s="779" t="s"/>
      <c r="S86" s="779" t="s"/>
      <c r="T86" s="779" t="s"/>
      <c r="U86" s="779" t="s"/>
      <c r="V86" s="779" t="s"/>
      <c r="W86" s="779" t="s"/>
      <c r="X86" s="779" t="s"/>
      <c r="Y86" s="779" t="s"/>
      <c r="Z86" s="779" t="s"/>
      <c r="AA86" s="779" t="s"/>
      <c r="AB86" s="779" t="s"/>
      <c r="AC86" s="779" t="s"/>
    </row>
    <row r="87" spans="1:29" customHeight="false">
      <c r="A87" s="779" t="s"/>
      <c r="B87" s="779" t="s"/>
      <c r="C87" s="779" t="s"/>
      <c r="D87" s="779" t="s"/>
      <c r="E87" s="779" t="s"/>
      <c r="F87" s="779" t="s"/>
      <c r="G87" s="779" t="s"/>
      <c r="H87" s="779" t="s"/>
      <c r="I87" s="779" t="s"/>
      <c r="J87" s="779" t="s"/>
      <c r="K87" s="866" t="s"/>
      <c r="L87" s="866" t="s"/>
      <c r="M87" s="779" t="s"/>
      <c r="N87" s="779" t="s"/>
      <c r="O87" s="869" t="s"/>
      <c r="P87" s="779" t="s"/>
      <c r="Q87" s="779" t="s"/>
      <c r="R87" s="779" t="s"/>
      <c r="S87" s="779" t="s"/>
      <c r="T87" s="779" t="s"/>
      <c r="U87" s="779" t="s"/>
      <c r="V87" s="779" t="s"/>
      <c r="W87" s="779" t="s"/>
      <c r="X87" s="779" t="s"/>
      <c r="Y87" s="779" t="s"/>
      <c r="Z87" s="779" t="s"/>
      <c r="AA87" s="779" t="s"/>
      <c r="AB87" s="779" t="s"/>
      <c r="AC87" s="779" t="s"/>
    </row>
    <row r="88" spans="1:29" customHeight="false">
      <c r="A88" s="779" t="s"/>
      <c r="B88" s="779" t="s"/>
      <c r="C88" s="779" t="s"/>
      <c r="D88" s="779" t="s"/>
      <c r="E88" s="779" t="s"/>
      <c r="F88" s="779" t="s"/>
      <c r="G88" s="779" t="s"/>
      <c r="H88" s="779" t="s"/>
      <c r="I88" s="779" t="s"/>
      <c r="J88" s="779" t="s"/>
      <c r="K88" s="866" t="s"/>
      <c r="L88" s="866" t="s"/>
      <c r="M88" s="779" t="s"/>
      <c r="N88" s="779" t="s"/>
      <c r="O88" s="869" t="s"/>
      <c r="P88" s="779" t="s"/>
      <c r="Q88" s="779" t="s"/>
      <c r="R88" s="779" t="s"/>
      <c r="S88" s="779" t="s"/>
      <c r="T88" s="779" t="s"/>
      <c r="U88" s="779" t="s"/>
      <c r="V88" s="779" t="s"/>
      <c r="W88" s="779" t="s"/>
      <c r="X88" s="779" t="s"/>
      <c r="Y88" s="779" t="s"/>
      <c r="Z88" s="779" t="s"/>
      <c r="AA88" s="779" t="s"/>
      <c r="AB88" s="779" t="s"/>
      <c r="AC88" s="779" t="s"/>
    </row>
    <row r="89" spans="1:29" customHeight="false">
      <c r="A89" s="779" t="s"/>
      <c r="B89" s="779" t="s"/>
      <c r="C89" s="779" t="s"/>
      <c r="D89" s="779" t="s"/>
      <c r="E89" s="779" t="s"/>
      <c r="F89" s="779" t="s"/>
      <c r="G89" s="779" t="s"/>
      <c r="H89" s="779" t="s"/>
      <c r="I89" s="779" t="s"/>
      <c r="J89" s="779" t="s"/>
      <c r="K89" s="866" t="s"/>
      <c r="L89" s="866" t="s"/>
      <c r="M89" s="779" t="s"/>
      <c r="N89" s="779" t="s"/>
      <c r="O89" s="869" t="s"/>
      <c r="P89" s="779" t="s"/>
      <c r="Q89" s="779" t="s"/>
      <c r="R89" s="779" t="s"/>
      <c r="S89" s="779" t="s"/>
      <c r="T89" s="779" t="s"/>
      <c r="U89" s="779" t="s"/>
      <c r="V89" s="779" t="s"/>
      <c r="W89" s="779" t="s"/>
      <c r="X89" s="779" t="s"/>
      <c r="Y89" s="779" t="s"/>
      <c r="Z89" s="779" t="s"/>
      <c r="AA89" s="779" t="s"/>
      <c r="AB89" s="779" t="s"/>
      <c r="AC89" s="779" t="s"/>
    </row>
    <row r="90" spans="1:29" customHeight="false">
      <c r="A90" s="779" t="s"/>
      <c r="B90" s="779" t="s"/>
      <c r="C90" s="779" t="s"/>
      <c r="D90" s="779" t="s"/>
      <c r="E90" s="779" t="s"/>
      <c r="F90" s="779" t="s"/>
      <c r="G90" s="779" t="s"/>
      <c r="H90" s="779" t="s"/>
      <c r="I90" s="779" t="s"/>
      <c r="J90" s="779" t="s"/>
      <c r="K90" s="866" t="s"/>
      <c r="L90" s="866" t="s"/>
      <c r="M90" s="779" t="s"/>
      <c r="N90" s="779" t="s"/>
      <c r="O90" s="869" t="s"/>
      <c r="P90" s="779" t="s"/>
      <c r="Q90" s="779" t="s"/>
      <c r="R90" s="779" t="s"/>
      <c r="S90" s="779" t="s"/>
      <c r="T90" s="779" t="s"/>
      <c r="U90" s="779" t="s"/>
      <c r="V90" s="779" t="s"/>
      <c r="W90" s="779" t="s"/>
      <c r="X90" s="779" t="s"/>
      <c r="Y90" s="779" t="s"/>
      <c r="Z90" s="779" t="s"/>
      <c r="AA90" s="779" t="s"/>
      <c r="AB90" s="779" t="s"/>
      <c r="AC90" s="779" t="s"/>
    </row>
    <row r="91" spans="1:29" customHeight="false">
      <c r="A91" s="779" t="s"/>
      <c r="B91" s="779" t="s"/>
      <c r="C91" s="779" t="s"/>
      <c r="D91" s="779" t="s"/>
      <c r="E91" s="779" t="s"/>
      <c r="F91" s="779" t="s"/>
      <c r="G91" s="779" t="s"/>
      <c r="H91" s="779" t="s"/>
      <c r="I91" s="779" t="s"/>
      <c r="J91" s="779" t="s"/>
      <c r="K91" s="866" t="s"/>
      <c r="L91" s="866" t="s"/>
      <c r="M91" s="779" t="s"/>
      <c r="N91" s="779" t="s"/>
      <c r="O91" s="869" t="s"/>
      <c r="P91" s="779" t="s"/>
      <c r="Q91" s="779" t="s"/>
      <c r="R91" s="779" t="s"/>
      <c r="S91" s="779" t="s"/>
      <c r="T91" s="779" t="s"/>
      <c r="U91" s="779" t="s"/>
      <c r="V91" s="779" t="s"/>
      <c r="W91" s="779" t="s"/>
      <c r="X91" s="779" t="s"/>
      <c r="Y91" s="779" t="s"/>
      <c r="Z91" s="779" t="s"/>
      <c r="AA91" s="779" t="s"/>
      <c r="AB91" s="779" t="s"/>
      <c r="AC91" s="779" t="s"/>
    </row>
    <row r="92" spans="1:29" customHeight="false">
      <c r="A92" s="779" t="s"/>
      <c r="B92" s="779" t="s"/>
      <c r="C92" s="779" t="s"/>
      <c r="D92" s="779" t="s"/>
      <c r="E92" s="779" t="s"/>
      <c r="F92" s="779" t="s"/>
      <c r="G92" s="779" t="s"/>
      <c r="H92" s="779" t="s"/>
      <c r="I92" s="779" t="s"/>
      <c r="J92" s="779" t="s"/>
      <c r="K92" s="866" t="s"/>
      <c r="L92" s="866" t="s"/>
      <c r="M92" s="779" t="s"/>
      <c r="N92" s="779" t="s"/>
      <c r="O92" s="869" t="s"/>
      <c r="P92" s="779" t="s"/>
      <c r="Q92" s="779" t="s"/>
      <c r="R92" s="779" t="s"/>
      <c r="S92" s="779" t="s"/>
      <c r="T92" s="779" t="s"/>
      <c r="U92" s="779" t="s"/>
      <c r="V92" s="779" t="s"/>
      <c r="W92" s="779" t="s"/>
      <c r="X92" s="779" t="s"/>
      <c r="Y92" s="779" t="s"/>
      <c r="Z92" s="779" t="s"/>
      <c r="AA92" s="779" t="s"/>
      <c r="AB92" s="779" t="s"/>
      <c r="AC92" s="779" t="s"/>
    </row>
    <row r="93" spans="1:29" customHeight="false">
      <c r="A93" s="779" t="s"/>
      <c r="B93" s="779" t="s"/>
      <c r="C93" s="779" t="s"/>
      <c r="D93" s="779" t="s"/>
      <c r="E93" s="779" t="s"/>
      <c r="F93" s="779" t="s"/>
      <c r="G93" s="779" t="s"/>
      <c r="H93" s="779" t="s"/>
      <c r="I93" s="779" t="s"/>
      <c r="J93" s="779" t="s"/>
      <c r="K93" s="866" t="s"/>
      <c r="L93" s="866" t="s"/>
      <c r="M93" s="779" t="s"/>
      <c r="N93" s="779" t="s"/>
      <c r="O93" s="869" t="s"/>
      <c r="P93" s="779" t="s"/>
      <c r="Q93" s="779" t="s"/>
      <c r="R93" s="779" t="s"/>
      <c r="S93" s="779" t="s"/>
      <c r="T93" s="779" t="s"/>
      <c r="U93" s="779" t="s"/>
      <c r="V93" s="779" t="s"/>
      <c r="W93" s="779" t="s"/>
      <c r="X93" s="779" t="s"/>
      <c r="Y93" s="779" t="s"/>
      <c r="Z93" s="779" t="s"/>
      <c r="AA93" s="779" t="s"/>
      <c r="AB93" s="779" t="s"/>
      <c r="AC93" s="779" t="s"/>
    </row>
    <row r="94" spans="1:29" customHeight="false">
      <c r="A94" s="779" t="s"/>
      <c r="B94" s="779" t="s"/>
      <c r="C94" s="779" t="s"/>
      <c r="D94" s="779" t="s"/>
      <c r="E94" s="779" t="s"/>
      <c r="F94" s="779" t="s"/>
      <c r="G94" s="779" t="s"/>
      <c r="H94" s="779" t="s"/>
      <c r="I94" s="779" t="s"/>
      <c r="J94" s="779" t="s"/>
      <c r="K94" s="866" t="s"/>
      <c r="L94" s="866" t="s"/>
      <c r="M94" s="779" t="s"/>
      <c r="N94" s="779" t="s"/>
      <c r="O94" s="869" t="s"/>
      <c r="P94" s="779" t="s"/>
      <c r="Q94" s="779" t="s"/>
      <c r="R94" s="779" t="s"/>
      <c r="S94" s="779" t="s"/>
      <c r="T94" s="779" t="s"/>
      <c r="U94" s="779" t="s"/>
      <c r="V94" s="779" t="s"/>
      <c r="W94" s="779" t="s"/>
      <c r="X94" s="779" t="s"/>
      <c r="Y94" s="779" t="s"/>
      <c r="Z94" s="779" t="s"/>
      <c r="AA94" s="779" t="s"/>
      <c r="AB94" s="779" t="s"/>
      <c r="AC94" s="779" t="s"/>
    </row>
    <row r="95" spans="1:29" customHeight="false">
      <c r="A95" s="779" t="s"/>
      <c r="B95" s="779" t="s"/>
      <c r="C95" s="779" t="s"/>
      <c r="D95" s="779" t="s"/>
      <c r="E95" s="779" t="s"/>
      <c r="F95" s="779" t="s"/>
      <c r="G95" s="779" t="s"/>
      <c r="H95" s="779" t="s"/>
      <c r="I95" s="779" t="s"/>
      <c r="J95" s="779" t="s"/>
      <c r="K95" s="866" t="s"/>
      <c r="L95" s="866" t="s"/>
      <c r="M95" s="779" t="s"/>
      <c r="N95" s="779" t="s"/>
      <c r="O95" s="779" t="s"/>
      <c r="P95" s="779" t="s"/>
      <c r="Q95" s="779" t="s"/>
      <c r="R95" s="779" t="s"/>
      <c r="S95" s="779" t="s"/>
      <c r="T95" s="779" t="s"/>
      <c r="U95" s="779" t="s"/>
      <c r="V95" s="779" t="s"/>
      <c r="W95" s="779" t="s"/>
      <c r="X95" s="779" t="s"/>
      <c r="Y95" s="779" t="s"/>
      <c r="Z95" s="779" t="s"/>
      <c r="AA95" s="779" t="s"/>
      <c r="AB95" s="779" t="s"/>
      <c r="AC95" s="779" t="s"/>
    </row>
    <row r="96" spans="1:29" customHeight="false">
      <c r="A96" s="779" t="s"/>
      <c r="B96" s="779" t="s"/>
      <c r="C96" s="779" t="s"/>
      <c r="D96" s="779" t="s"/>
      <c r="E96" s="779" t="s"/>
      <c r="F96" s="779" t="s"/>
      <c r="G96" s="779" t="s"/>
      <c r="H96" s="779" t="s"/>
      <c r="I96" s="779" t="s"/>
      <c r="J96" s="779" t="s"/>
      <c r="K96" s="866" t="s"/>
      <c r="L96" s="866" t="s"/>
      <c r="M96" s="779" t="s"/>
      <c r="N96" s="779" t="s"/>
      <c r="O96" s="869" t="s"/>
      <c r="P96" s="779" t="s"/>
      <c r="Q96" s="779" t="s"/>
      <c r="R96" s="779" t="s"/>
      <c r="S96" s="779" t="s"/>
      <c r="T96" s="779" t="s"/>
      <c r="U96" s="779" t="s"/>
      <c r="V96" s="779" t="s"/>
      <c r="W96" s="779" t="s"/>
      <c r="X96" s="779" t="s"/>
      <c r="Y96" s="779" t="s"/>
      <c r="Z96" s="779" t="s"/>
      <c r="AA96" s="779" t="s"/>
      <c r="AB96" s="779" t="s"/>
      <c r="AC96" s="779" t="s"/>
    </row>
    <row r="97" spans="1:29" customHeight="false">
      <c r="A97" s="779" t="s"/>
      <c r="B97" s="779" t="s"/>
      <c r="C97" s="779" t="s"/>
      <c r="D97" s="779" t="s"/>
      <c r="E97" s="779" t="s"/>
      <c r="F97" s="779" t="s"/>
      <c r="G97" s="779" t="s"/>
      <c r="H97" s="779" t="s"/>
      <c r="I97" s="779" t="s"/>
      <c r="J97" s="779" t="s"/>
      <c r="K97" s="866" t="s"/>
      <c r="L97" s="866" t="s"/>
      <c r="M97" s="779" t="s"/>
      <c r="N97" s="779" t="s"/>
      <c r="O97" s="869" t="s"/>
      <c r="P97" s="779" t="s"/>
      <c r="Q97" s="779" t="s"/>
      <c r="R97" s="779" t="s"/>
      <c r="S97" s="779" t="s"/>
      <c r="T97" s="779" t="s"/>
      <c r="U97" s="779" t="s"/>
      <c r="V97" s="779" t="s"/>
      <c r="W97" s="779" t="s"/>
      <c r="X97" s="779" t="s"/>
      <c r="Y97" s="779" t="s"/>
      <c r="Z97" s="779" t="s"/>
      <c r="AA97" s="779" t="s"/>
      <c r="AB97" s="779" t="s"/>
      <c r="AC97" s="779" t="s"/>
    </row>
    <row r="98" spans="1:29" customHeight="false">
      <c r="A98" s="779" t="s"/>
      <c r="B98" s="779" t="s"/>
      <c r="C98" s="779" t="s"/>
      <c r="D98" s="779" t="s"/>
      <c r="E98" s="779" t="s"/>
      <c r="F98" s="779" t="s"/>
      <c r="G98" s="779" t="s"/>
      <c r="H98" s="779" t="s"/>
      <c r="I98" s="779" t="s"/>
      <c r="J98" s="779" t="s"/>
      <c r="K98" s="866" t="s"/>
      <c r="L98" s="866" t="s"/>
      <c r="M98" s="779" t="s"/>
      <c r="N98" s="779" t="s"/>
      <c r="O98" s="869" t="s"/>
      <c r="P98" s="779" t="s"/>
      <c r="Q98" s="779" t="s"/>
      <c r="R98" s="779" t="s"/>
      <c r="S98" s="779" t="s"/>
      <c r="T98" s="779" t="s"/>
      <c r="U98" s="779" t="s"/>
      <c r="V98" s="779" t="s"/>
      <c r="W98" s="779" t="s"/>
      <c r="X98" s="779" t="s"/>
      <c r="Y98" s="779" t="s"/>
      <c r="Z98" s="779" t="s"/>
      <c r="AA98" s="779" t="s"/>
      <c r="AB98" s="779" t="s"/>
      <c r="AC98" s="779" t="s"/>
    </row>
    <row r="99" spans="1:29" customHeight="false">
      <c r="A99" s="779" t="s"/>
      <c r="B99" s="779" t="s"/>
      <c r="C99" s="779" t="s"/>
      <c r="D99" s="779" t="s"/>
      <c r="E99" s="779" t="s"/>
      <c r="F99" s="779" t="s"/>
      <c r="G99" s="779" t="s"/>
      <c r="H99" s="779" t="s"/>
      <c r="I99" s="779" t="s"/>
      <c r="J99" s="779" t="s"/>
      <c r="K99" s="866" t="s"/>
      <c r="L99" s="866" t="s"/>
      <c r="M99" s="779" t="s"/>
      <c r="N99" s="779" t="s"/>
      <c r="O99" s="869" t="s"/>
      <c r="P99" s="779" t="s"/>
      <c r="Q99" s="779" t="s"/>
      <c r="R99" s="779" t="s"/>
      <c r="S99" s="779" t="s"/>
      <c r="T99" s="779" t="s"/>
      <c r="U99" s="779" t="s"/>
      <c r="V99" s="779" t="s"/>
      <c r="W99" s="779" t="s"/>
      <c r="X99" s="779" t="s"/>
      <c r="Y99" s="779" t="s"/>
      <c r="Z99" s="779" t="s"/>
      <c r="AA99" s="779" t="s"/>
      <c r="AB99" s="779" t="s"/>
      <c r="AC99" s="779" t="s"/>
    </row>
    <row r="100" spans="1:29" customHeight="false">
      <c r="A100" s="779" t="s"/>
      <c r="B100" s="779" t="s"/>
      <c r="C100" s="779" t="s"/>
      <c r="D100" s="779" t="s"/>
      <c r="E100" s="779" t="s"/>
      <c r="F100" s="779" t="s"/>
      <c r="G100" s="779" t="s"/>
      <c r="H100" s="779" t="s"/>
      <c r="I100" s="779" t="s"/>
      <c r="J100" s="779" t="s"/>
      <c r="K100" s="866" t="s"/>
      <c r="L100" s="866" t="s"/>
      <c r="M100" s="779" t="s"/>
      <c r="N100" s="779" t="s"/>
      <c r="O100" s="869" t="s"/>
      <c r="P100" s="779" t="s"/>
      <c r="Q100" s="779" t="s"/>
      <c r="R100" s="779" t="s"/>
      <c r="S100" s="779" t="s"/>
      <c r="T100" s="779" t="s"/>
      <c r="U100" s="779" t="s"/>
      <c r="V100" s="779" t="s"/>
      <c r="W100" s="779" t="s"/>
      <c r="X100" s="779" t="s"/>
      <c r="Y100" s="779" t="s"/>
      <c r="Z100" s="779" t="s"/>
      <c r="AA100" s="779" t="s"/>
      <c r="AB100" s="779" t="s"/>
      <c r="AC100" s="779" t="s"/>
    </row>
    <row r="101" spans="1:29" customHeight="false">
      <c r="A101" s="779" t="s"/>
      <c r="B101" s="779" t="s"/>
      <c r="C101" s="779" t="s"/>
      <c r="D101" s="779" t="s"/>
      <c r="E101" s="779" t="s"/>
      <c r="F101" s="779" t="s"/>
      <c r="G101" s="779" t="s"/>
      <c r="H101" s="779" t="s"/>
      <c r="I101" s="779" t="s"/>
      <c r="J101" s="779" t="s"/>
      <c r="K101" s="866" t="s"/>
      <c r="L101" s="866" t="s"/>
      <c r="M101" s="779" t="s"/>
      <c r="N101" s="779" t="s"/>
      <c r="O101" s="869" t="s"/>
      <c r="P101" s="779" t="s"/>
      <c r="Q101" s="779" t="s"/>
      <c r="R101" s="779" t="s"/>
      <c r="S101" s="779" t="s"/>
      <c r="T101" s="779" t="s"/>
      <c r="U101" s="779" t="s"/>
      <c r="V101" s="779" t="s"/>
      <c r="W101" s="779" t="s"/>
      <c r="X101" s="779" t="s"/>
      <c r="Y101" s="779" t="s"/>
      <c r="Z101" s="779" t="s"/>
      <c r="AA101" s="779" t="s"/>
      <c r="AB101" s="779" t="s"/>
      <c r="AC101" s="779" t="s"/>
    </row>
    <row r="102" spans="1:29" customHeight="false">
      <c r="A102" s="779" t="s"/>
      <c r="B102" s="779" t="s"/>
      <c r="C102" s="779" t="s"/>
      <c r="D102" s="779" t="s"/>
      <c r="E102" s="779" t="s"/>
      <c r="F102" s="779" t="s"/>
      <c r="G102" s="779" t="s"/>
      <c r="H102" s="779" t="s"/>
      <c r="I102" s="779" t="s"/>
      <c r="J102" s="779" t="s"/>
      <c r="K102" s="866" t="s"/>
      <c r="L102" s="866" t="s"/>
      <c r="M102" s="779" t="s"/>
      <c r="N102" s="779" t="s"/>
      <c r="O102" s="869" t="s"/>
      <c r="P102" s="779" t="s"/>
      <c r="Q102" s="779" t="s"/>
      <c r="R102" s="779" t="s"/>
      <c r="S102" s="779" t="s"/>
      <c r="T102" s="779" t="s"/>
      <c r="U102" s="779" t="s"/>
      <c r="V102" s="779" t="s"/>
      <c r="W102" s="779" t="s"/>
      <c r="X102" s="779" t="s"/>
      <c r="Y102" s="779" t="s"/>
      <c r="Z102" s="779" t="s"/>
      <c r="AA102" s="779" t="s"/>
      <c r="AB102" s="779" t="s"/>
      <c r="AC102" s="779" t="s"/>
    </row>
    <row r="103" spans="1:29" customHeight="false">
      <c r="A103" s="779" t="s"/>
      <c r="B103" s="779" t="s"/>
      <c r="C103" s="779" t="s"/>
      <c r="D103" s="779" t="s"/>
      <c r="E103" s="779" t="s"/>
      <c r="F103" s="779" t="s"/>
      <c r="G103" s="779" t="s"/>
      <c r="H103" s="779" t="s"/>
      <c r="I103" s="779" t="s"/>
      <c r="J103" s="779" t="s"/>
      <c r="K103" s="866" t="s"/>
      <c r="L103" s="866" t="s"/>
      <c r="M103" s="779" t="s"/>
      <c r="N103" s="779" t="s"/>
      <c r="O103" s="869" t="s"/>
      <c r="P103" s="779" t="s"/>
      <c r="Q103" s="779" t="s"/>
      <c r="R103" s="779" t="s"/>
      <c r="S103" s="779" t="s"/>
      <c r="T103" s="779" t="s"/>
      <c r="U103" s="779" t="s"/>
      <c r="V103" s="779" t="s"/>
      <c r="W103" s="779" t="s"/>
      <c r="X103" s="779" t="s"/>
      <c r="Y103" s="779" t="s"/>
      <c r="Z103" s="779" t="s"/>
      <c r="AA103" s="779" t="s"/>
      <c r="AB103" s="779" t="s"/>
      <c r="AC103" s="779" t="s"/>
    </row>
    <row r="104" spans="1:29" customHeight="false">
      <c r="A104" s="779" t="s"/>
      <c r="B104" s="779" t="s"/>
      <c r="C104" s="779" t="s"/>
      <c r="D104" s="779" t="s"/>
      <c r="E104" s="779" t="s"/>
      <c r="F104" s="779" t="s"/>
      <c r="G104" s="779" t="s"/>
      <c r="H104" s="779" t="s"/>
      <c r="I104" s="779" t="s"/>
      <c r="J104" s="779" t="s"/>
      <c r="K104" s="866" t="s"/>
      <c r="L104" s="866" t="s"/>
      <c r="M104" s="779" t="s"/>
      <c r="N104" s="779" t="s"/>
      <c r="O104" s="869" t="s"/>
      <c r="P104" s="779" t="s"/>
      <c r="Q104" s="779" t="s"/>
      <c r="R104" s="779" t="s"/>
      <c r="S104" s="779" t="s"/>
      <c r="T104" s="779" t="s"/>
      <c r="U104" s="779" t="s"/>
      <c r="V104" s="779" t="s"/>
      <c r="W104" s="779" t="s"/>
      <c r="X104" s="779" t="s"/>
      <c r="Y104" s="779" t="s"/>
      <c r="Z104" s="779" t="s"/>
      <c r="AA104" s="779" t="s"/>
      <c r="AB104" s="779" t="s"/>
      <c r="AC104" s="779" t="s"/>
    </row>
    <row r="105" spans="1:29" customHeight="false">
      <c r="A105" s="779" t="s"/>
      <c r="B105" s="779" t="s"/>
      <c r="C105" s="779" t="s"/>
      <c r="D105" s="779" t="s"/>
      <c r="E105" s="779" t="s"/>
      <c r="F105" s="779" t="s"/>
      <c r="G105" s="779" t="s"/>
      <c r="H105" s="779" t="s"/>
      <c r="I105" s="779" t="s"/>
      <c r="J105" s="779" t="s"/>
      <c r="K105" s="866" t="s"/>
      <c r="L105" s="866" t="s"/>
      <c r="M105" s="779" t="s"/>
      <c r="N105" s="779" t="s"/>
      <c r="O105" s="869" t="s"/>
      <c r="P105" s="779" t="s"/>
      <c r="Q105" s="779" t="s"/>
      <c r="R105" s="779" t="s"/>
      <c r="S105" s="779" t="s"/>
      <c r="T105" s="779" t="s"/>
      <c r="U105" s="779" t="s"/>
      <c r="V105" s="779" t="s"/>
      <c r="W105" s="779" t="s"/>
      <c r="X105" s="779" t="s"/>
      <c r="Y105" s="779" t="s"/>
      <c r="Z105" s="779" t="s"/>
      <c r="AA105" s="779" t="s"/>
      <c r="AB105" s="779" t="s"/>
      <c r="AC105" s="779" t="s"/>
    </row>
    <row r="106" spans="1:29" customHeight="false">
      <c r="A106" s="779" t="s"/>
      <c r="B106" s="779" t="s"/>
      <c r="C106" s="779" t="s"/>
      <c r="D106" s="779" t="s"/>
      <c r="E106" s="779" t="s"/>
      <c r="F106" s="779" t="s"/>
      <c r="G106" s="779" t="s"/>
      <c r="H106" s="779" t="s"/>
      <c r="I106" s="779" t="s"/>
      <c r="J106" s="779" t="s"/>
      <c r="K106" s="866" t="s"/>
      <c r="L106" s="866" t="s"/>
      <c r="M106" s="779" t="s"/>
      <c r="N106" s="779" t="s"/>
      <c r="O106" s="869" t="s"/>
      <c r="P106" s="779" t="s"/>
      <c r="Q106" s="779" t="s"/>
      <c r="R106" s="779" t="s"/>
      <c r="S106" s="779" t="s"/>
      <c r="T106" s="779" t="s"/>
      <c r="U106" s="779" t="s"/>
      <c r="V106" s="779" t="s"/>
      <c r="W106" s="779" t="s"/>
      <c r="X106" s="779" t="s"/>
      <c r="Y106" s="779" t="s"/>
      <c r="Z106" s="779" t="s"/>
      <c r="AA106" s="779" t="s"/>
      <c r="AB106" s="779" t="s"/>
      <c r="AC106" s="779" t="s"/>
    </row>
    <row r="107" spans="1:29" customHeight="false">
      <c r="A107" s="779" t="s"/>
      <c r="B107" s="779" t="s"/>
      <c r="C107" s="779" t="s"/>
      <c r="D107" s="779" t="s"/>
      <c r="E107" s="779" t="s"/>
      <c r="F107" s="779" t="s"/>
      <c r="G107" s="779" t="s"/>
      <c r="H107" s="779" t="s"/>
      <c r="I107" s="779" t="s"/>
      <c r="J107" s="779" t="s"/>
      <c r="K107" s="866" t="s"/>
      <c r="L107" s="866" t="s"/>
      <c r="M107" s="779" t="s"/>
      <c r="N107" s="779" t="s"/>
      <c r="O107" s="869" t="s"/>
      <c r="P107" s="779" t="s"/>
      <c r="Q107" s="779" t="s"/>
      <c r="R107" s="779" t="s"/>
      <c r="S107" s="779" t="s"/>
      <c r="T107" s="779" t="s"/>
      <c r="U107" s="779" t="s"/>
      <c r="V107" s="779" t="s"/>
      <c r="W107" s="779" t="s"/>
      <c r="X107" s="779" t="s"/>
      <c r="Y107" s="779" t="s"/>
      <c r="Z107" s="779" t="s"/>
      <c r="AA107" s="779" t="s"/>
      <c r="AB107" s="779" t="s"/>
      <c r="AC107" s="779" t="s"/>
    </row>
    <row r="108" spans="1:29" customHeight="false">
      <c r="A108" s="779" t="s"/>
      <c r="B108" s="779" t="s"/>
      <c r="C108" s="779" t="s"/>
      <c r="D108" s="779" t="s"/>
      <c r="E108" s="779" t="s"/>
      <c r="F108" s="779" t="s"/>
      <c r="G108" s="779" t="s"/>
      <c r="H108" s="779" t="s"/>
      <c r="I108" s="779" t="s"/>
      <c r="J108" s="779" t="s"/>
      <c r="K108" s="866" t="s"/>
      <c r="L108" s="866" t="s"/>
      <c r="M108" s="779" t="s"/>
      <c r="N108" s="779" t="s"/>
      <c r="O108" s="869" t="s"/>
      <c r="P108" s="779" t="s"/>
      <c r="Q108" s="779" t="s"/>
      <c r="R108" s="779" t="s"/>
      <c r="S108" s="779" t="s"/>
      <c r="T108" s="779" t="s"/>
      <c r="U108" s="779" t="s"/>
      <c r="V108" s="779" t="s"/>
      <c r="W108" s="779" t="s"/>
      <c r="X108" s="779" t="s"/>
      <c r="Y108" s="779" t="s"/>
      <c r="Z108" s="779" t="s"/>
      <c r="AA108" s="779" t="s"/>
      <c r="AB108" s="779" t="s"/>
      <c r="AC108" s="779" t="s"/>
    </row>
    <row r="109" spans="1:29" customHeight="false">
      <c r="A109" s="779" t="s"/>
      <c r="B109" s="779" t="s"/>
      <c r="C109" s="779" t="s"/>
      <c r="D109" s="779" t="s"/>
      <c r="E109" s="779" t="s"/>
      <c r="F109" s="779" t="s"/>
      <c r="G109" s="779" t="s"/>
      <c r="H109" s="779" t="s"/>
      <c r="I109" s="779" t="s"/>
      <c r="J109" s="779" t="s"/>
      <c r="K109" s="866" t="s"/>
      <c r="L109" s="866" t="s"/>
      <c r="M109" s="779" t="s"/>
      <c r="N109" s="779" t="s"/>
      <c r="O109" s="869" t="s"/>
      <c r="P109" s="779" t="s"/>
      <c r="Q109" s="779" t="s"/>
      <c r="R109" s="779" t="s"/>
      <c r="S109" s="779" t="s"/>
      <c r="T109" s="779" t="s"/>
      <c r="U109" s="779" t="s"/>
      <c r="V109" s="779" t="s"/>
      <c r="W109" s="779" t="s"/>
      <c r="X109" s="779" t="s"/>
      <c r="Y109" s="779" t="s"/>
      <c r="Z109" s="779" t="s"/>
      <c r="AA109" s="779" t="s"/>
      <c r="AB109" s="779" t="s"/>
      <c r="AC109" s="779" t="s"/>
    </row>
  </sheetData>
  <mergeCells count="31">
    <mergeCell ref="O12:O13"/>
    <mergeCell ref="O2:O4"/>
    <mergeCell ref="B2:B4"/>
    <mergeCell ref="A2:A4"/>
    <mergeCell ref="E3:F3"/>
    <mergeCell ref="G3:H3"/>
    <mergeCell ref="I2:J3"/>
    <mergeCell ref="M2:N3"/>
    <mergeCell ref="E5:F5"/>
    <mergeCell ref="G5:H5"/>
    <mergeCell ref="I5:J5"/>
    <mergeCell ref="M5:N5"/>
    <mergeCell ref="I6:J6"/>
    <mergeCell ref="I7:J7"/>
    <mergeCell ref="M6:N6"/>
    <mergeCell ref="M7:N7"/>
    <mergeCell ref="N37:N38"/>
    <mergeCell ref="M37:M38"/>
    <mergeCell ref="K2:L3"/>
    <mergeCell ref="K5:L5"/>
    <mergeCell ref="K6:L6"/>
    <mergeCell ref="K7:L7"/>
    <mergeCell ref="C5:D5"/>
    <mergeCell ref="C6:H6"/>
    <mergeCell ref="C7:H7"/>
    <mergeCell ref="C2:H2"/>
    <mergeCell ref="C3:D3"/>
    <mergeCell ref="A1:O1"/>
    <mergeCell ref="K22:K32"/>
    <mergeCell ref="O21:O33"/>
    <mergeCell ref="O36:O38"/>
  </mergeCells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甲供设备">
    <tabColor rgb="FFFFFFFF"/>
  </sheetPr>
  <dimension ref="AH447"/>
  <sheetViews>
    <sheetView showGridLines="true" rightToLeft="false" workbookViewId="0">
      <pane xSplit="7" ySplit="5" topLeftCell="H6" state="frozen"/>
    </sheetView>
  </sheetViews>
  <cols>
    <col min="1" max="1" width="5.00391" customWidth="true"/>
    <col min="2" max="2" width="17.8633" style="9" customWidth="true"/>
    <col min="3" max="3" width="23.6016" style="9" hidden="true" customWidth="true"/>
    <col min="4" max="4" width="28.8633" style="998" customWidth="true"/>
    <col min="5" max="5" width="6.87109" style="9" customWidth="true"/>
    <col min="6" max="6" width="6.74219" style="9" customWidth="true"/>
    <col min="7" max="7" width="12.0039" style="9" customWidth="true"/>
    <col min="8" max="8" width="11.8633" style="9" customWidth="true"/>
    <col min="9" max="9" width="7.71094" style="9" customWidth="true"/>
    <col min="10" max="10" width="7.71094" style="120" customWidth="true"/>
    <col min="11" max="11" width="11.332" style="120" customWidth="true"/>
    <col min="12" max="12" width="12.543" style="120" customWidth="true"/>
    <col min="13" max="13" width="10.9219" style="671" customWidth="true"/>
    <col min="14" max="14" width="12.543" style="671" customWidth="true"/>
    <col min="15" max="15" width="11.0625" style="671" customWidth="true"/>
    <col min="16" max="16" width="12.1406" style="671" customWidth="true"/>
    <col min="17" max="17" width="11.0625" style="671" customWidth="true"/>
    <col min="18" max="18" width="12.4141" style="671" customWidth="true"/>
    <col min="19" max="19" width="10.793" style="453" customWidth="true"/>
    <col min="20" max="20" width="11.4609" style="453" customWidth="true"/>
    <col min="21" max="21" width="7.71094" style="9" customWidth="true"/>
    <col min="22" max="22" width="10.1133" style="9" customWidth="true"/>
    <col min="23" max="24" width="10.793" style="9" customWidth="true"/>
    <col min="25" max="25" width="7.71094" style="9" customWidth="true"/>
    <col min="26" max="26" width="10.3828" style="9" customWidth="true"/>
    <col min="27" max="28" width="10.793" style="9" customWidth="true"/>
    <col min="29" max="29" width="7.71094" style="9" customWidth="true"/>
    <col min="30" max="30" width="10.9219" style="9" customWidth="true"/>
    <col min="31" max="32" width="10.793" style="9" customWidth="true"/>
    <col min="33" max="33" width="7.71094" style="9" customWidth="true"/>
    <col min="34" max="34" width="10.9219" style="9" customWidth="true"/>
  </cols>
  <sheetData>
    <row r="1" spans="1:36" ht="39" customHeight="true">
      <c r="A1" s="4" t="s">
        <v>1</v>
      </c>
      <c r="B1" s="9" t="s"/>
      <c r="C1" s="9" t="s"/>
      <c r="D1" s="9" t="s"/>
      <c r="E1" s="9" t="s"/>
      <c r="F1" s="9" t="s"/>
      <c r="G1" s="9" t="s"/>
      <c r="H1" s="9" t="s"/>
      <c r="I1" s="9" t="s"/>
      <c r="J1" s="575" t="s"/>
      <c r="K1" s="575" t="s"/>
      <c r="L1" s="575" t="s"/>
      <c r="M1" s="575" t="s"/>
      <c r="N1" s="575" t="s"/>
      <c r="O1" s="575" t="s"/>
      <c r="P1" s="575" t="s"/>
      <c r="Q1" s="575" t="s"/>
      <c r="R1" s="575" t="s"/>
      <c r="S1" s="575" t="s"/>
      <c r="T1" s="575" t="s"/>
      <c r="U1" s="9" t="s"/>
      <c r="V1" s="9" t="s"/>
      <c r="W1" s="9" t="s"/>
      <c r="X1" s="9" t="s"/>
      <c r="Y1" s="9" t="s"/>
      <c r="Z1" s="9" t="s"/>
      <c r="AA1" s="9" t="s"/>
      <c r="AB1" s="9" t="s"/>
      <c r="AC1" s="9" t="s"/>
      <c r="AD1" s="9" t="s"/>
      <c r="AE1" s="9" t="s"/>
      <c r="AF1" s="9" t="s"/>
      <c r="AG1" s="9" t="s"/>
      <c r="AH1" s="9" t="s"/>
      <c r="AI1" s="9" t="s"/>
      <c r="AJ1" s="9" t="s"/>
    </row>
    <row r="2" spans="1:36" customHeight="false">
      <c r="A2" s="576" t="s">
        <v>955</v>
      </c>
      <c r="B2" s="9" t="s"/>
      <c r="C2" s="9" t="s"/>
      <c r="D2" s="9" t="s"/>
      <c r="E2" s="9" t="s"/>
      <c r="F2" s="9" t="s"/>
      <c r="G2" s="9" t="s"/>
      <c r="H2" s="9" t="s"/>
      <c r="I2" s="9" t="s"/>
      <c r="J2" s="11" t="s"/>
      <c r="K2" s="11" t="s"/>
      <c r="L2" s="11" t="s"/>
      <c r="M2" s="11" t="s"/>
      <c r="N2" s="11" t="s"/>
      <c r="O2" s="11" t="s"/>
      <c r="P2" s="11" t="s"/>
      <c r="Q2" s="11" t="s"/>
      <c r="R2" s="11" t="s"/>
      <c r="S2" s="11" t="s"/>
      <c r="T2" s="11" t="s"/>
      <c r="U2" s="9" t="s"/>
      <c r="V2" s="9" t="s"/>
      <c r="W2" s="9" t="s"/>
      <c r="X2" s="9" t="s"/>
      <c r="Y2" s="9" t="s"/>
      <c r="Z2" s="9" t="s"/>
      <c r="AA2" s="9" t="s"/>
      <c r="AB2" s="9" t="s"/>
      <c r="AC2" s="9" t="s"/>
      <c r="AD2" s="9" t="s"/>
      <c r="AE2" s="9" t="s"/>
      <c r="AF2" s="9" t="s"/>
      <c r="AG2" s="9" t="s"/>
      <c r="AH2" s="9" t="s"/>
      <c r="AI2" s="9" t="s"/>
      <c r="AJ2" s="9" t="s"/>
    </row>
    <row r="3" spans="1:36">
      <c r="A3" s="43" t="s">
        <v>3</v>
      </c>
      <c r="B3" s="42" t="s">
        <v>4</v>
      </c>
      <c r="C3" s="41" t="s">
        <v>5</v>
      </c>
      <c r="D3" s="41" t="s">
        <v>6</v>
      </c>
      <c r="E3" s="16" t="s">
        <v>7</v>
      </c>
      <c r="F3" s="16" t="s">
        <v>8</v>
      </c>
      <c r="G3" s="17" t="s">
        <v>9</v>
      </c>
      <c r="H3" s="18" t="s"/>
      <c r="I3" s="577" t="s">
        <v>956</v>
      </c>
      <c r="J3" s="9" t="s"/>
      <c r="K3" s="9" t="s"/>
      <c r="L3" s="578" t="s"/>
      <c r="M3" s="579" t="s">
        <v>957</v>
      </c>
      <c r="N3" s="172" t="s"/>
      <c r="O3" s="579" t="s">
        <v>958</v>
      </c>
      <c r="P3" s="172" t="s"/>
      <c r="Q3" s="580" t="s">
        <v>2537</v>
      </c>
      <c r="R3" s="172" t="s"/>
      <c r="S3" s="581" t="s">
        <v>575</v>
      </c>
      <c r="T3" s="172" t="s"/>
      <c r="U3" s="434" t="s">
        <v>12</v>
      </c>
      <c r="V3" s="9" t="s"/>
      <c r="W3" s="9" t="s"/>
      <c r="X3" s="9" t="s"/>
      <c r="Y3" s="434" t="s">
        <v>13</v>
      </c>
      <c r="Z3" s="9" t="s"/>
      <c r="AA3" s="9" t="s"/>
      <c r="AB3" s="9" t="s"/>
      <c r="AC3" s="582" t="s">
        <v>14</v>
      </c>
      <c r="AD3" s="582" t="s"/>
      <c r="AE3" s="582" t="s"/>
      <c r="AF3" s="582" t="s"/>
      <c r="AG3" s="434" t="s">
        <v>15</v>
      </c>
      <c r="AH3" s="9" t="s"/>
      <c r="AI3" s="9" t="s"/>
      <c r="AJ3" s="9" t="s"/>
    </row>
    <row r="4" spans="1:36" customHeight="false">
      <c r="A4" s="583" t="s"/>
      <c r="B4" s="42" t="s"/>
      <c r="C4" s="41" t="s"/>
      <c r="D4" s="41" t="s"/>
      <c r="E4" s="16" t="s"/>
      <c r="F4" s="16" t="s"/>
      <c r="G4" s="17" t="s"/>
      <c r="H4" s="17" t="s"/>
      <c r="I4" s="584" t="s">
        <v>10</v>
      </c>
      <c r="J4" s="379" t="s">
        <v>11</v>
      </c>
      <c r="K4" s="355" t="s"/>
      <c r="L4" s="390" t="s"/>
      <c r="M4" s="180" t="s"/>
      <c r="N4" s="182" t="s"/>
      <c r="O4" s="180" t="s"/>
      <c r="P4" s="182" t="s"/>
      <c r="Q4" s="180" t="s"/>
      <c r="R4" s="182" t="s"/>
      <c r="S4" s="180" t="s"/>
      <c r="T4" s="182" t="s"/>
      <c r="U4" s="17" t="s"/>
      <c r="V4" s="17" t="s"/>
      <c r="W4" s="17" t="s"/>
      <c r="X4" s="17" t="s"/>
      <c r="Y4" s="17" t="s"/>
      <c r="Z4" s="17" t="s"/>
      <c r="AA4" s="17" t="s"/>
      <c r="AB4" s="17" t="s"/>
      <c r="AC4" s="582" t="s"/>
      <c r="AD4" s="582" t="s"/>
      <c r="AE4" s="582" t="s"/>
      <c r="AF4" s="582" t="s"/>
      <c r="AG4" s="17" t="s"/>
      <c r="AH4" s="17" t="s"/>
      <c r="AI4" s="17" t="s"/>
      <c r="AJ4" s="17" t="s"/>
    </row>
    <row r="5" spans="1:36" ht="21" customHeight="true">
      <c r="A5" s="585" t="s"/>
      <c r="B5" s="18" t="s"/>
      <c r="C5" s="18" t="s"/>
      <c r="D5" s="18" t="s"/>
      <c r="E5" s="18" t="s"/>
      <c r="F5" s="18" t="s"/>
      <c r="G5" s="17" t="s">
        <v>16</v>
      </c>
      <c r="H5" s="17" t="s">
        <v>17</v>
      </c>
      <c r="I5" s="61" t="s"/>
      <c r="J5" s="27" t="s">
        <v>18</v>
      </c>
      <c r="K5" s="27" t="s">
        <v>19</v>
      </c>
      <c r="L5" s="27" t="s">
        <v>20</v>
      </c>
      <c r="M5" s="586" t="s">
        <v>19</v>
      </c>
      <c r="N5" s="586" t="s">
        <v>20</v>
      </c>
      <c r="O5" s="586" t="s">
        <v>19</v>
      </c>
      <c r="P5" s="586" t="s">
        <v>20</v>
      </c>
      <c r="Q5" s="586" t="s">
        <v>19</v>
      </c>
      <c r="R5" s="586" t="s">
        <v>20</v>
      </c>
      <c r="S5" s="17" t="s">
        <v>579</v>
      </c>
      <c r="T5" s="17" t="s">
        <v>580</v>
      </c>
      <c r="U5" s="17" t="s">
        <v>21</v>
      </c>
      <c r="V5" s="17" t="s">
        <v>22</v>
      </c>
      <c r="W5" s="17" t="s">
        <v>19</v>
      </c>
      <c r="X5" s="17" t="s">
        <v>20</v>
      </c>
      <c r="Y5" s="17" t="s">
        <v>21</v>
      </c>
      <c r="Z5" s="17" t="s">
        <v>22</v>
      </c>
      <c r="AA5" s="17" t="s">
        <v>19</v>
      </c>
      <c r="AB5" s="17" t="s">
        <v>20</v>
      </c>
      <c r="AC5" s="587" t="s">
        <v>21</v>
      </c>
      <c r="AD5" s="582" t="s">
        <v>22</v>
      </c>
      <c r="AE5" s="582" t="s">
        <v>19</v>
      </c>
      <c r="AF5" s="582" t="s">
        <v>20</v>
      </c>
      <c r="AG5" s="17" t="s">
        <v>21</v>
      </c>
      <c r="AH5" s="17" t="s">
        <v>22</v>
      </c>
      <c r="AI5" s="17" t="s">
        <v>19</v>
      </c>
      <c r="AJ5" s="17" t="s">
        <v>20</v>
      </c>
    </row>
    <row r="6" spans="1:36" ht="21" customHeight="true">
      <c r="A6" s="588" t="s">
        <v>377</v>
      </c>
      <c r="B6" s="589" t="s">
        <v>959</v>
      </c>
      <c r="C6" s="355" t="s"/>
      <c r="D6" s="390" t="s"/>
      <c r="E6" s="16" t="s"/>
      <c r="F6" s="16" t="s"/>
      <c r="G6" s="16" t="s"/>
      <c r="H6" s="35" t="s"/>
      <c r="I6" s="119" t="s"/>
      <c r="J6" s="80" t="s"/>
      <c r="K6" s="80" t="s"/>
      <c r="L6" s="590">
        <f>=SUM(L7:L8)</f>
        <v>1703337.14</v>
      </c>
      <c r="M6" s="591" t="s"/>
      <c r="N6" s="592">
        <f>=SUM(N7:N8)</f>
        <v>1149012</v>
      </c>
      <c r="O6" s="591" t="s"/>
      <c r="P6" s="592">
        <f>=SUM(P7:P8)</f>
        <v>2200000</v>
      </c>
      <c r="Q6" s="591" t="s"/>
      <c r="R6" s="592">
        <f>=SUM(R7:R8)</f>
        <v>1365891</v>
      </c>
      <c r="S6" s="41" t="s"/>
      <c r="T6" s="41" t="s"/>
      <c r="U6" s="41" t="s"/>
      <c r="V6" s="41" t="s"/>
      <c r="W6" s="42" t="s"/>
      <c r="X6" s="42" t="s"/>
      <c r="Y6" s="41" t="s"/>
      <c r="Z6" s="41" t="s"/>
      <c r="AA6" s="42" t="s"/>
      <c r="AB6" s="42" t="s"/>
      <c r="AC6" s="582" t="s"/>
      <c r="AD6" s="582" t="s"/>
      <c r="AE6" s="582" t="s"/>
      <c r="AF6" s="582" t="s"/>
      <c r="AG6" s="41" t="s"/>
      <c r="AH6" s="41" t="s"/>
      <c r="AI6" s="42" t="s"/>
      <c r="AJ6" s="42" t="s"/>
    </row>
    <row r="7" spans="1:36" ht="21" customHeight="true">
      <c r="A7" s="593">
        <v>1</v>
      </c>
      <c r="B7" s="42" t="s">
        <v>960</v>
      </c>
      <c r="C7" s="42" t="s">
        <v>961</v>
      </c>
      <c r="D7" s="42" t="s">
        <v>961</v>
      </c>
      <c r="E7" s="123" t="s">
        <v>32</v>
      </c>
      <c r="F7" s="16">
        <v>2</v>
      </c>
      <c r="G7" s="16">
        <v>683200</v>
      </c>
      <c r="H7" s="35">
        <f>=G7*F7</f>
        <v>1366400</v>
      </c>
      <c r="I7" s="119">
        <v>2</v>
      </c>
      <c r="J7" s="594">
        <v>0.125</v>
      </c>
      <c r="K7" s="80">
        <f>=ROUND(S7*(1-J7),2)</f>
        <v>499774.19</v>
      </c>
      <c r="L7" s="80">
        <f>=ROUND(K7*I7,2)</f>
        <v>999548.38</v>
      </c>
      <c r="M7" s="595" t="s">
        <v>962</v>
      </c>
      <c r="N7" s="596">
        <f>=383004*3</f>
        <v>1149012</v>
      </c>
      <c r="O7" s="595" t="s">
        <v>963</v>
      </c>
      <c r="P7" s="597">
        <f>=440000*5</f>
        <v>2200000</v>
      </c>
      <c r="Q7" s="598" t="s">
        <v>964</v>
      </c>
      <c r="R7" s="598">
        <f>=322908*2</f>
        <v>645816</v>
      </c>
      <c r="S7" s="358">
        <f>=AVERAGE(W7,AA7,AE7,AI7)</f>
        <v>571170.5</v>
      </c>
      <c r="T7" s="41">
        <f>=MIN(W7,AA7,AE7,AI7)</f>
        <v>334682</v>
      </c>
      <c r="U7" s="599" t="s">
        <v>965</v>
      </c>
      <c r="V7" s="41" t="s">
        <v>727</v>
      </c>
      <c r="W7" s="42">
        <v>780000</v>
      </c>
      <c r="X7" s="42">
        <f>=W7*F7</f>
        <v>1560000</v>
      </c>
      <c r="Y7" s="41" t="s">
        <v>966</v>
      </c>
      <c r="Z7" s="41" t="s">
        <v>787</v>
      </c>
      <c r="AA7" s="42">
        <v>490000</v>
      </c>
      <c r="AB7" s="600">
        <f>=AA7*F7</f>
        <v>980000</v>
      </c>
      <c r="AC7" s="582" t="s">
        <v>730</v>
      </c>
      <c r="AD7" s="582" t="s">
        <v>731</v>
      </c>
      <c r="AE7" s="582">
        <v>680000</v>
      </c>
      <c r="AF7" s="582">
        <f>=AE7*F7</f>
        <v>1360000</v>
      </c>
      <c r="AG7" s="41" t="s">
        <v>967</v>
      </c>
      <c r="AH7" s="601" t="s">
        <v>729</v>
      </c>
      <c r="AI7" s="42">
        <v>334682</v>
      </c>
      <c r="AJ7" s="42">
        <f>=AI7*I7</f>
        <v>669364</v>
      </c>
    </row>
    <row r="8" spans="1:36" ht="21" customHeight="true">
      <c r="A8" s="43">
        <v>2</v>
      </c>
      <c r="B8" s="42" t="s">
        <v>960</v>
      </c>
      <c r="C8" s="42" t="s">
        <v>968</v>
      </c>
      <c r="D8" s="42" t="s">
        <v>968</v>
      </c>
      <c r="E8" s="123" t="s">
        <v>32</v>
      </c>
      <c r="F8" s="16">
        <v>2</v>
      </c>
      <c r="G8" s="16">
        <v>494500</v>
      </c>
      <c r="H8" s="35">
        <f>=G8*F8</f>
        <v>989000</v>
      </c>
      <c r="I8" s="119">
        <v>2</v>
      </c>
      <c r="J8" s="594">
        <v>0.125</v>
      </c>
      <c r="K8" s="80">
        <f>=ROUND(S8*(1-J8),2)</f>
        <v>351894.38</v>
      </c>
      <c r="L8" s="80">
        <f>=ROUND(K8*I8,2)</f>
        <v>703788.76</v>
      </c>
      <c r="M8" s="61" t="s"/>
      <c r="N8" s="61" t="s"/>
      <c r="O8" s="61" t="s"/>
      <c r="P8" s="61" t="s"/>
      <c r="Q8" s="598" t="s">
        <v>969</v>
      </c>
      <c r="R8" s="598">
        <f>=240025*3</f>
        <v>720075</v>
      </c>
      <c r="S8" s="358">
        <f>=AVERAGE(W8,AA8,AE8,AI8)</f>
        <v>402165</v>
      </c>
      <c r="T8" s="41">
        <f>=MIN(W8,AA8,AE8,AI8)</f>
        <v>218660</v>
      </c>
      <c r="U8" s="41" t="s">
        <v>965</v>
      </c>
      <c r="V8" s="41" t="s">
        <v>727</v>
      </c>
      <c r="W8" s="42">
        <v>665000</v>
      </c>
      <c r="X8" s="42">
        <f>=W8*F8</f>
        <v>1330000</v>
      </c>
      <c r="Y8" s="41" t="s">
        <v>966</v>
      </c>
      <c r="Z8" s="41" t="s">
        <v>787</v>
      </c>
      <c r="AA8" s="42">
        <v>390000</v>
      </c>
      <c r="AB8" s="600">
        <f>=AA8*F8</f>
        <v>780000</v>
      </c>
      <c r="AC8" s="582" t="s">
        <v>730</v>
      </c>
      <c r="AD8" s="582" t="s">
        <v>731</v>
      </c>
      <c r="AE8" s="582">
        <v>335000</v>
      </c>
      <c r="AF8" s="582">
        <f>=AE8*F8</f>
        <v>670000</v>
      </c>
      <c r="AG8" s="41" t="s">
        <v>967</v>
      </c>
      <c r="AH8" s="601" t="s">
        <v>729</v>
      </c>
      <c r="AI8" s="42">
        <v>218660</v>
      </c>
      <c r="AJ8" s="42">
        <f>=AI8*I8</f>
        <v>437320</v>
      </c>
    </row>
    <row r="9" spans="1:36" ht="31.5" customHeight="true">
      <c r="A9" s="588" t="s">
        <v>520</v>
      </c>
      <c r="B9" s="589" t="s">
        <v>970</v>
      </c>
      <c r="C9" s="355" t="s"/>
      <c r="D9" s="390" t="s"/>
      <c r="E9" s="16" t="s"/>
      <c r="F9" s="16" t="s"/>
      <c r="G9" s="16" t="s"/>
      <c r="H9" s="35" t="s"/>
      <c r="I9" s="119" t="s"/>
      <c r="J9" s="80" t="s"/>
      <c r="K9" s="80" t="s"/>
      <c r="L9" s="602">
        <f>=SUM(L10:L19)</f>
        <v>4007279.58</v>
      </c>
      <c r="M9" s="591" t="s"/>
      <c r="N9" s="592">
        <f>=SUM(N10:N19)</f>
        <v>5696600</v>
      </c>
      <c r="O9" s="591" t="s"/>
      <c r="P9" s="592">
        <f>=SUM(P10:P19)</f>
        <v>5100000</v>
      </c>
      <c r="Q9" s="591" t="s"/>
      <c r="R9" s="592">
        <f>=SUM(R10:R19)</f>
        <v>7184068</v>
      </c>
      <c r="S9" s="41" t="s"/>
      <c r="T9" s="41" t="s"/>
      <c r="U9" s="41" t="s"/>
      <c r="V9" s="41" t="s"/>
      <c r="W9" s="42" t="s"/>
      <c r="X9" s="42" t="s"/>
      <c r="Y9" s="41" t="s"/>
      <c r="Z9" s="41" t="s"/>
      <c r="AA9" s="42" t="s"/>
      <c r="AB9" s="42" t="s"/>
      <c r="AC9" s="582" t="s"/>
      <c r="AD9" s="582" t="s"/>
      <c r="AE9" s="582" t="s"/>
      <c r="AF9" s="582" t="s"/>
      <c r="AG9" s="41" t="s"/>
      <c r="AH9" s="41" t="s"/>
      <c r="AI9" s="42" t="s"/>
      <c r="AJ9" s="42" t="s"/>
    </row>
    <row r="10" spans="1:36" ht="31.5" customHeight="true">
      <c r="A10" s="43">
        <v>1</v>
      </c>
      <c r="B10" s="166" t="s">
        <v>392</v>
      </c>
      <c r="C10" s="42" t="s">
        <v>971</v>
      </c>
      <c r="D10" s="42" t="s">
        <v>971</v>
      </c>
      <c r="E10" s="16" t="s">
        <v>32</v>
      </c>
      <c r="F10" s="16">
        <v>3</v>
      </c>
      <c r="G10" s="49">
        <v>2377400</v>
      </c>
      <c r="H10" s="50">
        <f>=G10</f>
        <v>2377400</v>
      </c>
      <c r="I10" s="603">
        <v>3</v>
      </c>
      <c r="J10" s="604">
        <v>0.365</v>
      </c>
      <c r="K10" s="605">
        <f>=ROUND(S10*(1-J10),2)</f>
        <v>601274.44</v>
      </c>
      <c r="L10" s="605">
        <f>=ROUND(K10*I10,2)</f>
        <v>1803823.32</v>
      </c>
      <c r="M10" s="596" t="s">
        <v>972</v>
      </c>
      <c r="N10" s="596">
        <f>=265.58*10000</f>
        <v>2655800</v>
      </c>
      <c r="O10" s="596">
        <v>700000</v>
      </c>
      <c r="P10" s="596">
        <f>=O10*3</f>
        <v>2100000</v>
      </c>
      <c r="Q10" s="606">
        <f>=2744068/3</f>
        <v>914689.333333334</v>
      </c>
      <c r="R10" s="596">
        <f>=Q10*3</f>
        <v>2744068</v>
      </c>
      <c r="S10" s="359">
        <f>=AVERAGE(X10,AB10+AB11+AB12+AB13+AB14,AF10+AF11+AF12+AF13+AF14)/3</f>
        <v>946888.888888889</v>
      </c>
      <c r="T10" s="359">
        <f>=MIN(W10,AA10,AE10,AI10)</f>
        <v>722433.333333334</v>
      </c>
      <c r="U10" s="599" t="s">
        <v>973</v>
      </c>
      <c r="V10" s="41" t="s">
        <v>974</v>
      </c>
      <c r="W10" s="607">
        <f>=2167300/3</f>
        <v>722433.333333334</v>
      </c>
      <c r="X10" s="40">
        <f>=W10*F10</f>
        <v>2167300</v>
      </c>
      <c r="Y10" s="41" t="s">
        <v>975</v>
      </c>
      <c r="Z10" s="41" t="s">
        <v>976</v>
      </c>
      <c r="AA10" s="600">
        <v>890500</v>
      </c>
      <c r="AB10" s="600">
        <f>=AA10*F10</f>
        <v>2671500</v>
      </c>
      <c r="AC10" s="582" t="s">
        <v>977</v>
      </c>
      <c r="AD10" s="582" t="s">
        <v>978</v>
      </c>
      <c r="AE10" s="582">
        <v>860000</v>
      </c>
      <c r="AF10" s="582">
        <f>=AE10*F10</f>
        <v>2580000</v>
      </c>
      <c r="AG10" s="41" t="s"/>
      <c r="AH10" s="41" t="s"/>
      <c r="AI10" s="42" t="s"/>
      <c r="AJ10" s="42" t="s"/>
    </row>
    <row r="11" spans="1:36" ht="21" customHeight="true">
      <c r="A11" s="43">
        <v>2</v>
      </c>
      <c r="B11" s="166" t="s">
        <v>979</v>
      </c>
      <c r="C11" s="42" t="s">
        <v>980</v>
      </c>
      <c r="D11" s="42" t="s">
        <v>980</v>
      </c>
      <c r="E11" s="16" t="s">
        <v>32</v>
      </c>
      <c r="F11" s="16">
        <v>2</v>
      </c>
      <c r="G11" s="57" t="s"/>
      <c r="H11" s="57" t="s"/>
      <c r="I11" s="603">
        <v>2</v>
      </c>
      <c r="J11" s="57" t="s"/>
      <c r="K11" s="23" t="s"/>
      <c r="L11" s="23" t="s"/>
      <c r="M11" s="57" t="s"/>
      <c r="N11" s="57" t="s"/>
      <c r="O11" s="57" t="s"/>
      <c r="P11" s="57" t="s"/>
      <c r="Q11" s="375" t="s"/>
      <c r="R11" s="57" t="s"/>
      <c r="S11" s="57" t="s"/>
      <c r="T11" s="57" t="s"/>
      <c r="U11" s="41" t="s">
        <v>973</v>
      </c>
      <c r="V11" s="41" t="s">
        <v>974</v>
      </c>
      <c r="W11" s="57" t="s"/>
      <c r="X11" s="57" t="s"/>
      <c r="Y11" s="41" t="s">
        <v>975</v>
      </c>
      <c r="Z11" s="41" t="s">
        <v>976</v>
      </c>
      <c r="AA11" s="600">
        <v>182600</v>
      </c>
      <c r="AB11" s="600">
        <f>=AA11*F11</f>
        <v>365200</v>
      </c>
      <c r="AC11" s="582" t="s">
        <v>977</v>
      </c>
      <c r="AD11" s="582" t="s">
        <v>978</v>
      </c>
      <c r="AE11" s="582">
        <v>162500</v>
      </c>
      <c r="AF11" s="582">
        <f>=AE11*F11</f>
        <v>325000</v>
      </c>
      <c r="AG11" s="41" t="s"/>
      <c r="AH11" s="41" t="s"/>
      <c r="AI11" s="42" t="s"/>
      <c r="AJ11" s="42" t="s"/>
    </row>
    <row r="12" spans="1:36" ht="21" customHeight="true">
      <c r="A12" s="43">
        <v>3</v>
      </c>
      <c r="B12" s="42" t="s">
        <v>981</v>
      </c>
      <c r="C12" s="42" t="s">
        <v>982</v>
      </c>
      <c r="D12" s="42" t="s">
        <v>982</v>
      </c>
      <c r="E12" s="16" t="s">
        <v>36</v>
      </c>
      <c r="F12" s="16">
        <v>1</v>
      </c>
      <c r="G12" s="57" t="s"/>
      <c r="H12" s="57" t="s"/>
      <c r="I12" s="603">
        <v>1</v>
      </c>
      <c r="J12" s="57" t="s"/>
      <c r="K12" s="23" t="s"/>
      <c r="L12" s="23" t="s"/>
      <c r="M12" s="57" t="s"/>
      <c r="N12" s="57" t="s"/>
      <c r="O12" s="57" t="s"/>
      <c r="P12" s="57" t="s"/>
      <c r="Q12" s="375" t="s"/>
      <c r="R12" s="57" t="s"/>
      <c r="S12" s="57" t="s"/>
      <c r="T12" s="57" t="s"/>
      <c r="U12" s="41" t="s">
        <v>973</v>
      </c>
      <c r="V12" s="41" t="s">
        <v>974</v>
      </c>
      <c r="W12" s="57" t="s"/>
      <c r="X12" s="57" t="s"/>
      <c r="Y12" s="41" t="s">
        <v>975</v>
      </c>
      <c r="Z12" s="41" t="s">
        <v>976</v>
      </c>
      <c r="AA12" s="600">
        <v>18000</v>
      </c>
      <c r="AB12" s="600">
        <f>=AA12*F12</f>
        <v>18000</v>
      </c>
      <c r="AC12" s="582" t="s">
        <v>977</v>
      </c>
      <c r="AD12" s="582" t="s">
        <v>978</v>
      </c>
      <c r="AE12" s="582">
        <v>100000</v>
      </c>
      <c r="AF12" s="582">
        <f>=AE12*F12</f>
        <v>100000</v>
      </c>
      <c r="AG12" s="52" t="s"/>
      <c r="AH12" s="41" t="s"/>
      <c r="AI12" s="42" t="s"/>
      <c r="AJ12" s="42" t="s"/>
    </row>
    <row r="13" spans="1:36" ht="31.5" customHeight="true">
      <c r="A13" s="43">
        <v>4</v>
      </c>
      <c r="B13" s="42" t="s">
        <v>983</v>
      </c>
      <c r="C13" s="42" t="s">
        <v>984</v>
      </c>
      <c r="D13" s="42" t="s">
        <v>984</v>
      </c>
      <c r="E13" s="16" t="s">
        <v>32</v>
      </c>
      <c r="F13" s="16">
        <v>5</v>
      </c>
      <c r="G13" s="57" t="s"/>
      <c r="H13" s="57" t="s"/>
      <c r="I13" s="603">
        <v>5</v>
      </c>
      <c r="J13" s="57" t="s"/>
      <c r="K13" s="23" t="s"/>
      <c r="L13" s="23" t="s"/>
      <c r="M13" s="57" t="s"/>
      <c r="N13" s="57" t="s"/>
      <c r="O13" s="57" t="s"/>
      <c r="P13" s="57" t="s"/>
      <c r="Q13" s="375" t="s"/>
      <c r="R13" s="57" t="s"/>
      <c r="S13" s="57" t="s"/>
      <c r="T13" s="57" t="s"/>
      <c r="U13" s="41" t="s">
        <v>973</v>
      </c>
      <c r="V13" s="41" t="s">
        <v>974</v>
      </c>
      <c r="W13" s="57" t="s"/>
      <c r="X13" s="57" t="s"/>
      <c r="Y13" s="41" t="s">
        <v>975</v>
      </c>
      <c r="Z13" s="41" t="s">
        <v>976</v>
      </c>
      <c r="AA13" s="600">
        <v>15000</v>
      </c>
      <c r="AB13" s="600">
        <f>=AA13*F13</f>
        <v>75000</v>
      </c>
      <c r="AC13" s="582" t="s">
        <v>977</v>
      </c>
      <c r="AD13" s="582" t="s">
        <v>978</v>
      </c>
      <c r="AE13" s="582">
        <v>22000</v>
      </c>
      <c r="AF13" s="582">
        <f>=AE13*F13</f>
        <v>110000</v>
      </c>
      <c r="AG13" s="52" t="s"/>
      <c r="AH13" s="41" t="s"/>
      <c r="AI13" s="42" t="s"/>
      <c r="AJ13" s="42" t="s"/>
    </row>
    <row r="14" spans="1:36" ht="31.5" customHeight="true">
      <c r="A14" s="43">
        <v>5</v>
      </c>
      <c r="B14" s="42" t="s">
        <v>985</v>
      </c>
      <c r="C14" s="42" t="s">
        <v>986</v>
      </c>
      <c r="D14" s="42" t="s">
        <v>986</v>
      </c>
      <c r="E14" s="16" t="s">
        <v>45</v>
      </c>
      <c r="F14" s="16">
        <v>1</v>
      </c>
      <c r="G14" s="608" t="s"/>
      <c r="H14" s="61" t="s"/>
      <c r="I14" s="603">
        <v>1</v>
      </c>
      <c r="J14" s="61" t="s"/>
      <c r="K14" s="143" t="s"/>
      <c r="L14" s="143" t="s"/>
      <c r="M14" s="61" t="s"/>
      <c r="N14" s="61" t="s"/>
      <c r="O14" s="61" t="s"/>
      <c r="P14" s="61" t="s"/>
      <c r="Q14" s="381" t="s"/>
      <c r="R14" s="61" t="s"/>
      <c r="S14" s="61" t="s"/>
      <c r="T14" s="61" t="s"/>
      <c r="U14" s="41" t="s">
        <v>973</v>
      </c>
      <c r="V14" s="41" t="s">
        <v>974</v>
      </c>
      <c r="W14" s="61" t="s"/>
      <c r="X14" s="61" t="s"/>
      <c r="Y14" s="41" t="s">
        <v>975</v>
      </c>
      <c r="Z14" s="41" t="s">
        <v>976</v>
      </c>
      <c r="AA14" s="600">
        <v>10000</v>
      </c>
      <c r="AB14" s="600">
        <f>=AA14*F14</f>
        <v>10000</v>
      </c>
      <c r="AC14" s="582" t="s">
        <v>977</v>
      </c>
      <c r="AD14" s="582" t="s">
        <v>978</v>
      </c>
      <c r="AE14" s="582">
        <v>100000</v>
      </c>
      <c r="AF14" s="582">
        <f>=AE14*F14</f>
        <v>100000</v>
      </c>
      <c r="AG14" s="52" t="s"/>
      <c r="AH14" s="41" t="s"/>
      <c r="AI14" s="42" t="s"/>
      <c r="AJ14" s="42" t="s"/>
    </row>
    <row r="15" spans="1:36" ht="42" customHeight="true">
      <c r="A15" s="43">
        <v>6</v>
      </c>
      <c r="B15" s="42" t="s">
        <v>987</v>
      </c>
      <c r="C15" s="42" t="s">
        <v>988</v>
      </c>
      <c r="D15" s="42" t="s">
        <v>988</v>
      </c>
      <c r="E15" s="16" t="s">
        <v>32</v>
      </c>
      <c r="F15" s="43">
        <v>3</v>
      </c>
      <c r="G15" s="123">
        <v>2935300</v>
      </c>
      <c r="H15" s="50">
        <f>=G15</f>
        <v>2935300</v>
      </c>
      <c r="I15" s="609">
        <v>3</v>
      </c>
      <c r="J15" s="610">
        <v>0.375</v>
      </c>
      <c r="K15" s="605">
        <f>=ROUND(S15*(1-J15),2)</f>
        <v>734485.42</v>
      </c>
      <c r="L15" s="96">
        <f>=ROUND(K15*F15,2)</f>
        <v>2203456.26</v>
      </c>
      <c r="M15" s="596" t="s">
        <v>989</v>
      </c>
      <c r="N15" s="596">
        <f>=304.08*10000</f>
        <v>3040800</v>
      </c>
      <c r="O15" s="611">
        <v>750000</v>
      </c>
      <c r="P15" s="597">
        <f>=O15*4</f>
        <v>3000000</v>
      </c>
      <c r="Q15" s="606">
        <f>=4440000/3</f>
        <v>1480000</v>
      </c>
      <c r="R15" s="596">
        <f>=Q15*3</f>
        <v>4440000</v>
      </c>
      <c r="S15" s="359">
        <f>=AVERAGE(X15,AB15+AB16+AB17+AB18+AB19,AF15+AF16+AF17+AF18+AF19)/3</f>
        <v>1175176.66777778</v>
      </c>
      <c r="T15" s="359">
        <f>=MIN(W15,AA15,AE15,AI15)</f>
        <v>884896.666666667</v>
      </c>
      <c r="U15" s="599" t="s">
        <v>973</v>
      </c>
      <c r="V15" s="41" t="s">
        <v>974</v>
      </c>
      <c r="W15" s="50">
        <f>=2654690/3</f>
        <v>884896.666666667</v>
      </c>
      <c r="X15" s="49">
        <f>=W15*F15</f>
        <v>2654690</v>
      </c>
      <c r="Y15" s="41" t="s">
        <v>975</v>
      </c>
      <c r="Z15" s="41" t="s">
        <v>976</v>
      </c>
      <c r="AA15" s="600">
        <v>1229500</v>
      </c>
      <c r="AB15" s="600">
        <f>=AA15*F15</f>
        <v>3688500</v>
      </c>
      <c r="AC15" s="582" t="s">
        <v>977</v>
      </c>
      <c r="AD15" s="582" t="s">
        <v>978</v>
      </c>
      <c r="AE15" s="582">
        <v>1020000</v>
      </c>
      <c r="AF15" s="582">
        <f>=AE15*F15</f>
        <v>3060000</v>
      </c>
      <c r="AG15" s="52" t="s"/>
      <c r="AH15" s="41" t="s"/>
      <c r="AI15" s="42" t="s"/>
      <c r="AJ15" s="42" t="s"/>
    </row>
    <row r="16" spans="1:36" ht="21" customHeight="true">
      <c r="A16" s="43">
        <v>7</v>
      </c>
      <c r="B16" s="42" t="s">
        <v>979</v>
      </c>
      <c r="C16" s="42" t="s">
        <v>990</v>
      </c>
      <c r="D16" s="42" t="s">
        <v>990</v>
      </c>
      <c r="E16" s="16" t="s">
        <v>32</v>
      </c>
      <c r="F16" s="43">
        <v>2</v>
      </c>
      <c r="G16" s="9" t="s"/>
      <c r="H16" s="612" t="s"/>
      <c r="I16" s="609">
        <v>2</v>
      </c>
      <c r="J16" s="57" t="s"/>
      <c r="K16" s="613" t="s"/>
      <c r="L16" s="57" t="s"/>
      <c r="M16" s="57" t="s"/>
      <c r="N16" s="57" t="s"/>
      <c r="O16" s="58" t="s"/>
      <c r="P16" s="57" t="s"/>
      <c r="Q16" s="375" t="s"/>
      <c r="R16" s="57" t="s"/>
      <c r="S16" s="57" t="s"/>
      <c r="T16" s="57" t="s"/>
      <c r="U16" s="41" t="s">
        <v>973</v>
      </c>
      <c r="V16" s="41" t="s">
        <v>974</v>
      </c>
      <c r="W16" s="57" t="s"/>
      <c r="X16" s="57" t="s"/>
      <c r="Y16" s="41" t="s">
        <v>975</v>
      </c>
      <c r="Z16" s="41" t="s">
        <v>976</v>
      </c>
      <c r="AA16" s="600">
        <v>188700</v>
      </c>
      <c r="AB16" s="600">
        <f>=AA16*F16</f>
        <v>377400</v>
      </c>
      <c r="AC16" s="582" t="s">
        <v>977</v>
      </c>
      <c r="AD16" s="582" t="s">
        <v>978</v>
      </c>
      <c r="AE16" s="582">
        <v>163500</v>
      </c>
      <c r="AF16" s="582">
        <f>=AE16*F16</f>
        <v>327000</v>
      </c>
      <c r="AG16" s="52" t="s"/>
      <c r="AH16" s="41" t="s"/>
      <c r="AI16" s="42" t="s"/>
      <c r="AJ16" s="42" t="s"/>
    </row>
    <row r="17" spans="1:36" ht="21" customHeight="true">
      <c r="A17" s="43">
        <v>8</v>
      </c>
      <c r="B17" s="42" t="s">
        <v>981</v>
      </c>
      <c r="C17" s="42" t="s">
        <v>991</v>
      </c>
      <c r="D17" s="42" t="s">
        <v>991</v>
      </c>
      <c r="E17" s="16" t="s">
        <v>36</v>
      </c>
      <c r="F17" s="43">
        <v>1</v>
      </c>
      <c r="G17" s="9" t="s"/>
      <c r="H17" s="612" t="s"/>
      <c r="I17" s="609">
        <v>1</v>
      </c>
      <c r="J17" s="57" t="s"/>
      <c r="K17" s="613" t="s"/>
      <c r="L17" s="57" t="s"/>
      <c r="M17" s="57" t="s"/>
      <c r="N17" s="57" t="s"/>
      <c r="O17" s="58" t="s"/>
      <c r="P17" s="57" t="s"/>
      <c r="Q17" s="375" t="s"/>
      <c r="R17" s="57" t="s"/>
      <c r="S17" s="57" t="s"/>
      <c r="T17" s="57" t="s"/>
      <c r="U17" s="41" t="s">
        <v>973</v>
      </c>
      <c r="V17" s="41" t="s">
        <v>974</v>
      </c>
      <c r="W17" s="57" t="s"/>
      <c r="X17" s="57" t="s"/>
      <c r="Y17" s="41" t="s">
        <v>975</v>
      </c>
      <c r="Z17" s="41" t="s">
        <v>976</v>
      </c>
      <c r="AA17" s="600">
        <v>21000</v>
      </c>
      <c r="AB17" s="600">
        <f>=AA17*F17</f>
        <v>21000</v>
      </c>
      <c r="AC17" s="582" t="s">
        <v>977</v>
      </c>
      <c r="AD17" s="582" t="s">
        <v>978</v>
      </c>
      <c r="AE17" s="582">
        <v>110000</v>
      </c>
      <c r="AF17" s="582">
        <f>=AE17*F17</f>
        <v>110000</v>
      </c>
      <c r="AG17" s="52" t="s"/>
      <c r="AH17" s="41" t="s"/>
      <c r="AI17" s="42" t="s"/>
      <c r="AJ17" s="42" t="s"/>
    </row>
    <row r="18" spans="1:36" ht="31.5" customHeight="true">
      <c r="A18" s="43">
        <v>9</v>
      </c>
      <c r="B18" s="42" t="s">
        <v>992</v>
      </c>
      <c r="C18" s="42" t="s">
        <v>993</v>
      </c>
      <c r="D18" s="42" t="s">
        <v>993</v>
      </c>
      <c r="E18" s="16" t="s">
        <v>32</v>
      </c>
      <c r="F18" s="43">
        <v>3</v>
      </c>
      <c r="G18" s="9" t="s"/>
      <c r="H18" s="612" t="s"/>
      <c r="I18" s="609">
        <v>3</v>
      </c>
      <c r="J18" s="57" t="s"/>
      <c r="K18" s="613" t="s"/>
      <c r="L18" s="57" t="s"/>
      <c r="M18" s="57" t="s"/>
      <c r="N18" s="57" t="s"/>
      <c r="O18" s="58" t="s"/>
      <c r="P18" s="57" t="s"/>
      <c r="Q18" s="375" t="s"/>
      <c r="R18" s="57" t="s"/>
      <c r="S18" s="57" t="s"/>
      <c r="T18" s="57" t="s"/>
      <c r="U18" s="41" t="s">
        <v>973</v>
      </c>
      <c r="V18" s="41" t="s">
        <v>974</v>
      </c>
      <c r="W18" s="57" t="s"/>
      <c r="X18" s="57" t="s"/>
      <c r="Y18" s="41" t="s">
        <v>975</v>
      </c>
      <c r="Z18" s="41" t="s">
        <v>976</v>
      </c>
      <c r="AA18" s="600">
        <v>35000</v>
      </c>
      <c r="AB18" s="600">
        <f>=AA18*F18</f>
        <v>105000</v>
      </c>
      <c r="AC18" s="582" t="s">
        <v>977</v>
      </c>
      <c r="AD18" s="582" t="s">
        <v>978</v>
      </c>
      <c r="AE18" s="582">
        <v>40666.67</v>
      </c>
      <c r="AF18" s="582">
        <f>=AE18*F18</f>
        <v>122000.01</v>
      </c>
      <c r="AG18" s="52" t="s"/>
      <c r="AH18" s="41" t="s"/>
      <c r="AI18" s="42" t="s"/>
      <c r="AJ18" s="42" t="s"/>
    </row>
    <row r="19" spans="1:36" ht="31.5" customHeight="true">
      <c r="A19" s="43">
        <v>10</v>
      </c>
      <c r="B19" s="42" t="s">
        <v>985</v>
      </c>
      <c r="C19" s="42" t="s">
        <v>986</v>
      </c>
      <c r="D19" s="42" t="s">
        <v>986</v>
      </c>
      <c r="E19" s="16" t="s">
        <v>45</v>
      </c>
      <c r="F19" s="43">
        <v>1</v>
      </c>
      <c r="G19" s="9" t="s"/>
      <c r="H19" s="614" t="s"/>
      <c r="I19" s="609">
        <v>1</v>
      </c>
      <c r="J19" s="61" t="s"/>
      <c r="K19" s="615" t="s"/>
      <c r="L19" s="61" t="s"/>
      <c r="M19" s="61" t="s"/>
      <c r="N19" s="61" t="s"/>
      <c r="O19" s="87" t="s"/>
      <c r="P19" s="61" t="s"/>
      <c r="Q19" s="381" t="s"/>
      <c r="R19" s="61" t="s"/>
      <c r="S19" s="61" t="s"/>
      <c r="T19" s="61" t="s"/>
      <c r="U19" s="41" t="s">
        <v>973</v>
      </c>
      <c r="V19" s="41" t="s">
        <v>974</v>
      </c>
      <c r="W19" s="61" t="s"/>
      <c r="X19" s="61" t="s"/>
      <c r="Y19" s="41" t="s">
        <v>975</v>
      </c>
      <c r="Z19" s="41" t="s">
        <v>976</v>
      </c>
      <c r="AA19" s="600">
        <v>10000</v>
      </c>
      <c r="AB19" s="600">
        <f>=AA19*F19</f>
        <v>10000</v>
      </c>
      <c r="AC19" s="582" t="s">
        <v>977</v>
      </c>
      <c r="AD19" s="582" t="s">
        <v>978</v>
      </c>
      <c r="AE19" s="582">
        <v>101000</v>
      </c>
      <c r="AF19" s="582">
        <f>=AE19*F19</f>
        <v>101000</v>
      </c>
      <c r="AG19" s="52" t="s"/>
      <c r="AH19" s="41" t="s"/>
      <c r="AI19" s="42" t="s"/>
      <c r="AJ19" s="42" t="s"/>
    </row>
    <row r="20" spans="1:36" ht="21" customHeight="true">
      <c r="A20" s="588" t="s">
        <v>564</v>
      </c>
      <c r="B20" s="589" t="s">
        <v>994</v>
      </c>
      <c r="C20" s="355" t="s"/>
      <c r="D20" s="390" t="s"/>
      <c r="E20" s="16" t="s"/>
      <c r="F20" s="16" t="s"/>
      <c r="G20" s="16" t="s"/>
      <c r="H20" s="35" t="s"/>
      <c r="I20" s="119" t="s"/>
      <c r="J20" s="80" t="s"/>
      <c r="K20" s="80" t="s"/>
      <c r="L20" s="590">
        <f>=SUM(L21:L22)</f>
        <v>1007787.5</v>
      </c>
      <c r="M20" s="591" t="s"/>
      <c r="N20" s="592">
        <f>=SUM(N21:N22)</f>
        <v>1650000</v>
      </c>
      <c r="O20" s="592" t="s"/>
      <c r="P20" s="592">
        <f>=SUM(P21:P22)</f>
        <v>690000</v>
      </c>
      <c r="Q20" s="591" t="s"/>
      <c r="R20" s="592">
        <f>=SUM(R21:R22)</f>
        <v>1248390</v>
      </c>
      <c r="S20" s="41" t="s"/>
      <c r="T20" s="41" t="s"/>
      <c r="U20" s="41" t="s"/>
      <c r="V20" s="41" t="s"/>
      <c r="W20" s="16" t="s"/>
      <c r="X20" s="42" t="s"/>
      <c r="Y20" s="41" t="s"/>
      <c r="Z20" s="41" t="s"/>
      <c r="AA20" s="42" t="s"/>
      <c r="AB20" s="42" t="s"/>
      <c r="AC20" s="582" t="s"/>
      <c r="AD20" s="582" t="s"/>
      <c r="AE20" s="582" t="s"/>
      <c r="AF20" s="582" t="s"/>
      <c r="AG20" s="41" t="s"/>
      <c r="AH20" s="41" t="s"/>
      <c r="AI20" s="42" t="s"/>
      <c r="AJ20" s="42" t="s"/>
    </row>
    <row r="21" spans="1:36" ht="21" customHeight="true">
      <c r="A21" s="43">
        <v>1</v>
      </c>
      <c r="B21" s="42" t="s">
        <v>995</v>
      </c>
      <c r="C21" s="42" t="s">
        <v>996</v>
      </c>
      <c r="D21" s="42" t="s">
        <v>996</v>
      </c>
      <c r="E21" s="16" t="s">
        <v>32</v>
      </c>
      <c r="F21" s="16">
        <v>4</v>
      </c>
      <c r="G21" s="16">
        <v>156000</v>
      </c>
      <c r="H21" s="35">
        <f>=G21*F21</f>
        <v>624000</v>
      </c>
      <c r="I21" s="119">
        <v>5</v>
      </c>
      <c r="J21" s="594">
        <v>0.26</v>
      </c>
      <c r="K21" s="80">
        <f>=ROUND(S21*(1-J21),2)</f>
        <v>94464.7</v>
      </c>
      <c r="L21" s="616">
        <f>=ROUND(K21*I21,2)</f>
        <v>472323.5</v>
      </c>
      <c r="M21" s="595" t="s">
        <v>997</v>
      </c>
      <c r="N21" s="617">
        <f>=165*10000</f>
        <v>1650000</v>
      </c>
      <c r="O21" s="591">
        <v>115000</v>
      </c>
      <c r="P21" s="591">
        <f>=O21*2</f>
        <v>230000</v>
      </c>
      <c r="Q21" s="591">
        <v>83226</v>
      </c>
      <c r="R21" s="591">
        <f>=Q21*10</f>
        <v>832260</v>
      </c>
      <c r="S21" s="41">
        <f>=AVERAGE(W21,AA21,AE21,AI21)</f>
        <v>127655</v>
      </c>
      <c r="T21" s="41">
        <f>=MIN(W21,AA21,AE21,AI21)</f>
        <v>120310</v>
      </c>
      <c r="U21" s="599" t="s">
        <v>998</v>
      </c>
      <c r="V21" s="41" t="s">
        <v>999</v>
      </c>
      <c r="W21" s="16">
        <v>135000</v>
      </c>
      <c r="X21" s="42">
        <f>=W21*I21</f>
        <v>675000</v>
      </c>
      <c r="Y21" s="41" t="s">
        <v>1000</v>
      </c>
      <c r="Z21" s="41" t="s">
        <v>1001</v>
      </c>
      <c r="AA21" s="42" t="s">
        <v>823</v>
      </c>
      <c r="AB21" s="42" t="s">
        <v>823</v>
      </c>
      <c r="AC21" s="582" t="s">
        <v>1002</v>
      </c>
      <c r="AD21" s="582" t="s">
        <v>1003</v>
      </c>
      <c r="AE21" s="582">
        <v>120310</v>
      </c>
      <c r="AF21" s="582">
        <f>=AE21*I21</f>
        <v>601550</v>
      </c>
      <c r="AG21" s="41" t="s"/>
      <c r="AH21" s="41" t="s"/>
      <c r="AI21" s="42" t="s"/>
      <c r="AJ21" s="42" t="s"/>
    </row>
    <row r="22" spans="1:36" ht="21" customHeight="true">
      <c r="A22" s="43">
        <v>2</v>
      </c>
      <c r="B22" s="42" t="s">
        <v>1004</v>
      </c>
      <c r="C22" s="42" t="s">
        <v>1005</v>
      </c>
      <c r="D22" s="42" t="s">
        <v>1005</v>
      </c>
      <c r="E22" s="16" t="s">
        <v>36</v>
      </c>
      <c r="F22" s="16">
        <v>4</v>
      </c>
      <c r="G22" s="16">
        <v>169000</v>
      </c>
      <c r="H22" s="35">
        <f>=G22*F22</f>
        <v>676000</v>
      </c>
      <c r="I22" s="119">
        <v>5</v>
      </c>
      <c r="J22" s="594">
        <v>0.26</v>
      </c>
      <c r="K22" s="80">
        <f>=ROUND(S22*(1-J22),2)</f>
        <v>107092.8</v>
      </c>
      <c r="L22" s="616">
        <f>=ROUND(K22*I22,2)</f>
        <v>535464</v>
      </c>
      <c r="M22" s="61" t="s"/>
      <c r="N22" s="61" t="s"/>
      <c r="O22" s="591">
        <v>115000</v>
      </c>
      <c r="P22" s="591">
        <f>=O22*4</f>
        <v>460000</v>
      </c>
      <c r="Q22" s="591">
        <v>83226</v>
      </c>
      <c r="R22" s="591">
        <f>=Q22*5</f>
        <v>416130</v>
      </c>
      <c r="S22" s="41">
        <f>=AVERAGE(W22,AA22,AE22,AI22)</f>
        <v>144720</v>
      </c>
      <c r="T22" s="41">
        <f>=MIN(W22,AA22,AE22,AI22)</f>
        <v>129440</v>
      </c>
      <c r="U22" s="41" t="s">
        <v>998</v>
      </c>
      <c r="V22" s="41" t="s">
        <v>999</v>
      </c>
      <c r="W22" s="16">
        <v>160000</v>
      </c>
      <c r="X22" s="42">
        <f>=W22*I22</f>
        <v>800000</v>
      </c>
      <c r="Y22" s="41" t="s">
        <v>1000</v>
      </c>
      <c r="Z22" s="41" t="s">
        <v>1001</v>
      </c>
      <c r="AA22" s="42" t="s">
        <v>823</v>
      </c>
      <c r="AB22" s="42" t="s">
        <v>823</v>
      </c>
      <c r="AC22" s="582" t="s">
        <v>1002</v>
      </c>
      <c r="AD22" s="582" t="s">
        <v>1003</v>
      </c>
      <c r="AE22" s="582">
        <v>129440</v>
      </c>
      <c r="AF22" s="582">
        <f>=AE22*I22</f>
        <v>647200</v>
      </c>
      <c r="AG22" s="41" t="s"/>
      <c r="AH22" s="41" t="s"/>
      <c r="AI22" s="42" t="s"/>
      <c r="AJ22" s="42" t="s"/>
    </row>
    <row r="23" spans="1:36" ht="21" customHeight="true">
      <c r="A23" s="588" t="s">
        <v>566</v>
      </c>
      <c r="B23" s="589" t="s">
        <v>1006</v>
      </c>
      <c r="C23" s="355" t="s"/>
      <c r="D23" s="390" t="s"/>
      <c r="E23" s="16" t="s"/>
      <c r="F23" s="16" t="s"/>
      <c r="G23" s="16" t="s"/>
      <c r="H23" s="35" t="s"/>
      <c r="I23" s="119" t="s"/>
      <c r="J23" s="80" t="s"/>
      <c r="K23" s="80" t="s"/>
      <c r="L23" s="602">
        <f>=L24</f>
        <v>600838</v>
      </c>
      <c r="M23" s="591" t="s"/>
      <c r="N23" s="592">
        <f>=N24</f>
        <v>2210000</v>
      </c>
      <c r="O23" s="591" t="s"/>
      <c r="P23" s="592">
        <f>=P24</f>
        <v>2160000</v>
      </c>
      <c r="Q23" s="591" t="s"/>
      <c r="R23" s="592">
        <f>=R24</f>
        <v>334650</v>
      </c>
      <c r="S23" s="41" t="s"/>
      <c r="T23" s="41" t="s"/>
      <c r="U23" s="41" t="s"/>
      <c r="V23" s="41" t="s"/>
      <c r="W23" s="16" t="s"/>
      <c r="X23" s="42" t="s"/>
      <c r="Y23" s="41" t="s"/>
      <c r="Z23" s="41" t="s"/>
      <c r="AA23" s="42" t="s"/>
      <c r="AB23" s="42" t="s"/>
      <c r="AC23" s="582" t="s"/>
      <c r="AD23" s="582" t="s"/>
      <c r="AE23" s="582" t="s"/>
      <c r="AF23" s="582" t="s"/>
      <c r="AG23" s="41" t="s"/>
      <c r="AH23" s="41" t="s"/>
      <c r="AI23" s="42" t="s"/>
      <c r="AJ23" s="42" t="s"/>
    </row>
    <row r="24" spans="1:36" customHeight="false">
      <c r="A24" s="43">
        <v>1</v>
      </c>
      <c r="B24" s="42" t="s">
        <v>1007</v>
      </c>
      <c r="C24" s="42" t="s">
        <v>1008</v>
      </c>
      <c r="D24" s="42" t="s">
        <v>1008</v>
      </c>
      <c r="E24" s="16" t="s">
        <v>32</v>
      </c>
      <c r="F24" s="16">
        <v>4</v>
      </c>
      <c r="G24" s="16">
        <v>170000</v>
      </c>
      <c r="H24" s="35">
        <f>=G24*F24</f>
        <v>680000</v>
      </c>
      <c r="I24" s="119">
        <v>5</v>
      </c>
      <c r="J24" s="108">
        <v>0.51</v>
      </c>
      <c r="K24" s="80">
        <f>=ROUND(S24*(1-J24),2)</f>
        <v>120167.6</v>
      </c>
      <c r="L24" s="616">
        <f>=ROUND(K24*I24,2)</f>
        <v>600838</v>
      </c>
      <c r="M24" s="591" t="s">
        <v>1009</v>
      </c>
      <c r="N24" s="598">
        <f>=221*10000</f>
        <v>2210000</v>
      </c>
      <c r="O24" s="598">
        <v>135000</v>
      </c>
      <c r="P24" s="598">
        <f>=O24*16</f>
        <v>2160000</v>
      </c>
      <c r="Q24" s="598">
        <v>111550</v>
      </c>
      <c r="R24" s="591">
        <f>=Q24*3</f>
        <v>334650</v>
      </c>
      <c r="S24" s="41">
        <f>=AVERAGE(W24,AA24,AE24,AI24)</f>
        <v>245240</v>
      </c>
      <c r="T24" s="41">
        <f>=MIN(W24,AA24,AE24,AI24)</f>
        <v>195000</v>
      </c>
      <c r="U24" s="599" t="s">
        <v>965</v>
      </c>
      <c r="V24" s="41" t="s">
        <v>727</v>
      </c>
      <c r="W24" s="429">
        <v>195000</v>
      </c>
      <c r="X24" s="41">
        <f>=W24*I24</f>
        <v>975000</v>
      </c>
      <c r="Y24" s="41" t="s">
        <v>966</v>
      </c>
      <c r="Z24" s="41" t="s">
        <v>787</v>
      </c>
      <c r="AA24" s="41">
        <v>225000</v>
      </c>
      <c r="AB24" s="536">
        <f>=AA24*I24</f>
        <v>1125000</v>
      </c>
      <c r="AC24" s="582" t="s">
        <v>730</v>
      </c>
      <c r="AD24" s="582" t="s">
        <v>731</v>
      </c>
      <c r="AE24" s="582">
        <v>285000</v>
      </c>
      <c r="AF24" s="582">
        <f>=AE24*I24</f>
        <v>1425000</v>
      </c>
      <c r="AG24" s="41" t="s">
        <v>967</v>
      </c>
      <c r="AH24" s="601" t="s">
        <v>729</v>
      </c>
      <c r="AI24" s="41">
        <v>275960</v>
      </c>
      <c r="AJ24" s="42">
        <f>=AI24*I24</f>
        <v>1379800</v>
      </c>
    </row>
    <row r="25" spans="1:36" ht="21" customHeight="true">
      <c r="A25" s="588" t="s">
        <v>568</v>
      </c>
      <c r="B25" s="589" t="s">
        <v>1010</v>
      </c>
      <c r="C25" s="355" t="s"/>
      <c r="D25" s="390" t="s"/>
      <c r="E25" s="16" t="s"/>
      <c r="F25" s="16" t="s"/>
      <c r="G25" s="16" t="s"/>
      <c r="H25" s="35" t="s"/>
      <c r="I25" s="119" t="s"/>
      <c r="J25" s="80" t="s"/>
      <c r="K25" s="80" t="s"/>
      <c r="L25" s="590">
        <f>=L26</f>
        <v>33055670.58</v>
      </c>
      <c r="M25" s="591" t="s"/>
      <c r="N25" s="618">
        <f>=N26</f>
        <v>63188094</v>
      </c>
      <c r="O25" s="591" t="s"/>
      <c r="P25" s="618" t="s">
        <f>=P26</f>
        <v>654</v>
      </c>
      <c r="Q25" s="591" t="s"/>
      <c r="R25" s="618">
        <f>=R26</f>
        <v>25984134.11</v>
      </c>
      <c r="S25" s="41" t="s"/>
      <c r="T25" s="41" t="s"/>
      <c r="U25" s="41" t="s"/>
      <c r="V25" s="41" t="s"/>
      <c r="W25" s="16" t="s"/>
      <c r="X25" s="42" t="s"/>
      <c r="Y25" s="41" t="s"/>
      <c r="Z25" s="41" t="s"/>
      <c r="AA25" s="42" t="s"/>
      <c r="AB25" s="42" t="s"/>
      <c r="AC25" s="582" t="s"/>
      <c r="AD25" s="582" t="s"/>
      <c r="AE25" s="582" t="s"/>
      <c r="AF25" s="582" t="s"/>
      <c r="AG25" s="41" t="s"/>
      <c r="AH25" s="41" t="s"/>
      <c r="AI25" s="42" t="s"/>
      <c r="AJ25" s="42" t="s"/>
    </row>
    <row r="26" spans="1:36" ht="42" customHeight="true">
      <c r="A26" s="43">
        <v>1</v>
      </c>
      <c r="B26" s="42" t="s">
        <v>1011</v>
      </c>
      <c r="C26" s="42" t="s">
        <v>1012</v>
      </c>
      <c r="D26" s="42" t="s">
        <v>1013</v>
      </c>
      <c r="E26" s="16" t="s">
        <v>32</v>
      </c>
      <c r="F26" s="16">
        <v>8</v>
      </c>
      <c r="G26" s="49">
        <v>32000000</v>
      </c>
      <c r="H26" s="49">
        <v>32000000</v>
      </c>
      <c r="I26" s="96">
        <v>1</v>
      </c>
      <c r="J26" s="619">
        <v>0.02</v>
      </c>
      <c r="K26" s="96">
        <f>=ROUND(S26*(1-J26),2)</f>
        <v>33055670.58</v>
      </c>
      <c r="L26" s="96">
        <f>=K26*I26</f>
        <v>33055670.58</v>
      </c>
      <c r="M26" s="595" t="s">
        <v>1014</v>
      </c>
      <c r="N26" s="596">
        <f>=65073094-1885000</f>
        <v>63188094</v>
      </c>
      <c r="O26" s="617" t="s">
        <v>654</v>
      </c>
      <c r="P26" s="617" t="s">
        <v>654</v>
      </c>
      <c r="Q26" s="617">
        <f>=23714533+2269601.11</f>
        <v>25984134.11</v>
      </c>
      <c r="R26" s="617">
        <f>=Q26</f>
        <v>25984134.11</v>
      </c>
      <c r="S26" s="38">
        <v>33730276.1</v>
      </c>
      <c r="T26" s="38">
        <f>=AA26</f>
        <v>29726630.19</v>
      </c>
      <c r="U26" s="41" t="s">
        <v>772</v>
      </c>
      <c r="V26" s="41" t="s">
        <v>773</v>
      </c>
      <c r="W26" s="236">
        <v>3152000</v>
      </c>
      <c r="X26" s="42">
        <f>=W26*F26</f>
        <v>25216000</v>
      </c>
      <c r="Y26" s="41" t="s">
        <v>1015</v>
      </c>
      <c r="Z26" s="41" t="s">
        <v>1016</v>
      </c>
      <c r="AA26" s="40">
        <v>29726630.19</v>
      </c>
      <c r="AB26" s="40">
        <f>=AA26</f>
        <v>29726630.19</v>
      </c>
      <c r="AC26" s="582" t="s">
        <v>1017</v>
      </c>
      <c r="AD26" s="582" t="s">
        <v>1018</v>
      </c>
      <c r="AE26" s="582" t="s">
        <v>823</v>
      </c>
      <c r="AF26" s="582" t="s">
        <v>823</v>
      </c>
      <c r="AG26" s="41" t="s"/>
      <c r="AH26" s="41" t="s"/>
      <c r="AI26" s="42" t="s"/>
      <c r="AJ26" s="42" t="s"/>
    </row>
    <row r="27" spans="1:36" ht="31.5" customHeight="true">
      <c r="A27" s="43">
        <v>2</v>
      </c>
      <c r="B27" s="42" t="s">
        <v>671</v>
      </c>
      <c r="C27" s="42" t="s">
        <v>1019</v>
      </c>
      <c r="D27" s="42" t="s">
        <v>1019</v>
      </c>
      <c r="E27" s="16" t="s">
        <v>32</v>
      </c>
      <c r="F27" s="16">
        <v>8</v>
      </c>
      <c r="G27" s="57" t="s"/>
      <c r="H27" s="612" t="s"/>
      <c r="I27" s="57" t="s"/>
      <c r="J27" s="57" t="s"/>
      <c r="K27" s="57" t="s"/>
      <c r="L27" s="620" t="s"/>
      <c r="M27" s="23" t="s"/>
      <c r="N27" s="57" t="s"/>
      <c r="O27" s="57" t="s"/>
      <c r="P27" s="57" t="s"/>
      <c r="Q27" s="57" t="s"/>
      <c r="R27" s="57" t="s"/>
      <c r="S27" s="57" t="s"/>
      <c r="T27" s="57" t="s"/>
      <c r="U27" s="41" t="s">
        <v>772</v>
      </c>
      <c r="V27" s="41" t="s">
        <v>773</v>
      </c>
      <c r="W27" s="16">
        <v>58000</v>
      </c>
      <c r="X27" s="42">
        <f>=W27*F27</f>
        <v>464000</v>
      </c>
      <c r="Y27" s="41" t="s">
        <v>1015</v>
      </c>
      <c r="Z27" s="41" t="s">
        <v>1016</v>
      </c>
      <c r="AA27" s="57" t="s"/>
      <c r="AB27" s="621" t="s"/>
      <c r="AC27" s="582" t="s">
        <v>1017</v>
      </c>
      <c r="AD27" s="582" t="s">
        <v>1018</v>
      </c>
      <c r="AE27" s="582" t="s">
        <v>823</v>
      </c>
      <c r="AF27" s="582" t="s">
        <v>823</v>
      </c>
      <c r="AG27" s="41" t="s"/>
      <c r="AH27" s="41" t="s"/>
      <c r="AI27" s="42" t="s"/>
      <c r="AJ27" s="42" t="s"/>
    </row>
    <row r="28" spans="1:36" ht="31.5" customHeight="true">
      <c r="A28" s="43">
        <v>3</v>
      </c>
      <c r="B28" s="41" t="s">
        <v>760</v>
      </c>
      <c r="C28" s="41" t="s">
        <v>1019</v>
      </c>
      <c r="D28" s="41" t="s">
        <v>1019</v>
      </c>
      <c r="E28" s="16" t="s">
        <v>32</v>
      </c>
      <c r="F28" s="42">
        <v>8</v>
      </c>
      <c r="G28" s="57" t="s"/>
      <c r="H28" s="612" t="s"/>
      <c r="I28" s="57" t="s"/>
      <c r="J28" s="57" t="s"/>
      <c r="K28" s="57" t="s"/>
      <c r="L28" s="620" t="s"/>
      <c r="M28" s="23" t="s"/>
      <c r="N28" s="57" t="s"/>
      <c r="O28" s="57" t="s"/>
      <c r="P28" s="57" t="s"/>
      <c r="Q28" s="57" t="s"/>
      <c r="R28" s="57" t="s"/>
      <c r="S28" s="57" t="s"/>
      <c r="T28" s="57" t="s"/>
      <c r="U28" s="41" t="s">
        <v>772</v>
      </c>
      <c r="V28" s="41" t="s">
        <v>773</v>
      </c>
      <c r="W28" s="16">
        <v>58000</v>
      </c>
      <c r="X28" s="42">
        <f>=W28*F28</f>
        <v>464000</v>
      </c>
      <c r="Y28" s="41" t="s">
        <v>1015</v>
      </c>
      <c r="Z28" s="41" t="s">
        <v>1016</v>
      </c>
      <c r="AA28" s="57" t="s"/>
      <c r="AB28" s="621" t="s"/>
      <c r="AC28" s="582" t="s">
        <v>1017</v>
      </c>
      <c r="AD28" s="582" t="s">
        <v>1018</v>
      </c>
      <c r="AE28" s="582" t="s">
        <v>823</v>
      </c>
      <c r="AF28" s="582" t="s">
        <v>823</v>
      </c>
      <c r="AG28" s="41" t="s"/>
      <c r="AH28" s="41" t="s"/>
      <c r="AI28" s="42" t="s"/>
      <c r="AJ28" s="42" t="s"/>
    </row>
    <row r="29" spans="1:36" ht="21" customHeight="true">
      <c r="A29" s="43">
        <v>4</v>
      </c>
      <c r="B29" s="622" t="s">
        <v>611</v>
      </c>
      <c r="C29" s="622" t="s">
        <v>771</v>
      </c>
      <c r="D29" s="622" t="s">
        <v>771</v>
      </c>
      <c r="E29" s="16" t="s">
        <v>32</v>
      </c>
      <c r="F29" s="16">
        <v>2</v>
      </c>
      <c r="G29" s="57" t="s"/>
      <c r="H29" s="612" t="s"/>
      <c r="I29" s="57" t="s"/>
      <c r="J29" s="57" t="s"/>
      <c r="K29" s="57" t="s"/>
      <c r="L29" s="620" t="s"/>
      <c r="M29" s="23" t="s"/>
      <c r="N29" s="57" t="s"/>
      <c r="O29" s="57" t="s"/>
      <c r="P29" s="57" t="s"/>
      <c r="Q29" s="57" t="s"/>
      <c r="R29" s="57" t="s"/>
      <c r="S29" s="57" t="s"/>
      <c r="T29" s="57" t="s"/>
      <c r="U29" s="41" t="s">
        <v>772</v>
      </c>
      <c r="V29" s="41" t="s">
        <v>773</v>
      </c>
      <c r="W29" s="16">
        <v>436000</v>
      </c>
      <c r="X29" s="42">
        <f>=W29*F29</f>
        <v>872000</v>
      </c>
      <c r="Y29" s="41" t="s">
        <v>1015</v>
      </c>
      <c r="Z29" s="41" t="s">
        <v>1016</v>
      </c>
      <c r="AA29" s="57" t="s"/>
      <c r="AB29" s="621" t="s"/>
      <c r="AC29" s="582" t="s">
        <v>1017</v>
      </c>
      <c r="AD29" s="582" t="s">
        <v>1018</v>
      </c>
      <c r="AE29" s="582" t="s">
        <v>823</v>
      </c>
      <c r="AF29" s="582" t="s">
        <v>823</v>
      </c>
      <c r="AG29" s="41" t="s"/>
      <c r="AH29" s="41" t="s"/>
      <c r="AI29" s="42" t="s"/>
      <c r="AJ29" s="42" t="s"/>
    </row>
    <row r="30" spans="1:36" ht="21" customHeight="true">
      <c r="A30" s="43">
        <v>5</v>
      </c>
      <c r="B30" s="42" t="s">
        <v>1020</v>
      </c>
      <c r="C30" s="42" t="s">
        <v>1021</v>
      </c>
      <c r="D30" s="622" t="s">
        <v>1022</v>
      </c>
      <c r="E30" s="16" t="s">
        <v>32</v>
      </c>
      <c r="F30" s="16">
        <v>9</v>
      </c>
      <c r="G30" s="57" t="s"/>
      <c r="H30" s="612" t="s"/>
      <c r="I30" s="57" t="s"/>
      <c r="J30" s="57" t="s"/>
      <c r="K30" s="57" t="s"/>
      <c r="L30" s="620" t="s"/>
      <c r="M30" s="23" t="s"/>
      <c r="N30" s="57" t="s"/>
      <c r="O30" s="57" t="s"/>
      <c r="P30" s="57" t="s"/>
      <c r="Q30" s="57" t="s"/>
      <c r="R30" s="57" t="s"/>
      <c r="S30" s="57" t="s"/>
      <c r="T30" s="57" t="s"/>
      <c r="U30" s="41" t="s">
        <v>772</v>
      </c>
      <c r="V30" s="41" t="s">
        <v>773</v>
      </c>
      <c r="W30" s="16">
        <v>54620</v>
      </c>
      <c r="X30" s="42">
        <f>=W30*F30</f>
        <v>491580</v>
      </c>
      <c r="Y30" s="41" t="s">
        <v>1015</v>
      </c>
      <c r="Z30" s="41" t="s">
        <v>1016</v>
      </c>
      <c r="AA30" s="57" t="s"/>
      <c r="AB30" s="621" t="s"/>
      <c r="AC30" s="582" t="s">
        <v>1017</v>
      </c>
      <c r="AD30" s="582" t="s">
        <v>1018</v>
      </c>
      <c r="AE30" s="582" t="s">
        <v>823</v>
      </c>
      <c r="AF30" s="582" t="s">
        <v>823</v>
      </c>
      <c r="AG30" s="41" t="s"/>
      <c r="AH30" s="41" t="s"/>
      <c r="AI30" s="42" t="s"/>
      <c r="AJ30" s="42" t="s"/>
    </row>
    <row r="31" spans="1:36" ht="21" customHeight="true">
      <c r="A31" s="43">
        <v>6</v>
      </c>
      <c r="B31" s="42" t="s">
        <v>1023</v>
      </c>
      <c r="C31" s="42" t="s">
        <v>1024</v>
      </c>
      <c r="D31" s="42" t="s">
        <v>1024</v>
      </c>
      <c r="E31" s="16" t="s">
        <v>32</v>
      </c>
      <c r="F31" s="16">
        <v>8</v>
      </c>
      <c r="G31" s="57" t="s"/>
      <c r="H31" s="612" t="s"/>
      <c r="I31" s="57" t="s"/>
      <c r="J31" s="57" t="s"/>
      <c r="K31" s="57" t="s"/>
      <c r="L31" s="620" t="s"/>
      <c r="M31" s="23" t="s"/>
      <c r="N31" s="57" t="s"/>
      <c r="O31" s="57" t="s"/>
      <c r="P31" s="57" t="s"/>
      <c r="Q31" s="57" t="s"/>
      <c r="R31" s="57" t="s"/>
      <c r="S31" s="57" t="s"/>
      <c r="T31" s="57" t="s"/>
      <c r="U31" s="41" t="s">
        <v>772</v>
      </c>
      <c r="V31" s="41" t="s">
        <v>773</v>
      </c>
      <c r="W31" s="16">
        <v>17795</v>
      </c>
      <c r="X31" s="42">
        <f>=W31*F31</f>
        <v>142360</v>
      </c>
      <c r="Y31" s="41" t="s">
        <v>1015</v>
      </c>
      <c r="Z31" s="41" t="s">
        <v>1016</v>
      </c>
      <c r="AA31" s="57" t="s"/>
      <c r="AB31" s="621" t="s"/>
      <c r="AC31" s="582" t="s">
        <v>1017</v>
      </c>
      <c r="AD31" s="582" t="s">
        <v>1018</v>
      </c>
      <c r="AE31" s="582" t="s">
        <v>823</v>
      </c>
      <c r="AF31" s="582" t="s">
        <v>823</v>
      </c>
      <c r="AG31" s="41" t="s"/>
      <c r="AH31" s="41" t="s"/>
      <c r="AI31" s="42" t="s"/>
      <c r="AJ31" s="42" t="s"/>
    </row>
    <row r="32" spans="1:36" ht="21" customHeight="true">
      <c r="A32" s="43">
        <v>7</v>
      </c>
      <c r="B32" s="42" t="s">
        <v>1025</v>
      </c>
      <c r="C32" s="42" t="s">
        <v>1026</v>
      </c>
      <c r="D32" s="42" t="s">
        <v>1026</v>
      </c>
      <c r="E32" s="16" t="s">
        <v>32</v>
      </c>
      <c r="F32" s="16">
        <v>2</v>
      </c>
      <c r="G32" s="57" t="s"/>
      <c r="H32" s="612" t="s"/>
      <c r="I32" s="57" t="s"/>
      <c r="J32" s="57" t="s"/>
      <c r="K32" s="57" t="s"/>
      <c r="L32" s="620" t="s"/>
      <c r="M32" s="23" t="s"/>
      <c r="N32" s="57" t="s"/>
      <c r="O32" s="57" t="s"/>
      <c r="P32" s="57" t="s"/>
      <c r="Q32" s="57" t="s"/>
      <c r="R32" s="57" t="s"/>
      <c r="S32" s="57" t="s"/>
      <c r="T32" s="57" t="s"/>
      <c r="U32" s="599" t="s">
        <v>772</v>
      </c>
      <c r="V32" s="41" t="s">
        <v>773</v>
      </c>
      <c r="W32" s="16">
        <v>43346</v>
      </c>
      <c r="X32" s="42">
        <f>=W32*F32</f>
        <v>86692</v>
      </c>
      <c r="Y32" s="41" t="s">
        <v>1015</v>
      </c>
      <c r="Z32" s="41" t="s">
        <v>1016</v>
      </c>
      <c r="AA32" s="57" t="s"/>
      <c r="AB32" s="621" t="s"/>
      <c r="AC32" s="582" t="s">
        <v>1017</v>
      </c>
      <c r="AD32" s="582" t="s">
        <v>1018</v>
      </c>
      <c r="AE32" s="582" t="s">
        <v>823</v>
      </c>
      <c r="AF32" s="582" t="s">
        <v>823</v>
      </c>
      <c r="AG32" s="41" t="s"/>
      <c r="AH32" s="41" t="s"/>
      <c r="AI32" s="42" t="s"/>
      <c r="AJ32" s="42" t="s"/>
    </row>
    <row r="33" spans="1:36" ht="21" customHeight="true">
      <c r="A33" s="43">
        <v>8</v>
      </c>
      <c r="B33" s="42" t="s">
        <v>1027</v>
      </c>
      <c r="C33" s="42" t="s">
        <v>1028</v>
      </c>
      <c r="D33" s="42" t="s">
        <v>1028</v>
      </c>
      <c r="E33" s="16" t="s">
        <v>32</v>
      </c>
      <c r="F33" s="16">
        <v>2</v>
      </c>
      <c r="G33" s="57" t="s"/>
      <c r="H33" s="612" t="s"/>
      <c r="I33" s="57" t="s"/>
      <c r="J33" s="57" t="s"/>
      <c r="K33" s="57" t="s"/>
      <c r="L33" s="620" t="s"/>
      <c r="M33" s="23" t="s"/>
      <c r="N33" s="57" t="s"/>
      <c r="O33" s="57" t="s"/>
      <c r="P33" s="57" t="s"/>
      <c r="Q33" s="57" t="s"/>
      <c r="R33" s="57" t="s"/>
      <c r="S33" s="57" t="s"/>
      <c r="T33" s="57" t="s"/>
      <c r="U33" s="41" t="s">
        <v>772</v>
      </c>
      <c r="V33" s="41" t="s">
        <v>773</v>
      </c>
      <c r="W33" s="16">
        <v>30000</v>
      </c>
      <c r="X33" s="42">
        <f>=W33*F33</f>
        <v>60000</v>
      </c>
      <c r="Y33" s="41" t="s">
        <v>1015</v>
      </c>
      <c r="Z33" s="41" t="s">
        <v>1016</v>
      </c>
      <c r="AA33" s="57" t="s"/>
      <c r="AB33" s="621" t="s"/>
      <c r="AC33" s="582" t="s">
        <v>1017</v>
      </c>
      <c r="AD33" s="582" t="s">
        <v>1018</v>
      </c>
      <c r="AE33" s="582" t="s">
        <v>823</v>
      </c>
      <c r="AF33" s="582" t="s">
        <v>823</v>
      </c>
      <c r="AG33" s="41" t="s"/>
      <c r="AH33" s="41" t="s"/>
      <c r="AI33" s="42" t="s"/>
      <c r="AJ33" s="42" t="s"/>
    </row>
    <row r="34" spans="1:36" ht="21" customHeight="true">
      <c r="A34" s="43">
        <v>9</v>
      </c>
      <c r="B34" s="42" t="s">
        <v>1029</v>
      </c>
      <c r="C34" s="42" t="s">
        <v>1030</v>
      </c>
      <c r="D34" s="42" t="s">
        <v>1030</v>
      </c>
      <c r="E34" s="16" t="s">
        <v>32</v>
      </c>
      <c r="F34" s="16">
        <v>1</v>
      </c>
      <c r="G34" s="57" t="s"/>
      <c r="H34" s="612" t="s"/>
      <c r="I34" s="57" t="s"/>
      <c r="J34" s="57" t="s"/>
      <c r="K34" s="57" t="s"/>
      <c r="L34" s="620" t="s"/>
      <c r="M34" s="23" t="s"/>
      <c r="N34" s="57" t="s"/>
      <c r="O34" s="57" t="s"/>
      <c r="P34" s="57" t="s"/>
      <c r="Q34" s="57" t="s"/>
      <c r="R34" s="57" t="s"/>
      <c r="S34" s="57" t="s"/>
      <c r="T34" s="57" t="s"/>
      <c r="U34" s="41" t="s">
        <v>772</v>
      </c>
      <c r="V34" s="41" t="s">
        <v>773</v>
      </c>
      <c r="W34" s="16">
        <v>10000</v>
      </c>
      <c r="X34" s="42">
        <f>=W34*F34</f>
        <v>10000</v>
      </c>
      <c r="Y34" s="41" t="s">
        <v>1015</v>
      </c>
      <c r="Z34" s="41" t="s">
        <v>1016</v>
      </c>
      <c r="AA34" s="57" t="s"/>
      <c r="AB34" s="621" t="s"/>
      <c r="AC34" s="582" t="s">
        <v>1017</v>
      </c>
      <c r="AD34" s="582" t="s">
        <v>1018</v>
      </c>
      <c r="AE34" s="582" t="s">
        <v>823</v>
      </c>
      <c r="AF34" s="582" t="s">
        <v>823</v>
      </c>
      <c r="AG34" s="41" t="s"/>
      <c r="AH34" s="41" t="s"/>
      <c r="AI34" s="42" t="s"/>
      <c r="AJ34" s="42" t="s"/>
    </row>
    <row r="35" spans="1:36" ht="21" customHeight="true">
      <c r="A35" s="43">
        <v>10</v>
      </c>
      <c r="B35" s="42" t="s">
        <v>1031</v>
      </c>
      <c r="C35" s="42" t="s">
        <v>1032</v>
      </c>
      <c r="D35" s="42" t="s">
        <v>1032</v>
      </c>
      <c r="E35" s="16" t="s">
        <v>32</v>
      </c>
      <c r="F35" s="16">
        <v>1</v>
      </c>
      <c r="G35" s="57" t="s"/>
      <c r="H35" s="612" t="s"/>
      <c r="I35" s="57" t="s"/>
      <c r="J35" s="57" t="s"/>
      <c r="K35" s="57" t="s"/>
      <c r="L35" s="620" t="s"/>
      <c r="M35" s="23" t="s"/>
      <c r="N35" s="57" t="s"/>
      <c r="O35" s="57" t="s"/>
      <c r="P35" s="57" t="s"/>
      <c r="Q35" s="57" t="s"/>
      <c r="R35" s="57" t="s"/>
      <c r="S35" s="57" t="s"/>
      <c r="T35" s="57" t="s"/>
      <c r="U35" s="41" t="s">
        <v>772</v>
      </c>
      <c r="V35" s="41" t="s">
        <v>773</v>
      </c>
      <c r="W35" s="16">
        <v>3000</v>
      </c>
      <c r="X35" s="42">
        <f>=W35*F35</f>
        <v>3000</v>
      </c>
      <c r="Y35" s="41" t="s">
        <v>1015</v>
      </c>
      <c r="Z35" s="41" t="s">
        <v>1016</v>
      </c>
      <c r="AA35" s="57" t="s"/>
      <c r="AB35" s="621" t="s"/>
      <c r="AC35" s="582" t="s">
        <v>1017</v>
      </c>
      <c r="AD35" s="582" t="s">
        <v>1018</v>
      </c>
      <c r="AE35" s="582" t="s">
        <v>823</v>
      </c>
      <c r="AF35" s="582" t="s">
        <v>823</v>
      </c>
      <c r="AG35" s="41" t="s"/>
      <c r="AH35" s="41" t="s"/>
      <c r="AI35" s="42" t="s"/>
      <c r="AJ35" s="42" t="s"/>
    </row>
    <row r="36" spans="1:36" ht="21" customHeight="true">
      <c r="A36" s="43">
        <v>11</v>
      </c>
      <c r="B36" s="42" t="s">
        <v>1033</v>
      </c>
      <c r="C36" s="42" t="s">
        <v>1034</v>
      </c>
      <c r="D36" s="42" t="s">
        <v>1034</v>
      </c>
      <c r="E36" s="16" t="s">
        <v>32</v>
      </c>
      <c r="F36" s="16">
        <v>2</v>
      </c>
      <c r="G36" s="57" t="s"/>
      <c r="H36" s="612" t="s"/>
      <c r="I36" s="57" t="s"/>
      <c r="J36" s="57" t="s"/>
      <c r="K36" s="57" t="s"/>
      <c r="L36" s="620" t="s"/>
      <c r="M36" s="23" t="s"/>
      <c r="N36" s="57" t="s"/>
      <c r="O36" s="57" t="s"/>
      <c r="P36" s="57" t="s"/>
      <c r="Q36" s="57" t="s"/>
      <c r="R36" s="57" t="s"/>
      <c r="S36" s="57" t="s"/>
      <c r="T36" s="57" t="s"/>
      <c r="U36" s="41" t="s">
        <v>772</v>
      </c>
      <c r="V36" s="41" t="s">
        <v>773</v>
      </c>
      <c r="W36" s="16">
        <v>43000</v>
      </c>
      <c r="X36" s="42">
        <f>=W36*F36</f>
        <v>86000</v>
      </c>
      <c r="Y36" s="41" t="s">
        <v>1015</v>
      </c>
      <c r="Z36" s="41" t="s">
        <v>1016</v>
      </c>
      <c r="AA36" s="57" t="s"/>
      <c r="AB36" s="621" t="s"/>
      <c r="AC36" s="582" t="s">
        <v>1017</v>
      </c>
      <c r="AD36" s="582" t="s">
        <v>1018</v>
      </c>
      <c r="AE36" s="582" t="s">
        <v>823</v>
      </c>
      <c r="AF36" s="582" t="s">
        <v>823</v>
      </c>
      <c r="AG36" s="41" t="s"/>
      <c r="AH36" s="41" t="s"/>
      <c r="AI36" s="42" t="s"/>
      <c r="AJ36" s="42" t="s"/>
    </row>
    <row r="37" spans="1:36" ht="21" customHeight="true">
      <c r="A37" s="43">
        <v>12</v>
      </c>
      <c r="B37" s="42" t="s">
        <v>1035</v>
      </c>
      <c r="C37" s="42" t="s">
        <v>1036</v>
      </c>
      <c r="D37" s="42" t="s">
        <v>1036</v>
      </c>
      <c r="E37" s="16" t="s">
        <v>32</v>
      </c>
      <c r="F37" s="16">
        <v>1</v>
      </c>
      <c r="G37" s="57" t="s"/>
      <c r="H37" s="612" t="s"/>
      <c r="I37" s="57" t="s"/>
      <c r="J37" s="57" t="s"/>
      <c r="K37" s="57" t="s"/>
      <c r="L37" s="620" t="s"/>
      <c r="M37" s="23" t="s"/>
      <c r="N37" s="57" t="s"/>
      <c r="O37" s="57" t="s"/>
      <c r="P37" s="57" t="s"/>
      <c r="Q37" s="57" t="s"/>
      <c r="R37" s="57" t="s"/>
      <c r="S37" s="57" t="s"/>
      <c r="T37" s="57" t="s"/>
      <c r="U37" s="41" t="s">
        <v>772</v>
      </c>
      <c r="V37" s="41" t="s">
        <v>773</v>
      </c>
      <c r="W37" s="16">
        <v>7000</v>
      </c>
      <c r="X37" s="42">
        <f>=W37*F37</f>
        <v>7000</v>
      </c>
      <c r="Y37" s="41" t="s">
        <v>1015</v>
      </c>
      <c r="Z37" s="41" t="s">
        <v>1016</v>
      </c>
      <c r="AA37" s="57" t="s"/>
      <c r="AB37" s="621" t="s"/>
      <c r="AC37" s="582" t="s">
        <v>1017</v>
      </c>
      <c r="AD37" s="582" t="s">
        <v>1018</v>
      </c>
      <c r="AE37" s="582" t="s">
        <v>823</v>
      </c>
      <c r="AF37" s="582" t="s">
        <v>823</v>
      </c>
      <c r="AG37" s="41" t="s"/>
      <c r="AH37" s="41" t="s"/>
      <c r="AI37" s="42" t="s"/>
      <c r="AJ37" s="42" t="s"/>
    </row>
    <row r="38" spans="1:36" ht="21" customHeight="true">
      <c r="A38" s="43">
        <v>13</v>
      </c>
      <c r="B38" s="42" t="s">
        <v>1037</v>
      </c>
      <c r="C38" s="42" t="s">
        <v>1038</v>
      </c>
      <c r="D38" s="42" t="s">
        <v>1038</v>
      </c>
      <c r="E38" s="16" t="s">
        <v>32</v>
      </c>
      <c r="F38" s="16">
        <v>1</v>
      </c>
      <c r="G38" s="57" t="s"/>
      <c r="H38" s="612" t="s"/>
      <c r="I38" s="57" t="s"/>
      <c r="J38" s="57" t="s"/>
      <c r="K38" s="57" t="s"/>
      <c r="L38" s="620" t="s"/>
      <c r="M38" s="23" t="s"/>
      <c r="N38" s="57" t="s"/>
      <c r="O38" s="57" t="s"/>
      <c r="P38" s="57" t="s"/>
      <c r="Q38" s="57" t="s"/>
      <c r="R38" s="57" t="s"/>
      <c r="S38" s="57" t="s"/>
      <c r="T38" s="57" t="s"/>
      <c r="U38" s="41" t="s">
        <v>772</v>
      </c>
      <c r="V38" s="41" t="s">
        <v>773</v>
      </c>
      <c r="W38" s="16">
        <v>10000</v>
      </c>
      <c r="X38" s="42">
        <f>=W38*F38</f>
        <v>10000</v>
      </c>
      <c r="Y38" s="41" t="s">
        <v>1015</v>
      </c>
      <c r="Z38" s="41" t="s">
        <v>1016</v>
      </c>
      <c r="AA38" s="57" t="s"/>
      <c r="AB38" s="621" t="s"/>
      <c r="AC38" s="582" t="s">
        <v>1017</v>
      </c>
      <c r="AD38" s="582" t="s">
        <v>1018</v>
      </c>
      <c r="AE38" s="582" t="s">
        <v>823</v>
      </c>
      <c r="AF38" s="582" t="s">
        <v>823</v>
      </c>
      <c r="AG38" s="41" t="s"/>
      <c r="AH38" s="41" t="s"/>
      <c r="AI38" s="42" t="s"/>
      <c r="AJ38" s="42" t="s"/>
    </row>
    <row r="39" spans="1:36" ht="21" customHeight="true">
      <c r="A39" s="43">
        <v>14</v>
      </c>
      <c r="B39" s="42" t="s">
        <v>1039</v>
      </c>
      <c r="C39" s="42" t="s">
        <v>1040</v>
      </c>
      <c r="D39" s="42" t="s">
        <v>1040</v>
      </c>
      <c r="E39" s="16" t="s">
        <v>32</v>
      </c>
      <c r="F39" s="16">
        <v>2</v>
      </c>
      <c r="G39" s="57" t="s"/>
      <c r="H39" s="612" t="s"/>
      <c r="I39" s="57" t="s"/>
      <c r="J39" s="57" t="s"/>
      <c r="K39" s="57" t="s"/>
      <c r="L39" s="620" t="s"/>
      <c r="M39" s="23" t="s"/>
      <c r="N39" s="57" t="s"/>
      <c r="O39" s="57" t="s"/>
      <c r="P39" s="57" t="s"/>
      <c r="Q39" s="57" t="s"/>
      <c r="R39" s="57" t="s"/>
      <c r="S39" s="57" t="s"/>
      <c r="T39" s="57" t="s"/>
      <c r="U39" s="41" t="s">
        <v>772</v>
      </c>
      <c r="V39" s="41" t="s">
        <v>773</v>
      </c>
      <c r="W39" s="16">
        <v>58000</v>
      </c>
      <c r="X39" s="42">
        <f>=W39*F39</f>
        <v>116000</v>
      </c>
      <c r="Y39" s="41" t="s">
        <v>1015</v>
      </c>
      <c r="Z39" s="41" t="s">
        <v>1016</v>
      </c>
      <c r="AA39" s="57" t="s"/>
      <c r="AB39" s="621" t="s"/>
      <c r="AC39" s="582" t="s">
        <v>1017</v>
      </c>
      <c r="AD39" s="582" t="s">
        <v>1018</v>
      </c>
      <c r="AE39" s="582" t="s">
        <v>823</v>
      </c>
      <c r="AF39" s="582" t="s">
        <v>823</v>
      </c>
      <c r="AG39" s="41" t="s"/>
      <c r="AH39" s="41" t="s"/>
      <c r="AI39" s="42" t="s"/>
      <c r="AJ39" s="42" t="s"/>
    </row>
    <row r="40" spans="1:36" ht="21" customHeight="true">
      <c r="A40" s="43">
        <v>17</v>
      </c>
      <c r="B40" s="42" t="s">
        <v>1041</v>
      </c>
      <c r="C40" s="42" t="s"/>
      <c r="D40" s="42" t="s">
        <v>1042</v>
      </c>
      <c r="E40" s="16" t="s">
        <v>45</v>
      </c>
      <c r="F40" s="16">
        <v>16</v>
      </c>
      <c r="G40" s="57" t="s"/>
      <c r="H40" s="621" t="s"/>
      <c r="I40" s="57" t="s"/>
      <c r="J40" s="57" t="s"/>
      <c r="K40" s="57" t="s"/>
      <c r="L40" s="623" t="s"/>
      <c r="M40" s="23" t="s"/>
      <c r="N40" s="57" t="s"/>
      <c r="O40" s="57" t="s"/>
      <c r="P40" s="57" t="s"/>
      <c r="Q40" s="57" t="s"/>
      <c r="R40" s="57" t="s"/>
      <c r="S40" s="57" t="s"/>
      <c r="T40" s="57" t="s"/>
      <c r="U40" s="41" t="s">
        <v>772</v>
      </c>
      <c r="V40" s="41" t="s">
        <v>773</v>
      </c>
      <c r="W40" s="42">
        <v>2682</v>
      </c>
      <c r="X40" s="42">
        <f>=W40*F40</f>
        <v>42912</v>
      </c>
      <c r="Y40" s="41" t="s">
        <v>1015</v>
      </c>
      <c r="Z40" s="41" t="s">
        <v>1016</v>
      </c>
      <c r="AA40" s="57" t="s"/>
      <c r="AB40" s="621" t="s"/>
      <c r="AC40" s="582" t="s">
        <v>1017</v>
      </c>
      <c r="AD40" s="582" t="s">
        <v>1018</v>
      </c>
      <c r="AE40" s="582" t="s">
        <v>823</v>
      </c>
      <c r="AF40" s="582" t="s">
        <v>823</v>
      </c>
      <c r="AG40" s="624" t="s"/>
      <c r="AH40" s="624" t="s"/>
      <c r="AI40" s="42" t="s"/>
      <c r="AJ40" s="42" t="s"/>
    </row>
    <row r="41" spans="1:36" ht="21" customHeight="true">
      <c r="A41" s="43">
        <v>18</v>
      </c>
      <c r="B41" s="42" t="s">
        <v>1041</v>
      </c>
      <c r="C41" s="42" t="s"/>
      <c r="D41" s="625" t="s">
        <v>1042</v>
      </c>
      <c r="E41" s="16" t="s">
        <v>45</v>
      </c>
      <c r="F41" s="16">
        <v>2</v>
      </c>
      <c r="G41" s="57" t="s"/>
      <c r="H41" s="621" t="s"/>
      <c r="I41" s="57" t="s"/>
      <c r="J41" s="57" t="s"/>
      <c r="K41" s="57" t="s"/>
      <c r="L41" s="623" t="s"/>
      <c r="M41" s="23" t="s"/>
      <c r="N41" s="57" t="s"/>
      <c r="O41" s="57" t="s"/>
      <c r="P41" s="57" t="s"/>
      <c r="Q41" s="57" t="s"/>
      <c r="R41" s="57" t="s"/>
      <c r="S41" s="57" t="s"/>
      <c r="T41" s="57" t="s"/>
      <c r="U41" s="41" t="s">
        <v>772</v>
      </c>
      <c r="V41" s="41" t="s">
        <v>773</v>
      </c>
      <c r="W41" s="42">
        <v>2682</v>
      </c>
      <c r="X41" s="42">
        <f>=W41*F41</f>
        <v>5364</v>
      </c>
      <c r="Y41" s="41" t="s">
        <v>1015</v>
      </c>
      <c r="Z41" s="41" t="s">
        <v>1016</v>
      </c>
      <c r="AA41" s="57" t="s"/>
      <c r="AB41" s="621" t="s"/>
      <c r="AC41" s="582" t="s">
        <v>1017</v>
      </c>
      <c r="AD41" s="582" t="s">
        <v>1018</v>
      </c>
      <c r="AE41" s="582" t="s">
        <v>823</v>
      </c>
      <c r="AF41" s="582" t="s">
        <v>823</v>
      </c>
      <c r="AG41" s="624" t="s"/>
      <c r="AH41" s="624" t="s"/>
      <c r="AI41" s="42" t="s"/>
      <c r="AJ41" s="42" t="s"/>
    </row>
    <row r="42" spans="1:36" ht="21" customHeight="true">
      <c r="A42" s="43">
        <v>19</v>
      </c>
      <c r="B42" s="42" t="s">
        <v>1041</v>
      </c>
      <c r="C42" s="42" t="s"/>
      <c r="D42" s="625" t="s">
        <v>1043</v>
      </c>
      <c r="E42" s="16" t="s">
        <v>45</v>
      </c>
      <c r="F42" s="16">
        <v>2</v>
      </c>
      <c r="G42" s="57" t="s"/>
      <c r="H42" s="621" t="s"/>
      <c r="I42" s="57" t="s"/>
      <c r="J42" s="57" t="s"/>
      <c r="K42" s="57" t="s"/>
      <c r="L42" s="623" t="s"/>
      <c r="M42" s="23" t="s"/>
      <c r="N42" s="57" t="s"/>
      <c r="O42" s="57" t="s"/>
      <c r="P42" s="57" t="s"/>
      <c r="Q42" s="57" t="s"/>
      <c r="R42" s="57" t="s"/>
      <c r="S42" s="57" t="s"/>
      <c r="T42" s="57" t="s"/>
      <c r="U42" s="41" t="s">
        <v>772</v>
      </c>
      <c r="V42" s="41" t="s">
        <v>773</v>
      </c>
      <c r="W42" s="42">
        <v>1890</v>
      </c>
      <c r="X42" s="42">
        <f>=W42*F42</f>
        <v>3780</v>
      </c>
      <c r="Y42" s="41" t="s">
        <v>1015</v>
      </c>
      <c r="Z42" s="41" t="s">
        <v>1016</v>
      </c>
      <c r="AA42" s="57" t="s"/>
      <c r="AB42" s="621" t="s"/>
      <c r="AC42" s="582" t="s">
        <v>1017</v>
      </c>
      <c r="AD42" s="582" t="s">
        <v>1018</v>
      </c>
      <c r="AE42" s="582" t="s">
        <v>823</v>
      </c>
      <c r="AF42" s="582" t="s">
        <v>823</v>
      </c>
      <c r="AG42" s="624" t="s"/>
      <c r="AH42" s="624" t="s"/>
      <c r="AI42" s="42" t="s"/>
      <c r="AJ42" s="42" t="s"/>
    </row>
    <row r="43" spans="1:36" ht="21" customHeight="true">
      <c r="A43" s="43">
        <v>20</v>
      </c>
      <c r="B43" s="42" t="s">
        <v>1041</v>
      </c>
      <c r="C43" s="42" t="s"/>
      <c r="D43" s="625" t="s">
        <v>1043</v>
      </c>
      <c r="E43" s="16" t="s">
        <v>45</v>
      </c>
      <c r="F43" s="16">
        <v>2</v>
      </c>
      <c r="G43" s="57" t="s"/>
      <c r="H43" s="621" t="s"/>
      <c r="I43" s="57" t="s"/>
      <c r="J43" s="57" t="s"/>
      <c r="K43" s="57" t="s"/>
      <c r="L43" s="623" t="s"/>
      <c r="M43" s="23" t="s"/>
      <c r="N43" s="57" t="s"/>
      <c r="O43" s="57" t="s"/>
      <c r="P43" s="57" t="s"/>
      <c r="Q43" s="57" t="s"/>
      <c r="R43" s="57" t="s"/>
      <c r="S43" s="57" t="s"/>
      <c r="T43" s="57" t="s"/>
      <c r="U43" s="41" t="s">
        <v>772</v>
      </c>
      <c r="V43" s="41" t="s">
        <v>773</v>
      </c>
      <c r="W43" s="42">
        <v>1890</v>
      </c>
      <c r="X43" s="42">
        <f>=W43*F43</f>
        <v>3780</v>
      </c>
      <c r="Y43" s="41" t="s">
        <v>1015</v>
      </c>
      <c r="Z43" s="41" t="s">
        <v>1016</v>
      </c>
      <c r="AA43" s="57" t="s"/>
      <c r="AB43" s="621" t="s"/>
      <c r="AC43" s="582" t="s">
        <v>1017</v>
      </c>
      <c r="AD43" s="582" t="s">
        <v>1018</v>
      </c>
      <c r="AE43" s="582" t="s">
        <v>823</v>
      </c>
      <c r="AF43" s="582" t="s">
        <v>823</v>
      </c>
      <c r="AG43" s="624" t="s"/>
      <c r="AH43" s="624" t="s"/>
      <c r="AI43" s="42" t="s"/>
      <c r="AJ43" s="42" t="s"/>
    </row>
    <row r="44" spans="1:36" ht="21" customHeight="true">
      <c r="A44" s="43">
        <v>21</v>
      </c>
      <c r="B44" s="42" t="s">
        <v>1041</v>
      </c>
      <c r="C44" s="42" t="s"/>
      <c r="D44" s="625" t="s">
        <v>1044</v>
      </c>
      <c r="E44" s="16" t="s">
        <v>45</v>
      </c>
      <c r="F44" s="16">
        <v>10</v>
      </c>
      <c r="G44" s="57" t="s"/>
      <c r="H44" s="621" t="s"/>
      <c r="I44" s="57" t="s"/>
      <c r="J44" s="57" t="s"/>
      <c r="K44" s="57" t="s"/>
      <c r="L44" s="623" t="s"/>
      <c r="M44" s="23" t="s"/>
      <c r="N44" s="57" t="s"/>
      <c r="O44" s="57" t="s"/>
      <c r="P44" s="57" t="s"/>
      <c r="Q44" s="57" t="s"/>
      <c r="R44" s="57" t="s"/>
      <c r="S44" s="57" t="s"/>
      <c r="T44" s="57" t="s"/>
      <c r="U44" s="41" t="s">
        <v>772</v>
      </c>
      <c r="V44" s="41" t="s">
        <v>773</v>
      </c>
      <c r="W44" s="42">
        <v>900</v>
      </c>
      <c r="X44" s="42">
        <f>=W44*F44</f>
        <v>9000</v>
      </c>
      <c r="Y44" s="41" t="s">
        <v>1015</v>
      </c>
      <c r="Z44" s="41" t="s">
        <v>1016</v>
      </c>
      <c r="AA44" s="57" t="s"/>
      <c r="AB44" s="621" t="s"/>
      <c r="AC44" s="582" t="s">
        <v>1017</v>
      </c>
      <c r="AD44" s="582" t="s">
        <v>1018</v>
      </c>
      <c r="AE44" s="582" t="s">
        <v>823</v>
      </c>
      <c r="AF44" s="582" t="s">
        <v>823</v>
      </c>
      <c r="AG44" s="624" t="s"/>
      <c r="AH44" s="624" t="s"/>
      <c r="AI44" s="42" t="s"/>
      <c r="AJ44" s="42" t="s"/>
    </row>
    <row r="45" spans="1:36" ht="21" customHeight="true">
      <c r="A45" s="43">
        <v>22</v>
      </c>
      <c r="B45" s="42" t="s">
        <v>1041</v>
      </c>
      <c r="C45" s="42" t="s"/>
      <c r="D45" s="625" t="s">
        <v>1044</v>
      </c>
      <c r="E45" s="16" t="s">
        <v>45</v>
      </c>
      <c r="F45" s="16">
        <v>5</v>
      </c>
      <c r="G45" s="57" t="s"/>
      <c r="H45" s="621" t="s"/>
      <c r="I45" s="57" t="s"/>
      <c r="J45" s="57" t="s"/>
      <c r="K45" s="57" t="s"/>
      <c r="L45" s="623" t="s"/>
      <c r="M45" s="23" t="s"/>
      <c r="N45" s="57" t="s"/>
      <c r="O45" s="57" t="s"/>
      <c r="P45" s="57" t="s"/>
      <c r="Q45" s="57" t="s"/>
      <c r="R45" s="57" t="s"/>
      <c r="S45" s="57" t="s"/>
      <c r="T45" s="57" t="s"/>
      <c r="U45" s="41" t="s">
        <v>772</v>
      </c>
      <c r="V45" s="41" t="s">
        <v>773</v>
      </c>
      <c r="W45" s="42">
        <v>900</v>
      </c>
      <c r="X45" s="42">
        <f>=W45*F45</f>
        <v>4500</v>
      </c>
      <c r="Y45" s="41" t="s">
        <v>1015</v>
      </c>
      <c r="Z45" s="41" t="s">
        <v>1016</v>
      </c>
      <c r="AA45" s="57" t="s"/>
      <c r="AB45" s="621" t="s"/>
      <c r="AC45" s="582" t="s">
        <v>1017</v>
      </c>
      <c r="AD45" s="582" t="s">
        <v>1018</v>
      </c>
      <c r="AE45" s="582" t="s">
        <v>823</v>
      </c>
      <c r="AF45" s="582" t="s">
        <v>823</v>
      </c>
      <c r="AG45" s="624" t="s"/>
      <c r="AH45" s="624" t="s"/>
      <c r="AI45" s="42" t="s"/>
      <c r="AJ45" s="42" t="s"/>
    </row>
    <row r="46" spans="1:36" ht="21" customHeight="true">
      <c r="A46" s="43">
        <v>23</v>
      </c>
      <c r="B46" s="42" t="s">
        <v>1041</v>
      </c>
      <c r="C46" s="42" t="s"/>
      <c r="D46" s="626" t="s">
        <v>1045</v>
      </c>
      <c r="E46" s="16" t="s">
        <v>45</v>
      </c>
      <c r="F46" s="16">
        <v>1</v>
      </c>
      <c r="G46" s="57" t="s"/>
      <c r="H46" s="621" t="s"/>
      <c r="I46" s="57" t="s"/>
      <c r="J46" s="57" t="s"/>
      <c r="K46" s="57" t="s"/>
      <c r="L46" s="623" t="s"/>
      <c r="M46" s="23" t="s"/>
      <c r="N46" s="57" t="s"/>
      <c r="O46" s="57" t="s"/>
      <c r="P46" s="57" t="s"/>
      <c r="Q46" s="57" t="s"/>
      <c r="R46" s="57" t="s"/>
      <c r="S46" s="57" t="s"/>
      <c r="T46" s="57" t="s"/>
      <c r="U46" s="41" t="s">
        <v>772</v>
      </c>
      <c r="V46" s="41" t="s">
        <v>773</v>
      </c>
      <c r="W46" s="42">
        <v>900</v>
      </c>
      <c r="X46" s="42">
        <f>=W46*F46</f>
        <v>900</v>
      </c>
      <c r="Y46" s="41" t="s">
        <v>1015</v>
      </c>
      <c r="Z46" s="41" t="s">
        <v>1016</v>
      </c>
      <c r="AA46" s="57" t="s"/>
      <c r="AB46" s="621" t="s"/>
      <c r="AC46" s="582" t="s">
        <v>1017</v>
      </c>
      <c r="AD46" s="582" t="s">
        <v>1018</v>
      </c>
      <c r="AE46" s="582" t="s">
        <v>823</v>
      </c>
      <c r="AF46" s="582" t="s">
        <v>823</v>
      </c>
      <c r="AG46" s="624" t="s"/>
      <c r="AH46" s="624" t="s"/>
      <c r="AI46" s="42" t="s"/>
      <c r="AJ46" s="42" t="s"/>
    </row>
    <row r="47" spans="1:36" ht="21" customHeight="true">
      <c r="A47" s="43">
        <v>24</v>
      </c>
      <c r="B47" s="42" t="s">
        <v>1041</v>
      </c>
      <c r="C47" s="42" t="s"/>
      <c r="D47" s="625" t="s">
        <v>1046</v>
      </c>
      <c r="E47" s="16" t="s">
        <v>45</v>
      </c>
      <c r="F47" s="16">
        <v>72</v>
      </c>
      <c r="G47" s="57" t="s"/>
      <c r="H47" s="621" t="s"/>
      <c r="I47" s="57" t="s"/>
      <c r="J47" s="57" t="s"/>
      <c r="K47" s="57" t="s"/>
      <c r="L47" s="623" t="s"/>
      <c r="M47" s="23" t="s"/>
      <c r="N47" s="57" t="s"/>
      <c r="O47" s="57" t="s"/>
      <c r="P47" s="57" t="s"/>
      <c r="Q47" s="57" t="s"/>
      <c r="R47" s="57" t="s"/>
      <c r="S47" s="57" t="s"/>
      <c r="T47" s="57" t="s"/>
      <c r="U47" s="41" t="s">
        <v>772</v>
      </c>
      <c r="V47" s="41" t="s">
        <v>773</v>
      </c>
      <c r="W47" s="42">
        <v>775</v>
      </c>
      <c r="X47" s="42">
        <f>=W47*F47</f>
        <v>55800</v>
      </c>
      <c r="Y47" s="41" t="s">
        <v>1015</v>
      </c>
      <c r="Z47" s="41" t="s">
        <v>1016</v>
      </c>
      <c r="AA47" s="57" t="s"/>
      <c r="AB47" s="621" t="s"/>
      <c r="AC47" s="582" t="s">
        <v>1017</v>
      </c>
      <c r="AD47" s="582" t="s">
        <v>1018</v>
      </c>
      <c r="AE47" s="582" t="s">
        <v>823</v>
      </c>
      <c r="AF47" s="582" t="s">
        <v>823</v>
      </c>
      <c r="AG47" s="624" t="s"/>
      <c r="AH47" s="624" t="s"/>
      <c r="AI47" s="42" t="s"/>
      <c r="AJ47" s="42" t="s"/>
    </row>
    <row r="48" spans="1:36" ht="21" customHeight="true">
      <c r="A48" s="43">
        <v>25</v>
      </c>
      <c r="B48" s="42" t="s">
        <v>1041</v>
      </c>
      <c r="C48" s="42" t="s"/>
      <c r="D48" s="625" t="s">
        <v>1047</v>
      </c>
      <c r="E48" s="16" t="s">
        <v>45</v>
      </c>
      <c r="F48" s="16">
        <v>72</v>
      </c>
      <c r="G48" s="57" t="s"/>
      <c r="H48" s="621" t="s"/>
      <c r="I48" s="57" t="s"/>
      <c r="J48" s="57" t="s"/>
      <c r="K48" s="57" t="s"/>
      <c r="L48" s="623" t="s"/>
      <c r="M48" s="23" t="s"/>
      <c r="N48" s="57" t="s"/>
      <c r="O48" s="57" t="s"/>
      <c r="P48" s="57" t="s"/>
      <c r="Q48" s="57" t="s"/>
      <c r="R48" s="57" t="s"/>
      <c r="S48" s="57" t="s"/>
      <c r="T48" s="57" t="s"/>
      <c r="U48" s="41" t="s">
        <v>772</v>
      </c>
      <c r="V48" s="41" t="s">
        <v>773</v>
      </c>
      <c r="W48" s="42">
        <v>576</v>
      </c>
      <c r="X48" s="42">
        <f>=W48*F48</f>
        <v>41472</v>
      </c>
      <c r="Y48" s="41" t="s">
        <v>1015</v>
      </c>
      <c r="Z48" s="41" t="s">
        <v>1016</v>
      </c>
      <c r="AA48" s="57" t="s"/>
      <c r="AB48" s="621" t="s"/>
      <c r="AC48" s="582" t="s">
        <v>1017</v>
      </c>
      <c r="AD48" s="582" t="s">
        <v>1018</v>
      </c>
      <c r="AE48" s="582" t="s">
        <v>823</v>
      </c>
      <c r="AF48" s="582" t="s">
        <v>823</v>
      </c>
      <c r="AG48" s="624" t="s"/>
      <c r="AH48" s="624" t="s"/>
      <c r="AI48" s="42" t="s"/>
      <c r="AJ48" s="42" t="s"/>
    </row>
    <row r="49" spans="1:36" ht="21" customHeight="true">
      <c r="A49" s="43">
        <v>26</v>
      </c>
      <c r="B49" s="42" t="s">
        <v>1041</v>
      </c>
      <c r="C49" s="42" t="s"/>
      <c r="D49" s="625" t="s">
        <v>1048</v>
      </c>
      <c r="E49" s="16" t="s">
        <v>45</v>
      </c>
      <c r="F49" s="16">
        <v>19</v>
      </c>
      <c r="G49" s="57" t="s"/>
      <c r="H49" s="621" t="s"/>
      <c r="I49" s="57" t="s"/>
      <c r="J49" s="57" t="s"/>
      <c r="K49" s="57" t="s"/>
      <c r="L49" s="620" t="s"/>
      <c r="M49" s="23" t="s"/>
      <c r="N49" s="57" t="s"/>
      <c r="O49" s="57" t="s"/>
      <c r="P49" s="57" t="s"/>
      <c r="Q49" s="57" t="s"/>
      <c r="R49" s="57" t="s"/>
      <c r="S49" s="57" t="s"/>
      <c r="T49" s="57" t="s"/>
      <c r="U49" s="41" t="s">
        <v>772</v>
      </c>
      <c r="V49" s="41" t="s">
        <v>773</v>
      </c>
      <c r="W49" s="42">
        <v>366</v>
      </c>
      <c r="X49" s="42">
        <f>=W49*F49</f>
        <v>6954</v>
      </c>
      <c r="Y49" s="41" t="s">
        <v>1015</v>
      </c>
      <c r="Z49" s="41" t="s">
        <v>1016</v>
      </c>
      <c r="AA49" s="57" t="s"/>
      <c r="AB49" s="621" t="s"/>
      <c r="AC49" s="582" t="s">
        <v>1017</v>
      </c>
      <c r="AD49" s="582" t="s">
        <v>1018</v>
      </c>
      <c r="AE49" s="582" t="s">
        <v>823</v>
      </c>
      <c r="AF49" s="582" t="s">
        <v>823</v>
      </c>
      <c r="AG49" s="42" t="s"/>
      <c r="AH49" s="42" t="s"/>
      <c r="AI49" s="42" t="s"/>
      <c r="AJ49" s="42" t="s"/>
    </row>
    <row r="50" spans="1:36" ht="21" customHeight="true">
      <c r="A50" s="43">
        <v>27</v>
      </c>
      <c r="B50" s="42" t="s">
        <v>1041</v>
      </c>
      <c r="C50" s="42" t="s"/>
      <c r="D50" s="625" t="s">
        <v>1049</v>
      </c>
      <c r="E50" s="16" t="s">
        <v>45</v>
      </c>
      <c r="F50" s="16">
        <v>3</v>
      </c>
      <c r="G50" s="57" t="s"/>
      <c r="H50" s="621" t="s"/>
      <c r="I50" s="57" t="s"/>
      <c r="J50" s="57" t="s"/>
      <c r="K50" s="57" t="s"/>
      <c r="L50" s="620" t="s"/>
      <c r="M50" s="23" t="s"/>
      <c r="N50" s="57" t="s"/>
      <c r="O50" s="57" t="s"/>
      <c r="P50" s="57" t="s"/>
      <c r="Q50" s="57" t="s"/>
      <c r="R50" s="57" t="s"/>
      <c r="S50" s="57" t="s"/>
      <c r="T50" s="57" t="s"/>
      <c r="U50" s="41" t="s">
        <v>772</v>
      </c>
      <c r="V50" s="41" t="s">
        <v>773</v>
      </c>
      <c r="W50" s="42">
        <v>1695</v>
      </c>
      <c r="X50" s="42">
        <f>=W50*F50</f>
        <v>5085</v>
      </c>
      <c r="Y50" s="41" t="s">
        <v>1015</v>
      </c>
      <c r="Z50" s="41" t="s">
        <v>1016</v>
      </c>
      <c r="AA50" s="57" t="s"/>
      <c r="AB50" s="621" t="s"/>
      <c r="AC50" s="582" t="s">
        <v>1017</v>
      </c>
      <c r="AD50" s="582" t="s">
        <v>1018</v>
      </c>
      <c r="AE50" s="582" t="s">
        <v>823</v>
      </c>
      <c r="AF50" s="582" t="s">
        <v>823</v>
      </c>
      <c r="AG50" s="42" t="s"/>
      <c r="AH50" s="42" t="s"/>
      <c r="AI50" s="42" t="s"/>
      <c r="AJ50" s="42" t="s"/>
    </row>
    <row r="51" spans="1:36" ht="21" customHeight="true">
      <c r="A51" s="43">
        <v>28</v>
      </c>
      <c r="B51" s="42" t="s">
        <v>1041</v>
      </c>
      <c r="C51" s="42" t="s"/>
      <c r="D51" s="627" t="s">
        <v>1050</v>
      </c>
      <c r="E51" s="16" t="s">
        <v>45</v>
      </c>
      <c r="F51" s="16">
        <v>1</v>
      </c>
      <c r="G51" s="57" t="s"/>
      <c r="H51" s="621" t="s"/>
      <c r="I51" s="57" t="s"/>
      <c r="J51" s="57" t="s"/>
      <c r="K51" s="57" t="s"/>
      <c r="L51" s="620" t="s"/>
      <c r="M51" s="23" t="s"/>
      <c r="N51" s="57" t="s"/>
      <c r="O51" s="57" t="s"/>
      <c r="P51" s="57" t="s"/>
      <c r="Q51" s="57" t="s"/>
      <c r="R51" s="57" t="s"/>
      <c r="S51" s="57" t="s"/>
      <c r="T51" s="57" t="s"/>
      <c r="U51" s="41" t="s">
        <v>772</v>
      </c>
      <c r="V51" s="41" t="s">
        <v>773</v>
      </c>
      <c r="W51" s="42">
        <v>1341</v>
      </c>
      <c r="X51" s="42">
        <f>=W51*F51</f>
        <v>1341</v>
      </c>
      <c r="Y51" s="41" t="s">
        <v>1015</v>
      </c>
      <c r="Z51" s="41" t="s">
        <v>1016</v>
      </c>
      <c r="AA51" s="57" t="s"/>
      <c r="AB51" s="621" t="s"/>
      <c r="AC51" s="582" t="s">
        <v>1017</v>
      </c>
      <c r="AD51" s="582" t="s">
        <v>1018</v>
      </c>
      <c r="AE51" s="582" t="s">
        <v>823</v>
      </c>
      <c r="AF51" s="582" t="s">
        <v>823</v>
      </c>
      <c r="AG51" s="42" t="s"/>
      <c r="AH51" s="42" t="s"/>
      <c r="AI51" s="42" t="s"/>
      <c r="AJ51" s="42" t="s"/>
    </row>
    <row r="52" spans="1:36" ht="21" customHeight="true">
      <c r="A52" s="43">
        <v>29</v>
      </c>
      <c r="B52" s="42" t="s">
        <v>1041</v>
      </c>
      <c r="C52" s="42" t="s"/>
      <c r="D52" s="625" t="s">
        <v>1051</v>
      </c>
      <c r="E52" s="16" t="s">
        <v>45</v>
      </c>
      <c r="F52" s="16">
        <v>2</v>
      </c>
      <c r="G52" s="57" t="s"/>
      <c r="H52" s="621" t="s"/>
      <c r="I52" s="57" t="s"/>
      <c r="J52" s="57" t="s"/>
      <c r="K52" s="57" t="s"/>
      <c r="L52" s="620" t="s"/>
      <c r="M52" s="23" t="s"/>
      <c r="N52" s="57" t="s"/>
      <c r="O52" s="57" t="s"/>
      <c r="P52" s="57" t="s"/>
      <c r="Q52" s="57" t="s"/>
      <c r="R52" s="57" t="s"/>
      <c r="S52" s="57" t="s"/>
      <c r="T52" s="57" t="s"/>
      <c r="U52" s="41" t="s">
        <v>772</v>
      </c>
      <c r="V52" s="41" t="s">
        <v>773</v>
      </c>
      <c r="W52" s="42">
        <v>472</v>
      </c>
      <c r="X52" s="42">
        <f>=W52*F52</f>
        <v>944</v>
      </c>
      <c r="Y52" s="41" t="s">
        <v>1015</v>
      </c>
      <c r="Z52" s="41" t="s">
        <v>1016</v>
      </c>
      <c r="AA52" s="57" t="s"/>
      <c r="AB52" s="621" t="s"/>
      <c r="AC52" s="582" t="s">
        <v>1017</v>
      </c>
      <c r="AD52" s="582" t="s">
        <v>1018</v>
      </c>
      <c r="AE52" s="582" t="s">
        <v>823</v>
      </c>
      <c r="AF52" s="582" t="s">
        <v>823</v>
      </c>
      <c r="AG52" s="42" t="s"/>
      <c r="AH52" s="42" t="s"/>
      <c r="AI52" s="42" t="s"/>
      <c r="AJ52" s="42" t="s"/>
    </row>
    <row r="53" spans="1:36" ht="21" customHeight="true">
      <c r="A53" s="43">
        <v>30</v>
      </c>
      <c r="B53" s="42" t="s">
        <v>1041</v>
      </c>
      <c r="C53" s="42" t="s"/>
      <c r="D53" s="166" t="s">
        <v>1052</v>
      </c>
      <c r="E53" s="16" t="s">
        <v>45</v>
      </c>
      <c r="F53" s="16">
        <v>3</v>
      </c>
      <c r="G53" s="57" t="s"/>
      <c r="H53" s="621" t="s"/>
      <c r="I53" s="57" t="s"/>
      <c r="J53" s="57" t="s"/>
      <c r="K53" s="57" t="s"/>
      <c r="L53" s="620" t="s"/>
      <c r="M53" s="23" t="s"/>
      <c r="N53" s="57" t="s"/>
      <c r="O53" s="57" t="s"/>
      <c r="P53" s="57" t="s"/>
      <c r="Q53" s="57" t="s"/>
      <c r="R53" s="57" t="s"/>
      <c r="S53" s="57" t="s"/>
      <c r="T53" s="57" t="s"/>
      <c r="U53" s="41" t="s">
        <v>772</v>
      </c>
      <c r="V53" s="41" t="s">
        <v>773</v>
      </c>
      <c r="W53" s="42">
        <v>900</v>
      </c>
      <c r="X53" s="42">
        <f>=W53*F53</f>
        <v>2700</v>
      </c>
      <c r="Y53" s="41" t="s">
        <v>1015</v>
      </c>
      <c r="Z53" s="41" t="s">
        <v>1016</v>
      </c>
      <c r="AA53" s="57" t="s"/>
      <c r="AB53" s="621" t="s"/>
      <c r="AC53" s="582" t="s">
        <v>1017</v>
      </c>
      <c r="AD53" s="582" t="s">
        <v>1018</v>
      </c>
      <c r="AE53" s="582" t="s">
        <v>823</v>
      </c>
      <c r="AF53" s="582" t="s">
        <v>823</v>
      </c>
      <c r="AG53" s="42" t="s"/>
      <c r="AH53" s="42" t="s"/>
      <c r="AI53" s="42" t="s"/>
      <c r="AJ53" s="42" t="s"/>
    </row>
    <row r="54" spans="1:36" ht="21" customHeight="true">
      <c r="A54" s="43">
        <v>31</v>
      </c>
      <c r="B54" s="42" t="s">
        <v>1041</v>
      </c>
      <c r="C54" s="42" t="s"/>
      <c r="D54" s="166" t="s">
        <v>1053</v>
      </c>
      <c r="E54" s="16" t="s">
        <v>45</v>
      </c>
      <c r="F54" s="16">
        <v>2</v>
      </c>
      <c r="G54" s="57" t="s"/>
      <c r="H54" s="621" t="s"/>
      <c r="I54" s="57" t="s"/>
      <c r="J54" s="57" t="s"/>
      <c r="K54" s="57" t="s"/>
      <c r="L54" s="620" t="s"/>
      <c r="M54" s="23" t="s"/>
      <c r="N54" s="57" t="s"/>
      <c r="O54" s="57" t="s"/>
      <c r="P54" s="57" t="s"/>
      <c r="Q54" s="57" t="s"/>
      <c r="R54" s="57" t="s"/>
      <c r="S54" s="57" t="s"/>
      <c r="T54" s="57" t="s"/>
      <c r="U54" s="41" t="s">
        <v>772</v>
      </c>
      <c r="V54" s="41" t="s">
        <v>773</v>
      </c>
      <c r="W54" s="42">
        <v>366</v>
      </c>
      <c r="X54" s="42">
        <f>=W54*F54</f>
        <v>732</v>
      </c>
      <c r="Y54" s="41" t="s">
        <v>1015</v>
      </c>
      <c r="Z54" s="41" t="s">
        <v>1016</v>
      </c>
      <c r="AA54" s="57" t="s"/>
      <c r="AB54" s="621" t="s"/>
      <c r="AC54" s="582" t="s">
        <v>1017</v>
      </c>
      <c r="AD54" s="582" t="s">
        <v>1018</v>
      </c>
      <c r="AE54" s="582" t="s">
        <v>823</v>
      </c>
      <c r="AF54" s="582" t="s">
        <v>823</v>
      </c>
      <c r="AG54" s="42" t="s"/>
      <c r="AH54" s="42" t="s"/>
      <c r="AI54" s="42" t="s"/>
      <c r="AJ54" s="42" t="s"/>
    </row>
    <row r="55" spans="1:36" ht="21" customHeight="true">
      <c r="A55" s="43">
        <v>32</v>
      </c>
      <c r="B55" s="42" t="s">
        <v>657</v>
      </c>
      <c r="C55" s="42" t="s"/>
      <c r="D55" s="166" t="s">
        <v>1054</v>
      </c>
      <c r="E55" s="16" t="s">
        <v>45</v>
      </c>
      <c r="F55" s="16">
        <v>12</v>
      </c>
      <c r="G55" s="57" t="s"/>
      <c r="H55" s="621" t="s"/>
      <c r="I55" s="57" t="s"/>
      <c r="J55" s="57" t="s"/>
      <c r="K55" s="57" t="s"/>
      <c r="L55" s="620" t="s"/>
      <c r="M55" s="23" t="s"/>
      <c r="N55" s="57" t="s"/>
      <c r="O55" s="57" t="s"/>
      <c r="P55" s="57" t="s"/>
      <c r="Q55" s="57" t="s"/>
      <c r="R55" s="57" t="s"/>
      <c r="S55" s="57" t="s"/>
      <c r="T55" s="57" t="s"/>
      <c r="U55" s="41" t="s">
        <v>772</v>
      </c>
      <c r="V55" s="41" t="s">
        <v>773</v>
      </c>
      <c r="W55" s="42">
        <v>40</v>
      </c>
      <c r="X55" s="42">
        <f>=W55*F55</f>
        <v>480</v>
      </c>
      <c r="Y55" s="41" t="s">
        <v>1015</v>
      </c>
      <c r="Z55" s="41" t="s">
        <v>1016</v>
      </c>
      <c r="AA55" s="57" t="s"/>
      <c r="AB55" s="621" t="s"/>
      <c r="AC55" s="582" t="s">
        <v>1017</v>
      </c>
      <c r="AD55" s="582" t="s">
        <v>1018</v>
      </c>
      <c r="AE55" s="582" t="s">
        <v>823</v>
      </c>
      <c r="AF55" s="582" t="s">
        <v>823</v>
      </c>
      <c r="AG55" s="42" t="s"/>
      <c r="AH55" s="42" t="s"/>
      <c r="AI55" s="42" t="s"/>
      <c r="AJ55" s="42" t="s"/>
    </row>
    <row r="56" spans="1:36" ht="21" customHeight="true">
      <c r="A56" s="43">
        <v>33</v>
      </c>
      <c r="B56" s="42" t="s">
        <v>657</v>
      </c>
      <c r="C56" s="42" t="s"/>
      <c r="D56" s="42" t="s">
        <v>1055</v>
      </c>
      <c r="E56" s="16" t="s">
        <v>45</v>
      </c>
      <c r="F56" s="16">
        <v>6</v>
      </c>
      <c r="G56" s="57" t="s"/>
      <c r="H56" s="621" t="s"/>
      <c r="I56" s="57" t="s"/>
      <c r="J56" s="57" t="s"/>
      <c r="K56" s="57" t="s"/>
      <c r="L56" s="620" t="s"/>
      <c r="M56" s="23" t="s"/>
      <c r="N56" s="57" t="s"/>
      <c r="O56" s="57" t="s"/>
      <c r="P56" s="57" t="s"/>
      <c r="Q56" s="57" t="s"/>
      <c r="R56" s="57" t="s"/>
      <c r="S56" s="57" t="s"/>
      <c r="T56" s="57" t="s"/>
      <c r="U56" s="41" t="s">
        <v>772</v>
      </c>
      <c r="V56" s="41" t="s">
        <v>773</v>
      </c>
      <c r="W56" s="42">
        <v>165</v>
      </c>
      <c r="X56" s="42">
        <f>=W56*F56</f>
        <v>990</v>
      </c>
      <c r="Y56" s="41" t="s">
        <v>1015</v>
      </c>
      <c r="Z56" s="41" t="s">
        <v>1016</v>
      </c>
      <c r="AA56" s="57" t="s"/>
      <c r="AB56" s="621" t="s"/>
      <c r="AC56" s="582" t="s">
        <v>1017</v>
      </c>
      <c r="AD56" s="582" t="s">
        <v>1018</v>
      </c>
      <c r="AE56" s="582" t="s">
        <v>823</v>
      </c>
      <c r="AF56" s="582" t="s">
        <v>823</v>
      </c>
      <c r="AG56" s="42" t="s"/>
      <c r="AH56" s="42" t="s"/>
      <c r="AI56" s="42" t="s"/>
      <c r="AJ56" s="42" t="s"/>
    </row>
    <row r="57" spans="1:36" ht="21" customHeight="true">
      <c r="A57" s="43">
        <v>34</v>
      </c>
      <c r="B57" s="42" t="s">
        <v>657</v>
      </c>
      <c r="C57" s="42" t="s"/>
      <c r="D57" s="42" t="s">
        <v>1056</v>
      </c>
      <c r="E57" s="16" t="s">
        <v>45</v>
      </c>
      <c r="F57" s="16">
        <v>9</v>
      </c>
      <c r="G57" s="57" t="s"/>
      <c r="H57" s="621" t="s"/>
      <c r="I57" s="57" t="s"/>
      <c r="J57" s="57" t="s"/>
      <c r="K57" s="57" t="s"/>
      <c r="L57" s="620" t="s"/>
      <c r="M57" s="23" t="s"/>
      <c r="N57" s="57" t="s"/>
      <c r="O57" s="57" t="s"/>
      <c r="P57" s="57" t="s"/>
      <c r="Q57" s="57" t="s"/>
      <c r="R57" s="57" t="s"/>
      <c r="S57" s="57" t="s"/>
      <c r="T57" s="57" t="s"/>
      <c r="U57" s="41" t="s">
        <v>772</v>
      </c>
      <c r="V57" s="41" t="s">
        <v>773</v>
      </c>
      <c r="W57" s="42">
        <v>40</v>
      </c>
      <c r="X57" s="42">
        <f>=W57*F57</f>
        <v>360</v>
      </c>
      <c r="Y57" s="41" t="s">
        <v>1015</v>
      </c>
      <c r="Z57" s="41" t="s">
        <v>1016</v>
      </c>
      <c r="AA57" s="57" t="s"/>
      <c r="AB57" s="621" t="s"/>
      <c r="AC57" s="582" t="s">
        <v>1017</v>
      </c>
      <c r="AD57" s="582" t="s">
        <v>1018</v>
      </c>
      <c r="AE57" s="582" t="s">
        <v>823</v>
      </c>
      <c r="AF57" s="582" t="s">
        <v>823</v>
      </c>
      <c r="AG57" s="42" t="s"/>
      <c r="AH57" s="42" t="s"/>
      <c r="AI57" s="42" t="s"/>
      <c r="AJ57" s="42" t="s"/>
    </row>
    <row r="58" spans="1:36" ht="21" customHeight="true">
      <c r="A58" s="43">
        <v>35</v>
      </c>
      <c r="B58" s="42" t="s">
        <v>657</v>
      </c>
      <c r="C58" s="42" t="s"/>
      <c r="D58" s="622" t="s">
        <v>1057</v>
      </c>
      <c r="E58" s="16" t="s">
        <v>45</v>
      </c>
      <c r="F58" s="16">
        <v>3</v>
      </c>
      <c r="G58" s="57" t="s"/>
      <c r="H58" s="621" t="s"/>
      <c r="I58" s="57" t="s"/>
      <c r="J58" s="57" t="s"/>
      <c r="K58" s="57" t="s"/>
      <c r="L58" s="620" t="s"/>
      <c r="M58" s="23" t="s"/>
      <c r="N58" s="57" t="s"/>
      <c r="O58" s="57" t="s"/>
      <c r="P58" s="57" t="s"/>
      <c r="Q58" s="57" t="s"/>
      <c r="R58" s="57" t="s"/>
      <c r="S58" s="57" t="s"/>
      <c r="T58" s="57" t="s"/>
      <c r="U58" s="41" t="s">
        <v>772</v>
      </c>
      <c r="V58" s="41" t="s">
        <v>773</v>
      </c>
      <c r="W58" s="42">
        <v>40</v>
      </c>
      <c r="X58" s="42">
        <f>=W58*F58</f>
        <v>120</v>
      </c>
      <c r="Y58" s="41" t="s">
        <v>1015</v>
      </c>
      <c r="Z58" s="41" t="s">
        <v>1016</v>
      </c>
      <c r="AA58" s="57" t="s"/>
      <c r="AB58" s="621" t="s"/>
      <c r="AC58" s="582" t="s">
        <v>1017</v>
      </c>
      <c r="AD58" s="582" t="s">
        <v>1018</v>
      </c>
      <c r="AE58" s="582" t="s">
        <v>823</v>
      </c>
      <c r="AF58" s="582" t="s">
        <v>823</v>
      </c>
      <c r="AG58" s="42" t="s"/>
      <c r="AH58" s="42" t="s"/>
      <c r="AI58" s="42" t="s"/>
      <c r="AJ58" s="42" t="s"/>
    </row>
    <row r="59" spans="1:36" ht="21" customHeight="true">
      <c r="A59" s="43">
        <v>36</v>
      </c>
      <c r="B59" s="42" t="s">
        <v>1058</v>
      </c>
      <c r="C59" s="42" t="s"/>
      <c r="D59" s="42" t="s">
        <v>1059</v>
      </c>
      <c r="E59" s="16" t="s">
        <v>45</v>
      </c>
      <c r="F59" s="16">
        <v>1</v>
      </c>
      <c r="G59" s="57" t="s"/>
      <c r="H59" s="621" t="s"/>
      <c r="I59" s="57" t="s"/>
      <c r="J59" s="57" t="s"/>
      <c r="K59" s="57" t="s"/>
      <c r="L59" s="620" t="s"/>
      <c r="M59" s="23" t="s"/>
      <c r="N59" s="57" t="s"/>
      <c r="O59" s="57" t="s"/>
      <c r="P59" s="57" t="s"/>
      <c r="Q59" s="57" t="s"/>
      <c r="R59" s="57" t="s"/>
      <c r="S59" s="57" t="s"/>
      <c r="T59" s="57" t="s"/>
      <c r="U59" s="41" t="s">
        <v>772</v>
      </c>
      <c r="V59" s="41" t="s">
        <v>773</v>
      </c>
      <c r="W59" s="42">
        <v>3850</v>
      </c>
      <c r="X59" s="42">
        <f>=W59*F59</f>
        <v>3850</v>
      </c>
      <c r="Y59" s="41" t="s">
        <v>1015</v>
      </c>
      <c r="Z59" s="41" t="s">
        <v>1016</v>
      </c>
      <c r="AA59" s="57" t="s"/>
      <c r="AB59" s="621" t="s"/>
      <c r="AC59" s="582" t="s">
        <v>1017</v>
      </c>
      <c r="AD59" s="582" t="s">
        <v>1018</v>
      </c>
      <c r="AE59" s="582" t="s">
        <v>823</v>
      </c>
      <c r="AF59" s="582" t="s">
        <v>823</v>
      </c>
      <c r="AG59" s="42" t="s"/>
      <c r="AH59" s="42" t="s"/>
      <c r="AI59" s="42" t="s"/>
      <c r="AJ59" s="42" t="s"/>
    </row>
    <row r="60" spans="1:36" ht="21" customHeight="true">
      <c r="A60" s="43">
        <v>37</v>
      </c>
      <c r="B60" s="42" t="s">
        <v>1060</v>
      </c>
      <c r="C60" s="42" t="s"/>
      <c r="D60" s="42" t="s">
        <v>1061</v>
      </c>
      <c r="E60" s="16" t="s">
        <v>45</v>
      </c>
      <c r="F60" s="16">
        <v>8</v>
      </c>
      <c r="G60" s="57" t="s"/>
      <c r="H60" s="621" t="s"/>
      <c r="I60" s="57" t="s"/>
      <c r="J60" s="57" t="s"/>
      <c r="K60" s="57" t="s"/>
      <c r="L60" s="620" t="s"/>
      <c r="M60" s="23" t="s"/>
      <c r="N60" s="57" t="s"/>
      <c r="O60" s="57" t="s"/>
      <c r="P60" s="57" t="s"/>
      <c r="Q60" s="57" t="s"/>
      <c r="R60" s="57" t="s"/>
      <c r="S60" s="57" t="s"/>
      <c r="T60" s="57" t="s"/>
      <c r="U60" s="41" t="s">
        <v>772</v>
      </c>
      <c r="V60" s="41" t="s">
        <v>773</v>
      </c>
      <c r="W60" s="42">
        <v>5577</v>
      </c>
      <c r="X60" s="42">
        <f>=W60*F60</f>
        <v>44616</v>
      </c>
      <c r="Y60" s="41" t="s">
        <v>1015</v>
      </c>
      <c r="Z60" s="41" t="s">
        <v>1016</v>
      </c>
      <c r="AA60" s="57" t="s"/>
      <c r="AB60" s="621" t="s"/>
      <c r="AC60" s="582" t="s">
        <v>1017</v>
      </c>
      <c r="AD60" s="582" t="s">
        <v>1018</v>
      </c>
      <c r="AE60" s="582" t="s">
        <v>823</v>
      </c>
      <c r="AF60" s="582" t="s">
        <v>823</v>
      </c>
      <c r="AG60" s="42" t="s"/>
      <c r="AH60" s="42" t="s"/>
      <c r="AI60" s="42" t="s"/>
      <c r="AJ60" s="42" t="s"/>
    </row>
    <row r="61" spans="1:36" ht="21" customHeight="true">
      <c r="A61" s="43">
        <v>38</v>
      </c>
      <c r="B61" s="42" t="s">
        <v>1060</v>
      </c>
      <c r="C61" s="42" t="s"/>
      <c r="D61" s="42" t="s">
        <v>1062</v>
      </c>
      <c r="E61" s="16" t="s">
        <v>45</v>
      </c>
      <c r="F61" s="16">
        <v>2</v>
      </c>
      <c r="G61" s="57" t="s"/>
      <c r="H61" s="621" t="s"/>
      <c r="I61" s="57" t="s"/>
      <c r="J61" s="57" t="s"/>
      <c r="K61" s="57" t="s"/>
      <c r="L61" s="620" t="s"/>
      <c r="M61" s="23" t="s"/>
      <c r="N61" s="57" t="s"/>
      <c r="O61" s="57" t="s"/>
      <c r="P61" s="57" t="s"/>
      <c r="Q61" s="57" t="s"/>
      <c r="R61" s="57" t="s"/>
      <c r="S61" s="57" t="s"/>
      <c r="T61" s="57" t="s"/>
      <c r="U61" s="41" t="s">
        <v>772</v>
      </c>
      <c r="V61" s="41" t="s">
        <v>773</v>
      </c>
      <c r="W61" s="42">
        <v>2689</v>
      </c>
      <c r="X61" s="42">
        <f>=W61*F61</f>
        <v>5378</v>
      </c>
      <c r="Y61" s="41" t="s">
        <v>1015</v>
      </c>
      <c r="Z61" s="41" t="s">
        <v>1016</v>
      </c>
      <c r="AA61" s="57" t="s"/>
      <c r="AB61" s="621" t="s"/>
      <c r="AC61" s="582" t="s">
        <v>1017</v>
      </c>
      <c r="AD61" s="582" t="s">
        <v>1018</v>
      </c>
      <c r="AE61" s="582" t="s">
        <v>823</v>
      </c>
      <c r="AF61" s="582" t="s">
        <v>823</v>
      </c>
      <c r="AG61" s="42" t="s"/>
      <c r="AH61" s="42" t="s"/>
      <c r="AI61" s="42" t="s"/>
      <c r="AJ61" s="42" t="s"/>
    </row>
    <row r="62" spans="1:36" ht="21" customHeight="true">
      <c r="A62" s="43">
        <v>39</v>
      </c>
      <c r="B62" s="42" t="s">
        <v>1060</v>
      </c>
      <c r="C62" s="42" t="s"/>
      <c r="D62" s="42" t="s">
        <v>1044</v>
      </c>
      <c r="E62" s="16" t="s">
        <v>45</v>
      </c>
      <c r="F62" s="16">
        <v>2</v>
      </c>
      <c r="G62" s="57" t="s"/>
      <c r="H62" s="621" t="s"/>
      <c r="I62" s="57" t="s"/>
      <c r="J62" s="57" t="s"/>
      <c r="K62" s="57" t="s"/>
      <c r="L62" s="620" t="s"/>
      <c r="M62" s="23" t="s"/>
      <c r="N62" s="57" t="s"/>
      <c r="O62" s="57" t="s"/>
      <c r="P62" s="57" t="s"/>
      <c r="Q62" s="57" t="s"/>
      <c r="R62" s="57" t="s"/>
      <c r="S62" s="57" t="s"/>
      <c r="T62" s="57" t="s"/>
      <c r="U62" s="41" t="s">
        <v>772</v>
      </c>
      <c r="V62" s="41" t="s">
        <v>773</v>
      </c>
      <c r="W62" s="42">
        <v>1287</v>
      </c>
      <c r="X62" s="42">
        <f>=W62*F62</f>
        <v>2574</v>
      </c>
      <c r="Y62" s="41" t="s">
        <v>1015</v>
      </c>
      <c r="Z62" s="41" t="s">
        <v>1016</v>
      </c>
      <c r="AA62" s="57" t="s"/>
      <c r="AB62" s="621" t="s"/>
      <c r="AC62" s="582" t="s">
        <v>1017</v>
      </c>
      <c r="AD62" s="582" t="s">
        <v>1018</v>
      </c>
      <c r="AE62" s="582" t="s">
        <v>823</v>
      </c>
      <c r="AF62" s="582" t="s">
        <v>823</v>
      </c>
      <c r="AG62" s="42" t="s"/>
      <c r="AH62" s="42" t="s"/>
      <c r="AI62" s="42" t="s"/>
      <c r="AJ62" s="42" t="s"/>
    </row>
    <row r="63" spans="1:36" ht="21" customHeight="true">
      <c r="A63" s="43">
        <v>40</v>
      </c>
      <c r="B63" s="42" t="s">
        <v>1060</v>
      </c>
      <c r="C63" s="42" t="s"/>
      <c r="D63" s="42" t="s">
        <v>1063</v>
      </c>
      <c r="E63" s="16" t="s">
        <v>45</v>
      </c>
      <c r="F63" s="16">
        <v>2</v>
      </c>
      <c r="G63" s="57" t="s"/>
      <c r="H63" s="621" t="s"/>
      <c r="I63" s="57" t="s"/>
      <c r="J63" s="57" t="s"/>
      <c r="K63" s="57" t="s"/>
      <c r="L63" s="620" t="s"/>
      <c r="M63" s="23" t="s"/>
      <c r="N63" s="57" t="s"/>
      <c r="O63" s="57" t="s"/>
      <c r="P63" s="57" t="s"/>
      <c r="Q63" s="57" t="s"/>
      <c r="R63" s="57" t="s"/>
      <c r="S63" s="57" t="s"/>
      <c r="T63" s="57" t="s"/>
      <c r="U63" s="41" t="s">
        <v>772</v>
      </c>
      <c r="V63" s="41" t="s">
        <v>773</v>
      </c>
      <c r="W63" s="42">
        <v>674</v>
      </c>
      <c r="X63" s="42">
        <f>=W63*F63</f>
        <v>1348</v>
      </c>
      <c r="Y63" s="41" t="s">
        <v>1015</v>
      </c>
      <c r="Z63" s="41" t="s">
        <v>1016</v>
      </c>
      <c r="AA63" s="57" t="s"/>
      <c r="AB63" s="621" t="s"/>
      <c r="AC63" s="582" t="s">
        <v>1017</v>
      </c>
      <c r="AD63" s="582" t="s">
        <v>1018</v>
      </c>
      <c r="AE63" s="582" t="s">
        <v>823</v>
      </c>
      <c r="AF63" s="582" t="s">
        <v>823</v>
      </c>
      <c r="AG63" s="42" t="s"/>
      <c r="AH63" s="42" t="s"/>
      <c r="AI63" s="42" t="s"/>
      <c r="AJ63" s="42" t="s"/>
    </row>
    <row r="64" spans="1:36" ht="21" customHeight="true">
      <c r="A64" s="43">
        <v>41</v>
      </c>
      <c r="B64" s="42" t="s">
        <v>1060</v>
      </c>
      <c r="C64" s="42" t="s"/>
      <c r="D64" s="42" t="s">
        <v>1053</v>
      </c>
      <c r="E64" s="16" t="s">
        <v>45</v>
      </c>
      <c r="F64" s="16">
        <v>2</v>
      </c>
      <c r="G64" s="57" t="s"/>
      <c r="H64" s="621" t="s"/>
      <c r="I64" s="57" t="s"/>
      <c r="J64" s="57" t="s"/>
      <c r="K64" s="57" t="s"/>
      <c r="L64" s="620" t="s"/>
      <c r="M64" s="23" t="s"/>
      <c r="N64" s="57" t="s"/>
      <c r="O64" s="57" t="s"/>
      <c r="P64" s="57" t="s"/>
      <c r="Q64" s="57" t="s"/>
      <c r="R64" s="57" t="s"/>
      <c r="S64" s="57" t="s"/>
      <c r="T64" s="57" t="s"/>
      <c r="U64" s="41" t="s">
        <v>772</v>
      </c>
      <c r="V64" s="41" t="s">
        <v>773</v>
      </c>
      <c r="W64" s="42">
        <v>483</v>
      </c>
      <c r="X64" s="42">
        <f>=W64*F64</f>
        <v>966</v>
      </c>
      <c r="Y64" s="41" t="s">
        <v>1015</v>
      </c>
      <c r="Z64" s="41" t="s">
        <v>1016</v>
      </c>
      <c r="AA64" s="57" t="s"/>
      <c r="AB64" s="621" t="s"/>
      <c r="AC64" s="582" t="s">
        <v>1017</v>
      </c>
      <c r="AD64" s="582" t="s">
        <v>1018</v>
      </c>
      <c r="AE64" s="582" t="s">
        <v>823</v>
      </c>
      <c r="AF64" s="582" t="s">
        <v>823</v>
      </c>
      <c r="AG64" s="42" t="s"/>
      <c r="AH64" s="42" t="s"/>
      <c r="AI64" s="42" t="s"/>
      <c r="AJ64" s="42" t="s"/>
    </row>
    <row r="65" spans="1:36" ht="21" customHeight="true">
      <c r="A65" s="43">
        <v>42</v>
      </c>
      <c r="B65" s="42" t="s">
        <v>1064</v>
      </c>
      <c r="C65" s="42" t="s"/>
      <c r="D65" s="42" t="s">
        <v>1065</v>
      </c>
      <c r="E65" s="16" t="s">
        <v>45</v>
      </c>
      <c r="F65" s="16">
        <v>8</v>
      </c>
      <c r="G65" s="57" t="s"/>
      <c r="H65" s="621" t="s"/>
      <c r="I65" s="57" t="s"/>
      <c r="J65" s="57" t="s"/>
      <c r="K65" s="57" t="s"/>
      <c r="L65" s="620" t="s"/>
      <c r="M65" s="23" t="s"/>
      <c r="N65" s="57" t="s"/>
      <c r="O65" s="57" t="s"/>
      <c r="P65" s="57" t="s"/>
      <c r="Q65" s="57" t="s"/>
      <c r="R65" s="57" t="s"/>
      <c r="S65" s="57" t="s"/>
      <c r="T65" s="57" t="s"/>
      <c r="U65" s="41" t="s">
        <v>772</v>
      </c>
      <c r="V65" s="41" t="s">
        <v>773</v>
      </c>
      <c r="W65" s="42">
        <v>1980</v>
      </c>
      <c r="X65" s="42">
        <f>=W65*F65</f>
        <v>15840</v>
      </c>
      <c r="Y65" s="41" t="s">
        <v>1015</v>
      </c>
      <c r="Z65" s="41" t="s">
        <v>1016</v>
      </c>
      <c r="AA65" s="57" t="s"/>
      <c r="AB65" s="621" t="s"/>
      <c r="AC65" s="582" t="s">
        <v>1017</v>
      </c>
      <c r="AD65" s="582" t="s">
        <v>1018</v>
      </c>
      <c r="AE65" s="582" t="s">
        <v>823</v>
      </c>
      <c r="AF65" s="582" t="s">
        <v>823</v>
      </c>
      <c r="AG65" s="42" t="s"/>
      <c r="AH65" s="42" t="s"/>
      <c r="AI65" s="42" t="s"/>
      <c r="AJ65" s="42" t="s"/>
    </row>
    <row r="66" spans="1:36" ht="21" customHeight="true">
      <c r="A66" s="43">
        <v>43</v>
      </c>
      <c r="B66" s="42" t="s">
        <v>1064</v>
      </c>
      <c r="C66" s="42" t="s"/>
      <c r="D66" s="42" t="s">
        <v>1066</v>
      </c>
      <c r="E66" s="16" t="s">
        <v>45</v>
      </c>
      <c r="F66" s="16">
        <v>8</v>
      </c>
      <c r="G66" s="57" t="s"/>
      <c r="H66" s="621" t="s"/>
      <c r="I66" s="57" t="s"/>
      <c r="J66" s="57" t="s"/>
      <c r="K66" s="57" t="s"/>
      <c r="L66" s="620" t="s"/>
      <c r="M66" s="23" t="s"/>
      <c r="N66" s="57" t="s"/>
      <c r="O66" s="57" t="s"/>
      <c r="P66" s="57" t="s"/>
      <c r="Q66" s="57" t="s"/>
      <c r="R66" s="57" t="s"/>
      <c r="S66" s="57" t="s"/>
      <c r="T66" s="57" t="s"/>
      <c r="U66" s="41" t="s">
        <v>772</v>
      </c>
      <c r="V66" s="41" t="s">
        <v>773</v>
      </c>
      <c r="W66" s="42">
        <v>1560</v>
      </c>
      <c r="X66" s="42">
        <f>=W66*F66</f>
        <v>12480</v>
      </c>
      <c r="Y66" s="41" t="s">
        <v>1015</v>
      </c>
      <c r="Z66" s="41" t="s">
        <v>1016</v>
      </c>
      <c r="AA66" s="57" t="s"/>
      <c r="AB66" s="621" t="s"/>
      <c r="AC66" s="582" t="s">
        <v>1017</v>
      </c>
      <c r="AD66" s="582" t="s">
        <v>1018</v>
      </c>
      <c r="AE66" s="582" t="s">
        <v>823</v>
      </c>
      <c r="AF66" s="582" t="s">
        <v>823</v>
      </c>
      <c r="AG66" s="42" t="s"/>
      <c r="AH66" s="42" t="s"/>
      <c r="AI66" s="42" t="s"/>
      <c r="AJ66" s="42" t="s"/>
    </row>
    <row r="67" spans="1:36" ht="21" customHeight="true">
      <c r="A67" s="43">
        <v>44</v>
      </c>
      <c r="B67" s="42" t="s">
        <v>1064</v>
      </c>
      <c r="C67" s="42" t="s"/>
      <c r="D67" s="42" t="s">
        <v>1066</v>
      </c>
      <c r="E67" s="16" t="s">
        <v>45</v>
      </c>
      <c r="F67" s="16">
        <v>2</v>
      </c>
      <c r="G67" s="57" t="s"/>
      <c r="H67" s="621" t="s"/>
      <c r="I67" s="57" t="s"/>
      <c r="J67" s="57" t="s"/>
      <c r="K67" s="57" t="s"/>
      <c r="L67" s="620" t="s"/>
      <c r="M67" s="23" t="s"/>
      <c r="N67" s="57" t="s"/>
      <c r="O67" s="57" t="s"/>
      <c r="P67" s="57" t="s"/>
      <c r="Q67" s="57" t="s"/>
      <c r="R67" s="57" t="s"/>
      <c r="S67" s="57" t="s"/>
      <c r="T67" s="57" t="s"/>
      <c r="U67" s="41" t="s">
        <v>772</v>
      </c>
      <c r="V67" s="41" t="s">
        <v>773</v>
      </c>
      <c r="W67" s="42">
        <v>1560</v>
      </c>
      <c r="X67" s="42">
        <f>=W67*F67</f>
        <v>3120</v>
      </c>
      <c r="Y67" s="41" t="s">
        <v>1015</v>
      </c>
      <c r="Z67" s="41" t="s">
        <v>1016</v>
      </c>
      <c r="AA67" s="57" t="s"/>
      <c r="AB67" s="621" t="s"/>
      <c r="AC67" s="582" t="s">
        <v>1017</v>
      </c>
      <c r="AD67" s="582" t="s">
        <v>1018</v>
      </c>
      <c r="AE67" s="582" t="s">
        <v>823</v>
      </c>
      <c r="AF67" s="582" t="s">
        <v>823</v>
      </c>
      <c r="AG67" s="42" t="s"/>
      <c r="AH67" s="42" t="s"/>
      <c r="AI67" s="42" t="s"/>
      <c r="AJ67" s="42" t="s"/>
    </row>
    <row r="68" spans="1:36" ht="21" customHeight="true">
      <c r="A68" s="43">
        <v>45</v>
      </c>
      <c r="B68" s="42" t="s">
        <v>1064</v>
      </c>
      <c r="C68" s="42" t="s"/>
      <c r="D68" s="42" t="s">
        <v>1067</v>
      </c>
      <c r="E68" s="16" t="s">
        <v>45</v>
      </c>
      <c r="F68" s="16">
        <v>2</v>
      </c>
      <c r="G68" s="57" t="s"/>
      <c r="H68" s="621" t="s"/>
      <c r="I68" s="57" t="s"/>
      <c r="J68" s="57" t="s"/>
      <c r="K68" s="57" t="s"/>
      <c r="L68" s="620" t="s"/>
      <c r="M68" s="23" t="s"/>
      <c r="N68" s="57" t="s"/>
      <c r="O68" s="57" t="s"/>
      <c r="P68" s="57" t="s"/>
      <c r="Q68" s="57" t="s"/>
      <c r="R68" s="57" t="s"/>
      <c r="S68" s="57" t="s"/>
      <c r="T68" s="57" t="s"/>
      <c r="U68" s="41" t="s">
        <v>772</v>
      </c>
      <c r="V68" s="41" t="s">
        <v>773</v>
      </c>
      <c r="W68" s="42">
        <v>1200</v>
      </c>
      <c r="X68" s="42">
        <f>=W68*F68</f>
        <v>2400</v>
      </c>
      <c r="Y68" s="41" t="s">
        <v>1015</v>
      </c>
      <c r="Z68" s="41" t="s">
        <v>1016</v>
      </c>
      <c r="AA68" s="57" t="s"/>
      <c r="AB68" s="621" t="s"/>
      <c r="AC68" s="582" t="s">
        <v>1017</v>
      </c>
      <c r="AD68" s="582" t="s">
        <v>1018</v>
      </c>
      <c r="AE68" s="582" t="s">
        <v>823</v>
      </c>
      <c r="AF68" s="582" t="s">
        <v>823</v>
      </c>
      <c r="AG68" s="42" t="s"/>
      <c r="AH68" s="42" t="s"/>
      <c r="AI68" s="42" t="s"/>
      <c r="AJ68" s="42" t="s"/>
    </row>
    <row r="69" spans="1:36" ht="21" customHeight="true">
      <c r="A69" s="43">
        <v>46</v>
      </c>
      <c r="B69" s="42" t="s">
        <v>1064</v>
      </c>
      <c r="C69" s="42" t="s"/>
      <c r="D69" s="42" t="s">
        <v>1068</v>
      </c>
      <c r="E69" s="16" t="s">
        <v>45</v>
      </c>
      <c r="F69" s="16">
        <v>2</v>
      </c>
      <c r="G69" s="57" t="s"/>
      <c r="H69" s="621" t="s"/>
      <c r="I69" s="57" t="s"/>
      <c r="J69" s="57" t="s"/>
      <c r="K69" s="57" t="s"/>
      <c r="L69" s="620" t="s"/>
      <c r="M69" s="23" t="s"/>
      <c r="N69" s="57" t="s"/>
      <c r="O69" s="57" t="s"/>
      <c r="P69" s="57" t="s"/>
      <c r="Q69" s="57" t="s"/>
      <c r="R69" s="57" t="s"/>
      <c r="S69" s="57" t="s"/>
      <c r="T69" s="57" t="s"/>
      <c r="U69" s="41" t="s">
        <v>772</v>
      </c>
      <c r="V69" s="41" t="s">
        <v>773</v>
      </c>
      <c r="W69" s="42">
        <v>660</v>
      </c>
      <c r="X69" s="42">
        <f>=W69*F69</f>
        <v>1320</v>
      </c>
      <c r="Y69" s="41" t="s">
        <v>1015</v>
      </c>
      <c r="Z69" s="41" t="s">
        <v>1016</v>
      </c>
      <c r="AA69" s="57" t="s"/>
      <c r="AB69" s="621" t="s"/>
      <c r="AC69" s="582" t="s">
        <v>1017</v>
      </c>
      <c r="AD69" s="582" t="s">
        <v>1018</v>
      </c>
      <c r="AE69" s="582" t="s">
        <v>823</v>
      </c>
      <c r="AF69" s="582" t="s">
        <v>823</v>
      </c>
      <c r="AG69" s="42" t="s"/>
      <c r="AH69" s="42" t="s"/>
      <c r="AI69" s="42" t="s"/>
      <c r="AJ69" s="42" t="s"/>
    </row>
    <row r="70" spans="1:36" ht="21" customHeight="true">
      <c r="A70" s="43">
        <v>47</v>
      </c>
      <c r="B70" s="42" t="s">
        <v>1064</v>
      </c>
      <c r="C70" s="42" t="s"/>
      <c r="D70" s="42" t="s">
        <v>1068</v>
      </c>
      <c r="E70" s="16" t="s">
        <v>45</v>
      </c>
      <c r="F70" s="16">
        <v>2</v>
      </c>
      <c r="G70" s="57" t="s"/>
      <c r="H70" s="621" t="s"/>
      <c r="I70" s="57" t="s"/>
      <c r="J70" s="57" t="s"/>
      <c r="K70" s="57" t="s"/>
      <c r="L70" s="620" t="s"/>
      <c r="M70" s="23" t="s"/>
      <c r="N70" s="57" t="s"/>
      <c r="O70" s="57" t="s"/>
      <c r="P70" s="57" t="s"/>
      <c r="Q70" s="57" t="s"/>
      <c r="R70" s="57" t="s"/>
      <c r="S70" s="57" t="s"/>
      <c r="T70" s="57" t="s"/>
      <c r="U70" s="41" t="s">
        <v>772</v>
      </c>
      <c r="V70" s="41" t="s">
        <v>773</v>
      </c>
      <c r="W70" s="42">
        <v>660</v>
      </c>
      <c r="X70" s="42">
        <f>=W70*F70</f>
        <v>1320</v>
      </c>
      <c r="Y70" s="41" t="s">
        <v>1015</v>
      </c>
      <c r="Z70" s="41" t="s">
        <v>1016</v>
      </c>
      <c r="AA70" s="57" t="s"/>
      <c r="AB70" s="621" t="s"/>
      <c r="AC70" s="582" t="s">
        <v>1017</v>
      </c>
      <c r="AD70" s="582" t="s">
        <v>1018</v>
      </c>
      <c r="AE70" s="582" t="s">
        <v>823</v>
      </c>
      <c r="AF70" s="582" t="s">
        <v>823</v>
      </c>
      <c r="AG70" s="42" t="s"/>
      <c r="AH70" s="42" t="s"/>
      <c r="AI70" s="42" t="s"/>
      <c r="AJ70" s="42" t="s"/>
    </row>
    <row r="71" spans="1:36" ht="21" customHeight="true">
      <c r="A71" s="43">
        <v>48</v>
      </c>
      <c r="B71" s="42" t="s">
        <v>1064</v>
      </c>
      <c r="C71" s="42" t="s"/>
      <c r="D71" s="42" t="s">
        <v>1069</v>
      </c>
      <c r="E71" s="16" t="s">
        <v>45</v>
      </c>
      <c r="F71" s="16">
        <v>2</v>
      </c>
      <c r="G71" s="57" t="s"/>
      <c r="H71" s="621" t="s"/>
      <c r="I71" s="57" t="s"/>
      <c r="J71" s="57" t="s"/>
      <c r="K71" s="57" t="s"/>
      <c r="L71" s="620" t="s"/>
      <c r="M71" s="23" t="s"/>
      <c r="N71" s="57" t="s"/>
      <c r="O71" s="57" t="s"/>
      <c r="P71" s="57" t="s"/>
      <c r="Q71" s="57" t="s"/>
      <c r="R71" s="57" t="s"/>
      <c r="S71" s="57" t="s"/>
      <c r="T71" s="57" t="s"/>
      <c r="U71" s="41" t="s">
        <v>772</v>
      </c>
      <c r="V71" s="41" t="s">
        <v>773</v>
      </c>
      <c r="W71" s="42">
        <v>230</v>
      </c>
      <c r="X71" s="42">
        <f>=W71*F71</f>
        <v>460</v>
      </c>
      <c r="Y71" s="41" t="s">
        <v>1015</v>
      </c>
      <c r="Z71" s="41" t="s">
        <v>1016</v>
      </c>
      <c r="AA71" s="57" t="s"/>
      <c r="AB71" s="621" t="s"/>
      <c r="AC71" s="582" t="s">
        <v>1017</v>
      </c>
      <c r="AD71" s="582" t="s">
        <v>1018</v>
      </c>
      <c r="AE71" s="582" t="s">
        <v>823</v>
      </c>
      <c r="AF71" s="582" t="s">
        <v>823</v>
      </c>
      <c r="AG71" s="42" t="s"/>
      <c r="AH71" s="42" t="s"/>
      <c r="AI71" s="42" t="s"/>
      <c r="AJ71" s="42" t="s"/>
    </row>
    <row r="72" spans="1:36" ht="21" customHeight="true">
      <c r="A72" s="43">
        <v>49</v>
      </c>
      <c r="B72" s="42" t="s">
        <v>1064</v>
      </c>
      <c r="C72" s="42" t="s"/>
      <c r="D72" s="42" t="s">
        <v>361</v>
      </c>
      <c r="E72" s="16" t="s">
        <v>45</v>
      </c>
      <c r="F72" s="16">
        <v>4</v>
      </c>
      <c r="G72" s="57" t="s"/>
      <c r="H72" s="621" t="s"/>
      <c r="I72" s="57" t="s"/>
      <c r="J72" s="57" t="s"/>
      <c r="K72" s="57" t="s"/>
      <c r="L72" s="620" t="s"/>
      <c r="M72" s="23" t="s"/>
      <c r="N72" s="57" t="s"/>
      <c r="O72" s="57" t="s"/>
      <c r="P72" s="57" t="s"/>
      <c r="Q72" s="57" t="s"/>
      <c r="R72" s="57" t="s"/>
      <c r="S72" s="57" t="s"/>
      <c r="T72" s="57" t="s"/>
      <c r="U72" s="41" t="s">
        <v>772</v>
      </c>
      <c r="V72" s="41" t="s">
        <v>773</v>
      </c>
      <c r="W72" s="42">
        <v>140</v>
      </c>
      <c r="X72" s="42">
        <f>=W72*F72</f>
        <v>560</v>
      </c>
      <c r="Y72" s="41" t="s">
        <v>1015</v>
      </c>
      <c r="Z72" s="41" t="s">
        <v>1016</v>
      </c>
      <c r="AA72" s="57" t="s"/>
      <c r="AB72" s="621" t="s"/>
      <c r="AC72" s="582" t="s">
        <v>1017</v>
      </c>
      <c r="AD72" s="582" t="s">
        <v>1018</v>
      </c>
      <c r="AE72" s="582" t="s">
        <v>823</v>
      </c>
      <c r="AF72" s="582" t="s">
        <v>823</v>
      </c>
      <c r="AG72" s="42" t="s"/>
      <c r="AH72" s="42" t="s"/>
      <c r="AI72" s="42" t="s"/>
      <c r="AJ72" s="42" t="s"/>
    </row>
    <row r="73" spans="1:36" ht="21" customHeight="true">
      <c r="A73" s="43">
        <v>50</v>
      </c>
      <c r="B73" s="42" t="s">
        <v>1070</v>
      </c>
      <c r="C73" s="42" t="s"/>
      <c r="D73" s="42" t="s">
        <v>1071</v>
      </c>
      <c r="E73" s="16" t="s">
        <v>45</v>
      </c>
      <c r="F73" s="16">
        <v>1</v>
      </c>
      <c r="G73" s="57" t="s"/>
      <c r="H73" s="621" t="s"/>
      <c r="I73" s="57" t="s"/>
      <c r="J73" s="57" t="s"/>
      <c r="K73" s="57" t="s"/>
      <c r="L73" s="620" t="s"/>
      <c r="M73" s="23" t="s"/>
      <c r="N73" s="57" t="s"/>
      <c r="O73" s="57" t="s"/>
      <c r="P73" s="57" t="s"/>
      <c r="Q73" s="57" t="s"/>
      <c r="R73" s="57" t="s"/>
      <c r="S73" s="57" t="s"/>
      <c r="T73" s="57" t="s"/>
      <c r="U73" s="41" t="s">
        <v>772</v>
      </c>
      <c r="V73" s="41" t="s">
        <v>773</v>
      </c>
      <c r="W73" s="42">
        <v>3800</v>
      </c>
      <c r="X73" s="42">
        <f>=W73*F73</f>
        <v>3800</v>
      </c>
      <c r="Y73" s="41" t="s">
        <v>1015</v>
      </c>
      <c r="Z73" s="41" t="s">
        <v>1016</v>
      </c>
      <c r="AA73" s="57" t="s"/>
      <c r="AB73" s="621" t="s"/>
      <c r="AC73" s="582" t="s">
        <v>1017</v>
      </c>
      <c r="AD73" s="582" t="s">
        <v>1018</v>
      </c>
      <c r="AE73" s="582" t="s">
        <v>823</v>
      </c>
      <c r="AF73" s="582" t="s">
        <v>823</v>
      </c>
      <c r="AG73" s="42" t="s"/>
      <c r="AH73" s="42" t="s"/>
      <c r="AI73" s="42" t="s"/>
      <c r="AJ73" s="42" t="s"/>
    </row>
    <row r="74" spans="1:36" ht="21" customHeight="true">
      <c r="A74" s="43">
        <v>51</v>
      </c>
      <c r="B74" s="42" t="s">
        <v>894</v>
      </c>
      <c r="C74" s="42" t="s"/>
      <c r="D74" s="42" t="s">
        <v>1072</v>
      </c>
      <c r="E74" s="16" t="s">
        <v>45</v>
      </c>
      <c r="F74" s="16">
        <v>1</v>
      </c>
      <c r="G74" s="57" t="s"/>
      <c r="H74" s="621" t="s"/>
      <c r="I74" s="57" t="s"/>
      <c r="J74" s="57" t="s"/>
      <c r="K74" s="57" t="s"/>
      <c r="L74" s="620" t="s"/>
      <c r="M74" s="23" t="s"/>
      <c r="N74" s="57" t="s"/>
      <c r="O74" s="57" t="s"/>
      <c r="P74" s="57" t="s"/>
      <c r="Q74" s="57" t="s"/>
      <c r="R74" s="57" t="s"/>
      <c r="S74" s="57" t="s"/>
      <c r="T74" s="57" t="s"/>
      <c r="U74" s="41" t="s">
        <v>772</v>
      </c>
      <c r="V74" s="41" t="s">
        <v>773</v>
      </c>
      <c r="W74" s="42">
        <v>3800</v>
      </c>
      <c r="X74" s="42">
        <f>=W74*F74</f>
        <v>3800</v>
      </c>
      <c r="Y74" s="41" t="s">
        <v>1015</v>
      </c>
      <c r="Z74" s="41" t="s">
        <v>1016</v>
      </c>
      <c r="AA74" s="57" t="s"/>
      <c r="AB74" s="621" t="s"/>
      <c r="AC74" s="582" t="s">
        <v>1017</v>
      </c>
      <c r="AD74" s="582" t="s">
        <v>1018</v>
      </c>
      <c r="AE74" s="582" t="s">
        <v>823</v>
      </c>
      <c r="AF74" s="582" t="s">
        <v>823</v>
      </c>
      <c r="AG74" s="42" t="s"/>
      <c r="AH74" s="42" t="s"/>
      <c r="AI74" s="42" t="s"/>
      <c r="AJ74" s="42" t="s"/>
    </row>
    <row r="75" spans="1:36" ht="21" customHeight="true">
      <c r="A75" s="43">
        <v>52</v>
      </c>
      <c r="B75" s="42" t="s">
        <v>894</v>
      </c>
      <c r="C75" s="42" t="s"/>
      <c r="D75" s="42" t="s">
        <v>1073</v>
      </c>
      <c r="E75" s="16" t="s">
        <v>45</v>
      </c>
      <c r="F75" s="16">
        <v>1</v>
      </c>
      <c r="G75" s="57" t="s"/>
      <c r="H75" s="621" t="s"/>
      <c r="I75" s="57" t="s"/>
      <c r="J75" s="57" t="s"/>
      <c r="K75" s="57" t="s"/>
      <c r="L75" s="620" t="s"/>
      <c r="M75" s="23" t="s"/>
      <c r="N75" s="57" t="s"/>
      <c r="O75" s="57" t="s"/>
      <c r="P75" s="57" t="s"/>
      <c r="Q75" s="57" t="s"/>
      <c r="R75" s="57" t="s"/>
      <c r="S75" s="57" t="s"/>
      <c r="T75" s="57" t="s"/>
      <c r="U75" s="41" t="s">
        <v>772</v>
      </c>
      <c r="V75" s="41" t="s">
        <v>773</v>
      </c>
      <c r="W75" s="42">
        <v>870</v>
      </c>
      <c r="X75" s="42">
        <f>=W75*F75</f>
        <v>870</v>
      </c>
      <c r="Y75" s="41" t="s">
        <v>1015</v>
      </c>
      <c r="Z75" s="41" t="s">
        <v>1016</v>
      </c>
      <c r="AA75" s="57" t="s"/>
      <c r="AB75" s="621" t="s"/>
      <c r="AC75" s="582" t="s">
        <v>1017</v>
      </c>
      <c r="AD75" s="582" t="s">
        <v>1018</v>
      </c>
      <c r="AE75" s="582" t="s">
        <v>823</v>
      </c>
      <c r="AF75" s="582" t="s">
        <v>823</v>
      </c>
      <c r="AG75" s="42" t="s"/>
      <c r="AH75" s="42" t="s"/>
      <c r="AI75" s="42" t="s"/>
      <c r="AJ75" s="42" t="s"/>
    </row>
    <row r="76" spans="1:36" ht="21" customHeight="true">
      <c r="A76" s="43">
        <v>53</v>
      </c>
      <c r="B76" s="42" t="s">
        <v>894</v>
      </c>
      <c r="C76" s="42" t="s"/>
      <c r="D76" s="42" t="s">
        <v>1074</v>
      </c>
      <c r="E76" s="16" t="s">
        <v>45</v>
      </c>
      <c r="F76" s="16">
        <v>2</v>
      </c>
      <c r="G76" s="57" t="s"/>
      <c r="H76" s="621" t="s"/>
      <c r="I76" s="57" t="s"/>
      <c r="J76" s="57" t="s"/>
      <c r="K76" s="57" t="s"/>
      <c r="L76" s="620" t="s"/>
      <c r="M76" s="23" t="s"/>
      <c r="N76" s="57" t="s"/>
      <c r="O76" s="57" t="s"/>
      <c r="P76" s="57" t="s"/>
      <c r="Q76" s="57" t="s"/>
      <c r="R76" s="57" t="s"/>
      <c r="S76" s="57" t="s"/>
      <c r="T76" s="57" t="s"/>
      <c r="U76" s="41" t="s">
        <v>772</v>
      </c>
      <c r="V76" s="41" t="s">
        <v>773</v>
      </c>
      <c r="W76" s="42">
        <v>65</v>
      </c>
      <c r="X76" s="42">
        <f>=W76*F76</f>
        <v>130</v>
      </c>
      <c r="Y76" s="41" t="s">
        <v>1015</v>
      </c>
      <c r="Z76" s="41" t="s">
        <v>1016</v>
      </c>
      <c r="AA76" s="57" t="s"/>
      <c r="AB76" s="621" t="s"/>
      <c r="AC76" s="582" t="s">
        <v>1017</v>
      </c>
      <c r="AD76" s="582" t="s">
        <v>1018</v>
      </c>
      <c r="AE76" s="582" t="s">
        <v>823</v>
      </c>
      <c r="AF76" s="582" t="s">
        <v>823</v>
      </c>
      <c r="AG76" s="42" t="s"/>
      <c r="AH76" s="42" t="s"/>
      <c r="AI76" s="42" t="s"/>
      <c r="AJ76" s="42" t="s"/>
    </row>
    <row r="77" spans="1:36" ht="21" customHeight="true">
      <c r="A77" s="43">
        <v>54</v>
      </c>
      <c r="B77" s="42" t="s">
        <v>1075</v>
      </c>
      <c r="C77" s="42" t="s"/>
      <c r="D77" s="42" t="s">
        <v>1076</v>
      </c>
      <c r="E77" s="16" t="s">
        <v>45</v>
      </c>
      <c r="F77" s="16">
        <v>1</v>
      </c>
      <c r="G77" s="57" t="s"/>
      <c r="H77" s="621" t="s"/>
      <c r="I77" s="57" t="s"/>
      <c r="J77" s="57" t="s"/>
      <c r="K77" s="57" t="s"/>
      <c r="L77" s="620" t="s"/>
      <c r="M77" s="23" t="s"/>
      <c r="N77" s="57" t="s"/>
      <c r="O77" s="57" t="s"/>
      <c r="P77" s="57" t="s"/>
      <c r="Q77" s="57" t="s"/>
      <c r="R77" s="57" t="s"/>
      <c r="S77" s="57" t="s"/>
      <c r="T77" s="57" t="s"/>
      <c r="U77" s="41" t="s">
        <v>772</v>
      </c>
      <c r="V77" s="41" t="s">
        <v>773</v>
      </c>
      <c r="W77" s="42">
        <v>4200</v>
      </c>
      <c r="X77" s="42">
        <f>=W77*F77</f>
        <v>4200</v>
      </c>
      <c r="Y77" s="41" t="s">
        <v>1015</v>
      </c>
      <c r="Z77" s="41" t="s">
        <v>1016</v>
      </c>
      <c r="AA77" s="57" t="s"/>
      <c r="AB77" s="621" t="s"/>
      <c r="AC77" s="582" t="s">
        <v>1017</v>
      </c>
      <c r="AD77" s="582" t="s">
        <v>1018</v>
      </c>
      <c r="AE77" s="582" t="s">
        <v>823</v>
      </c>
      <c r="AF77" s="582" t="s">
        <v>823</v>
      </c>
      <c r="AG77" s="42" t="s"/>
      <c r="AH77" s="42" t="s"/>
      <c r="AI77" s="42" t="s"/>
      <c r="AJ77" s="42" t="s"/>
    </row>
    <row r="78" spans="1:36" ht="21" customHeight="true">
      <c r="A78" s="43">
        <v>55</v>
      </c>
      <c r="B78" s="42" t="s">
        <v>1077</v>
      </c>
      <c r="C78" s="42" t="s"/>
      <c r="D78" s="42" t="s">
        <v>1078</v>
      </c>
      <c r="E78" s="16" t="s">
        <v>45</v>
      </c>
      <c r="F78" s="16">
        <v>12</v>
      </c>
      <c r="G78" s="57" t="s"/>
      <c r="H78" s="621" t="s"/>
      <c r="I78" s="57" t="s"/>
      <c r="J78" s="57" t="s"/>
      <c r="K78" s="57" t="s"/>
      <c r="L78" s="620" t="s"/>
      <c r="M78" s="23" t="s"/>
      <c r="N78" s="57" t="s"/>
      <c r="O78" s="57" t="s"/>
      <c r="P78" s="57" t="s"/>
      <c r="Q78" s="57" t="s"/>
      <c r="R78" s="57" t="s"/>
      <c r="S78" s="57" t="s"/>
      <c r="T78" s="57" t="s"/>
      <c r="U78" s="41" t="s">
        <v>772</v>
      </c>
      <c r="V78" s="41" t="s">
        <v>773</v>
      </c>
      <c r="W78" s="42">
        <v>1190</v>
      </c>
      <c r="X78" s="42">
        <f>=W78*F78</f>
        <v>14280</v>
      </c>
      <c r="Y78" s="41" t="s">
        <v>1015</v>
      </c>
      <c r="Z78" s="41" t="s">
        <v>1016</v>
      </c>
      <c r="AA78" s="57" t="s"/>
      <c r="AB78" s="621" t="s"/>
      <c r="AC78" s="582" t="s">
        <v>1017</v>
      </c>
      <c r="AD78" s="582" t="s">
        <v>1018</v>
      </c>
      <c r="AE78" s="582" t="s">
        <v>823</v>
      </c>
      <c r="AF78" s="582" t="s">
        <v>823</v>
      </c>
      <c r="AG78" s="42" t="s"/>
      <c r="AH78" s="42" t="s"/>
      <c r="AI78" s="42" t="s"/>
      <c r="AJ78" s="42" t="s"/>
    </row>
    <row r="79" spans="1:36" ht="21" customHeight="true">
      <c r="A79" s="43">
        <v>56</v>
      </c>
      <c r="B79" s="42" t="s">
        <v>1077</v>
      </c>
      <c r="C79" s="42" t="s"/>
      <c r="D79" s="42" t="s">
        <v>1079</v>
      </c>
      <c r="E79" s="16" t="s">
        <v>45</v>
      </c>
      <c r="F79" s="16">
        <v>8</v>
      </c>
      <c r="G79" s="61" t="s"/>
      <c r="H79" s="628" t="s"/>
      <c r="I79" s="57" t="s"/>
      <c r="J79" s="57" t="s"/>
      <c r="K79" s="57" t="s"/>
      <c r="L79" s="620" t="s"/>
      <c r="M79" s="23" t="s"/>
      <c r="N79" s="57" t="s"/>
      <c r="O79" s="57" t="s"/>
      <c r="P79" s="57" t="s"/>
      <c r="Q79" s="57" t="s"/>
      <c r="R79" s="57" t="s"/>
      <c r="S79" s="57" t="s"/>
      <c r="T79" s="57" t="s"/>
      <c r="U79" s="41" t="s">
        <v>772</v>
      </c>
      <c r="V79" s="41" t="s">
        <v>773</v>
      </c>
      <c r="W79" s="42">
        <v>1420</v>
      </c>
      <c r="X79" s="42">
        <f>=W79*F79</f>
        <v>11360</v>
      </c>
      <c r="Y79" s="41" t="s">
        <v>1015</v>
      </c>
      <c r="Z79" s="41" t="s">
        <v>1016</v>
      </c>
      <c r="AA79" s="57" t="s"/>
      <c r="AB79" s="621" t="s"/>
      <c r="AC79" s="582" t="s">
        <v>1017</v>
      </c>
      <c r="AD79" s="582" t="s">
        <v>1018</v>
      </c>
      <c r="AE79" s="582" t="s">
        <v>823</v>
      </c>
      <c r="AF79" s="582" t="s">
        <v>823</v>
      </c>
      <c r="AG79" s="42" t="s"/>
      <c r="AH79" s="42" t="s"/>
      <c r="AI79" s="42" t="s"/>
      <c r="AJ79" s="42" t="s"/>
    </row>
    <row r="80" spans="1:36" ht="21" customHeight="true">
      <c r="A80" s="583">
        <v>57</v>
      </c>
      <c r="B80" s="629" t="s">
        <v>1080</v>
      </c>
      <c r="C80" s="629" t="s"/>
      <c r="D80" s="629" t="s">
        <v>1069</v>
      </c>
      <c r="E80" s="630" t="s">
        <v>45</v>
      </c>
      <c r="F80" s="630">
        <v>5</v>
      </c>
      <c r="G80" s="224" t="s"/>
      <c r="H80" s="631" t="s"/>
      <c r="I80" s="57" t="s"/>
      <c r="J80" s="57" t="s"/>
      <c r="K80" s="57" t="s"/>
      <c r="L80" s="620" t="s"/>
      <c r="M80" s="23" t="s"/>
      <c r="N80" s="57" t="s"/>
      <c r="O80" s="57" t="s"/>
      <c r="P80" s="57" t="s"/>
      <c r="Q80" s="57" t="s"/>
      <c r="R80" s="57" t="s"/>
      <c r="S80" s="57" t="s"/>
      <c r="T80" s="57" t="s"/>
      <c r="U80" s="41" t="s"/>
      <c r="V80" s="41" t="s"/>
      <c r="W80" s="16" t="s"/>
      <c r="X80" s="42" t="s"/>
      <c r="Y80" s="41" t="s"/>
      <c r="Z80" s="41" t="s"/>
      <c r="AA80" s="632" t="s"/>
      <c r="AB80" s="632" t="s"/>
      <c r="AC80" s="582" t="s"/>
      <c r="AD80" s="582" t="s"/>
      <c r="AE80" s="582" t="s"/>
      <c r="AF80" s="582" t="s"/>
      <c r="AG80" s="41" t="s"/>
      <c r="AH80" s="41" t="s"/>
      <c r="AI80" s="42" t="s"/>
      <c r="AJ80" s="42" t="s"/>
    </row>
    <row r="81" spans="1:36" ht="21" customHeight="true">
      <c r="A81" s="583">
        <v>58</v>
      </c>
      <c r="B81" s="629" t="s">
        <v>1080</v>
      </c>
      <c r="C81" s="629" t="s"/>
      <c r="D81" s="629" t="s">
        <v>1081</v>
      </c>
      <c r="E81" s="630" t="s">
        <v>45</v>
      </c>
      <c r="F81" s="630">
        <v>8</v>
      </c>
      <c r="G81" s="224" t="s"/>
      <c r="H81" s="631" t="s"/>
      <c r="I81" s="57" t="s"/>
      <c r="J81" s="57" t="s"/>
      <c r="K81" s="57" t="s"/>
      <c r="L81" s="620" t="s"/>
      <c r="M81" s="23" t="s"/>
      <c r="N81" s="57" t="s"/>
      <c r="O81" s="57" t="s"/>
      <c r="P81" s="57" t="s"/>
      <c r="Q81" s="57" t="s"/>
      <c r="R81" s="57" t="s"/>
      <c r="S81" s="57" t="s"/>
      <c r="T81" s="57" t="s"/>
      <c r="U81" s="41" t="s"/>
      <c r="V81" s="41" t="s"/>
      <c r="W81" s="16" t="s"/>
      <c r="X81" s="42" t="s"/>
      <c r="Y81" s="41" t="s"/>
      <c r="Z81" s="41" t="s"/>
      <c r="AA81" s="632" t="s"/>
      <c r="AB81" s="632" t="s"/>
      <c r="AC81" s="582" t="s"/>
      <c r="AD81" s="582" t="s"/>
      <c r="AE81" s="582" t="s"/>
      <c r="AF81" s="582" t="s"/>
      <c r="AG81" s="41" t="s"/>
      <c r="AH81" s="41" t="s"/>
      <c r="AI81" s="42" t="s"/>
      <c r="AJ81" s="42" t="s"/>
    </row>
    <row r="82" spans="1:36" ht="21" customHeight="true">
      <c r="A82" s="583">
        <v>59</v>
      </c>
      <c r="B82" s="629" t="s">
        <v>1080</v>
      </c>
      <c r="C82" s="629" t="s"/>
      <c r="D82" s="629" t="s">
        <v>1068</v>
      </c>
      <c r="E82" s="630" t="s">
        <v>45</v>
      </c>
      <c r="F82" s="630">
        <v>4</v>
      </c>
      <c r="G82" s="224" t="s"/>
      <c r="H82" s="631" t="s"/>
      <c r="I82" s="57" t="s"/>
      <c r="J82" s="57" t="s"/>
      <c r="K82" s="57" t="s"/>
      <c r="L82" s="620" t="s"/>
      <c r="M82" s="23" t="s"/>
      <c r="N82" s="57" t="s"/>
      <c r="O82" s="57" t="s"/>
      <c r="P82" s="57" t="s"/>
      <c r="Q82" s="57" t="s"/>
      <c r="R82" s="57" t="s"/>
      <c r="S82" s="57" t="s"/>
      <c r="T82" s="57" t="s"/>
      <c r="U82" s="41" t="s"/>
      <c r="V82" s="41" t="s"/>
      <c r="W82" s="16" t="s"/>
      <c r="X82" s="42" t="s"/>
      <c r="Y82" s="41" t="s"/>
      <c r="Z82" s="41" t="s"/>
      <c r="AA82" s="632" t="s"/>
      <c r="AB82" s="632" t="s"/>
      <c r="AC82" s="582" t="s"/>
      <c r="AD82" s="582" t="s"/>
      <c r="AE82" s="582" t="s"/>
      <c r="AF82" s="582" t="s"/>
      <c r="AG82" s="41" t="s"/>
      <c r="AH82" s="41" t="s"/>
      <c r="AI82" s="42" t="s"/>
      <c r="AJ82" s="42" t="s"/>
    </row>
    <row r="83" spans="1:36" ht="21" customHeight="true">
      <c r="A83" s="583">
        <v>60</v>
      </c>
      <c r="B83" s="629" t="s">
        <v>1080</v>
      </c>
      <c r="C83" s="629" t="s"/>
      <c r="D83" s="629" t="s">
        <v>1082</v>
      </c>
      <c r="E83" s="630" t="s">
        <v>45</v>
      </c>
      <c r="F83" s="630">
        <v>4</v>
      </c>
      <c r="G83" s="224" t="s"/>
      <c r="H83" s="631" t="s"/>
      <c r="I83" s="57" t="s"/>
      <c r="J83" s="57" t="s"/>
      <c r="K83" s="57" t="s"/>
      <c r="L83" s="620" t="s"/>
      <c r="M83" s="23" t="s"/>
      <c r="N83" s="57" t="s"/>
      <c r="O83" s="57" t="s"/>
      <c r="P83" s="57" t="s"/>
      <c r="Q83" s="57" t="s"/>
      <c r="R83" s="57" t="s"/>
      <c r="S83" s="57" t="s"/>
      <c r="T83" s="57" t="s"/>
      <c r="U83" s="41" t="s"/>
      <c r="V83" s="41" t="s"/>
      <c r="W83" s="16" t="s"/>
      <c r="X83" s="42" t="s"/>
      <c r="Y83" s="41" t="s"/>
      <c r="Z83" s="41" t="s"/>
      <c r="AA83" s="632" t="s"/>
      <c r="AB83" s="632" t="s"/>
      <c r="AC83" s="582" t="s"/>
      <c r="AD83" s="582" t="s"/>
      <c r="AE83" s="582" t="s"/>
      <c r="AF83" s="582" t="s"/>
      <c r="AG83" s="41" t="s"/>
      <c r="AH83" s="41" t="s"/>
      <c r="AI83" s="42" t="s"/>
      <c r="AJ83" s="42" t="s"/>
    </row>
    <row r="84" spans="1:36" ht="21" customHeight="true">
      <c r="A84" s="583">
        <v>61</v>
      </c>
      <c r="B84" s="629" t="s">
        <v>1080</v>
      </c>
      <c r="C84" s="629" t="s"/>
      <c r="D84" s="629" t="s">
        <v>1083</v>
      </c>
      <c r="E84" s="630" t="s">
        <v>45</v>
      </c>
      <c r="F84" s="630">
        <v>4</v>
      </c>
      <c r="G84" s="224" t="s"/>
      <c r="H84" s="631" t="s"/>
      <c r="I84" s="57" t="s"/>
      <c r="J84" s="57" t="s"/>
      <c r="K84" s="57" t="s"/>
      <c r="L84" s="620" t="s"/>
      <c r="M84" s="23" t="s"/>
      <c r="N84" s="57" t="s"/>
      <c r="O84" s="57" t="s"/>
      <c r="P84" s="57" t="s"/>
      <c r="Q84" s="57" t="s"/>
      <c r="R84" s="57" t="s"/>
      <c r="S84" s="57" t="s"/>
      <c r="T84" s="57" t="s"/>
      <c r="U84" s="41" t="s"/>
      <c r="V84" s="41" t="s"/>
      <c r="W84" s="16" t="s"/>
      <c r="X84" s="42" t="s"/>
      <c r="Y84" s="41" t="s"/>
      <c r="Z84" s="41" t="s"/>
      <c r="AA84" s="632" t="s"/>
      <c r="AB84" s="632" t="s"/>
      <c r="AC84" s="582" t="s"/>
      <c r="AD84" s="582" t="s"/>
      <c r="AE84" s="582" t="s"/>
      <c r="AF84" s="582" t="s"/>
      <c r="AG84" s="41" t="s"/>
      <c r="AH84" s="41" t="s"/>
      <c r="AI84" s="42" t="s"/>
      <c r="AJ84" s="42" t="s"/>
    </row>
    <row r="85" spans="1:36" ht="21" customHeight="true">
      <c r="A85" s="583">
        <v>62</v>
      </c>
      <c r="B85" s="629" t="s">
        <v>1084</v>
      </c>
      <c r="C85" s="629" t="s"/>
      <c r="D85" s="629" t="s">
        <v>1083</v>
      </c>
      <c r="E85" s="630" t="s">
        <v>45</v>
      </c>
      <c r="F85" s="630">
        <v>6</v>
      </c>
      <c r="G85" s="224" t="s"/>
      <c r="H85" s="631" t="s"/>
      <c r="I85" s="57" t="s"/>
      <c r="J85" s="57" t="s"/>
      <c r="K85" s="57" t="s"/>
      <c r="L85" s="620" t="s"/>
      <c r="M85" s="23" t="s"/>
      <c r="N85" s="57" t="s"/>
      <c r="O85" s="57" t="s"/>
      <c r="P85" s="57" t="s"/>
      <c r="Q85" s="57" t="s"/>
      <c r="R85" s="57" t="s"/>
      <c r="S85" s="57" t="s"/>
      <c r="T85" s="57" t="s"/>
      <c r="U85" s="41" t="s"/>
      <c r="V85" s="41" t="s"/>
      <c r="W85" s="16" t="s"/>
      <c r="X85" s="42" t="s"/>
      <c r="Y85" s="41" t="s"/>
      <c r="Z85" s="41" t="s"/>
      <c r="AA85" s="632" t="s"/>
      <c r="AB85" s="632" t="s"/>
      <c r="AC85" s="582" t="s"/>
      <c r="AD85" s="582" t="s"/>
      <c r="AE85" s="582" t="s"/>
      <c r="AF85" s="582" t="s"/>
      <c r="AG85" s="41" t="s"/>
      <c r="AH85" s="41" t="s"/>
      <c r="AI85" s="42" t="s"/>
      <c r="AJ85" s="42" t="s"/>
    </row>
    <row r="86" spans="1:36" ht="21" customHeight="true">
      <c r="A86" s="583">
        <v>63</v>
      </c>
      <c r="B86" s="629" t="s">
        <v>1084</v>
      </c>
      <c r="C86" s="629" t="s"/>
      <c r="D86" s="629" t="s">
        <v>1082</v>
      </c>
      <c r="E86" s="630" t="s">
        <v>45</v>
      </c>
      <c r="F86" s="630">
        <v>4</v>
      </c>
      <c r="G86" s="224" t="s"/>
      <c r="H86" s="631" t="s"/>
      <c r="I86" s="57" t="s"/>
      <c r="J86" s="57" t="s"/>
      <c r="K86" s="57" t="s"/>
      <c r="L86" s="620" t="s"/>
      <c r="M86" s="23" t="s"/>
      <c r="N86" s="57" t="s"/>
      <c r="O86" s="57" t="s"/>
      <c r="P86" s="57" t="s"/>
      <c r="Q86" s="57" t="s"/>
      <c r="R86" s="57" t="s"/>
      <c r="S86" s="57" t="s"/>
      <c r="T86" s="57" t="s"/>
      <c r="U86" s="41" t="s"/>
      <c r="V86" s="41" t="s"/>
      <c r="W86" s="16" t="s"/>
      <c r="X86" s="42" t="s"/>
      <c r="Y86" s="41" t="s"/>
      <c r="Z86" s="41" t="s"/>
      <c r="AA86" s="632" t="s"/>
      <c r="AB86" s="632" t="s"/>
      <c r="AC86" s="582" t="s"/>
      <c r="AD86" s="582" t="s"/>
      <c r="AE86" s="582" t="s"/>
      <c r="AF86" s="582" t="s"/>
      <c r="AG86" s="41" t="s"/>
      <c r="AH86" s="41" t="s"/>
      <c r="AI86" s="42" t="s"/>
      <c r="AJ86" s="42" t="s"/>
    </row>
    <row r="87" spans="1:36" ht="21" customHeight="true">
      <c r="A87" s="583">
        <v>64</v>
      </c>
      <c r="B87" s="629" t="s">
        <v>1084</v>
      </c>
      <c r="C87" s="629" t="s"/>
      <c r="D87" s="629" t="s">
        <v>1068</v>
      </c>
      <c r="E87" s="630" t="s">
        <v>45</v>
      </c>
      <c r="F87" s="630">
        <v>4</v>
      </c>
      <c r="G87" s="224" t="s"/>
      <c r="H87" s="631" t="s"/>
      <c r="I87" s="57" t="s"/>
      <c r="J87" s="57" t="s"/>
      <c r="K87" s="57" t="s"/>
      <c r="L87" s="620" t="s"/>
      <c r="M87" s="23" t="s"/>
      <c r="N87" s="57" t="s"/>
      <c r="O87" s="57" t="s"/>
      <c r="P87" s="57" t="s"/>
      <c r="Q87" s="57" t="s"/>
      <c r="R87" s="57" t="s"/>
      <c r="S87" s="57" t="s"/>
      <c r="T87" s="57" t="s"/>
      <c r="U87" s="41" t="s"/>
      <c r="V87" s="41" t="s"/>
      <c r="W87" s="16" t="s"/>
      <c r="X87" s="42" t="s"/>
      <c r="Y87" s="41" t="s"/>
      <c r="Z87" s="41" t="s"/>
      <c r="AA87" s="632" t="s"/>
      <c r="AB87" s="632" t="s"/>
      <c r="AC87" s="582" t="s"/>
      <c r="AD87" s="582" t="s"/>
      <c r="AE87" s="582" t="s"/>
      <c r="AF87" s="582" t="s"/>
      <c r="AG87" s="41" t="s"/>
      <c r="AH87" s="41" t="s"/>
      <c r="AI87" s="42" t="s"/>
      <c r="AJ87" s="42" t="s"/>
    </row>
    <row r="88" spans="1:36" ht="21" customHeight="true">
      <c r="A88" s="583">
        <v>65</v>
      </c>
      <c r="B88" s="629" t="s">
        <v>1084</v>
      </c>
      <c r="C88" s="629" t="s"/>
      <c r="D88" s="629" t="s">
        <v>1085</v>
      </c>
      <c r="E88" s="630" t="s">
        <v>45</v>
      </c>
      <c r="F88" s="630">
        <v>2</v>
      </c>
      <c r="G88" s="224" t="s"/>
      <c r="H88" s="631" t="s"/>
      <c r="I88" s="57" t="s"/>
      <c r="J88" s="57" t="s"/>
      <c r="K88" s="57" t="s"/>
      <c r="L88" s="620" t="s"/>
      <c r="M88" s="23" t="s"/>
      <c r="N88" s="57" t="s"/>
      <c r="O88" s="57" t="s"/>
      <c r="P88" s="57" t="s"/>
      <c r="Q88" s="57" t="s"/>
      <c r="R88" s="57" t="s"/>
      <c r="S88" s="57" t="s"/>
      <c r="T88" s="57" t="s"/>
      <c r="U88" s="41" t="s"/>
      <c r="V88" s="41" t="s"/>
      <c r="W88" s="16" t="s"/>
      <c r="X88" s="42" t="s"/>
      <c r="Y88" s="41" t="s"/>
      <c r="Z88" s="41" t="s"/>
      <c r="AA88" s="632" t="s"/>
      <c r="AB88" s="632" t="s"/>
      <c r="AC88" s="582" t="s"/>
      <c r="AD88" s="582" t="s"/>
      <c r="AE88" s="582" t="s"/>
      <c r="AF88" s="582" t="s"/>
      <c r="AG88" s="41" t="s"/>
      <c r="AH88" s="41" t="s"/>
      <c r="AI88" s="42" t="s"/>
      <c r="AJ88" s="42" t="s"/>
    </row>
    <row r="89" spans="1:36" ht="21" customHeight="true">
      <c r="A89" s="583">
        <v>66</v>
      </c>
      <c r="B89" s="629" t="s">
        <v>1084</v>
      </c>
      <c r="C89" s="629" t="s"/>
      <c r="D89" s="629" t="s">
        <v>359</v>
      </c>
      <c r="E89" s="630" t="s">
        <v>45</v>
      </c>
      <c r="F89" s="630">
        <v>6</v>
      </c>
      <c r="G89" s="224" t="s"/>
      <c r="H89" s="631" t="s"/>
      <c r="I89" s="57" t="s"/>
      <c r="J89" s="57" t="s"/>
      <c r="K89" s="57" t="s"/>
      <c r="L89" s="620" t="s"/>
      <c r="M89" s="23" t="s"/>
      <c r="N89" s="57" t="s"/>
      <c r="O89" s="57" t="s"/>
      <c r="P89" s="57" t="s"/>
      <c r="Q89" s="57" t="s"/>
      <c r="R89" s="57" t="s"/>
      <c r="S89" s="57" t="s"/>
      <c r="T89" s="57" t="s"/>
      <c r="U89" s="41" t="s"/>
      <c r="V89" s="41" t="s"/>
      <c r="W89" s="16" t="s"/>
      <c r="X89" s="42" t="s"/>
      <c r="Y89" s="41" t="s"/>
      <c r="Z89" s="41" t="s"/>
      <c r="AA89" s="632" t="s"/>
      <c r="AB89" s="632" t="s"/>
      <c r="AC89" s="582" t="s"/>
      <c r="AD89" s="582" t="s"/>
      <c r="AE89" s="582" t="s"/>
      <c r="AF89" s="582" t="s"/>
      <c r="AG89" s="41" t="s"/>
      <c r="AH89" s="41" t="s"/>
      <c r="AI89" s="42" t="s"/>
      <c r="AJ89" s="42" t="s"/>
    </row>
    <row r="90" spans="1:36" ht="21" customHeight="true">
      <c r="A90" s="583">
        <v>67</v>
      </c>
      <c r="B90" s="629" t="s">
        <v>1084</v>
      </c>
      <c r="C90" s="629" t="s"/>
      <c r="D90" s="629" t="s">
        <v>360</v>
      </c>
      <c r="E90" s="630" t="s">
        <v>45</v>
      </c>
      <c r="F90" s="630">
        <v>6</v>
      </c>
      <c r="G90" s="224" t="s"/>
      <c r="H90" s="631" t="s"/>
      <c r="I90" s="57" t="s"/>
      <c r="J90" s="57" t="s"/>
      <c r="K90" s="57" t="s"/>
      <c r="L90" s="620" t="s"/>
      <c r="M90" s="23" t="s"/>
      <c r="N90" s="57" t="s"/>
      <c r="O90" s="57" t="s"/>
      <c r="P90" s="57" t="s"/>
      <c r="Q90" s="57" t="s"/>
      <c r="R90" s="57" t="s"/>
      <c r="S90" s="57" t="s"/>
      <c r="T90" s="57" t="s"/>
      <c r="U90" s="41" t="s"/>
      <c r="V90" s="41" t="s"/>
      <c r="W90" s="16" t="s"/>
      <c r="X90" s="42" t="s"/>
      <c r="Y90" s="41" t="s"/>
      <c r="Z90" s="41" t="s"/>
      <c r="AA90" s="632" t="s"/>
      <c r="AB90" s="632" t="s"/>
      <c r="AC90" s="582" t="s"/>
      <c r="AD90" s="582" t="s"/>
      <c r="AE90" s="582" t="s"/>
      <c r="AF90" s="582" t="s"/>
      <c r="AG90" s="41" t="s"/>
      <c r="AH90" s="41" t="s"/>
      <c r="AI90" s="42" t="s"/>
      <c r="AJ90" s="42" t="s"/>
    </row>
    <row r="91" spans="1:36" ht="21" customHeight="true">
      <c r="A91" s="583">
        <v>68</v>
      </c>
      <c r="B91" s="629" t="s">
        <v>1084</v>
      </c>
      <c r="C91" s="629" t="s"/>
      <c r="D91" s="629" t="s">
        <v>362</v>
      </c>
      <c r="E91" s="630" t="s">
        <v>45</v>
      </c>
      <c r="F91" s="630">
        <v>2</v>
      </c>
      <c r="G91" s="224" t="s"/>
      <c r="H91" s="631" t="s"/>
      <c r="I91" s="57" t="s"/>
      <c r="J91" s="57" t="s"/>
      <c r="K91" s="57" t="s"/>
      <c r="L91" s="620" t="s"/>
      <c r="M91" s="23" t="s"/>
      <c r="N91" s="57" t="s"/>
      <c r="O91" s="57" t="s"/>
      <c r="P91" s="57" t="s"/>
      <c r="Q91" s="57" t="s"/>
      <c r="R91" s="57" t="s"/>
      <c r="S91" s="57" t="s"/>
      <c r="T91" s="57" t="s"/>
      <c r="U91" s="41" t="s"/>
      <c r="V91" s="41" t="s"/>
      <c r="W91" s="16" t="s"/>
      <c r="X91" s="42" t="s"/>
      <c r="Y91" s="41" t="s"/>
      <c r="Z91" s="41" t="s"/>
      <c r="AA91" s="632" t="s"/>
      <c r="AB91" s="632" t="s"/>
      <c r="AC91" s="582" t="s"/>
      <c r="AD91" s="582" t="s"/>
      <c r="AE91" s="582" t="s"/>
      <c r="AF91" s="582" t="s"/>
      <c r="AG91" s="41" t="s"/>
      <c r="AH91" s="41" t="s"/>
      <c r="AI91" s="42" t="s"/>
      <c r="AJ91" s="42" t="s"/>
    </row>
    <row r="92" spans="1:36" ht="21" customHeight="true">
      <c r="A92" s="583">
        <v>69</v>
      </c>
      <c r="B92" s="629" t="s">
        <v>1084</v>
      </c>
      <c r="C92" s="629" t="s"/>
      <c r="D92" s="629" t="s">
        <v>1069</v>
      </c>
      <c r="E92" s="630" t="s">
        <v>45</v>
      </c>
      <c r="F92" s="630">
        <v>2</v>
      </c>
      <c r="G92" s="224" t="s"/>
      <c r="H92" s="631" t="s"/>
      <c r="I92" s="57" t="s"/>
      <c r="J92" s="57" t="s"/>
      <c r="K92" s="57" t="s"/>
      <c r="L92" s="620" t="s"/>
      <c r="M92" s="23" t="s"/>
      <c r="N92" s="57" t="s"/>
      <c r="O92" s="57" t="s"/>
      <c r="P92" s="57" t="s"/>
      <c r="Q92" s="57" t="s"/>
      <c r="R92" s="57" t="s"/>
      <c r="S92" s="57" t="s"/>
      <c r="T92" s="57" t="s"/>
      <c r="U92" s="41" t="s"/>
      <c r="V92" s="41" t="s"/>
      <c r="W92" s="16" t="s"/>
      <c r="X92" s="42" t="s"/>
      <c r="Y92" s="41" t="s"/>
      <c r="Z92" s="41" t="s"/>
      <c r="AA92" s="632" t="s"/>
      <c r="AB92" s="632" t="s"/>
      <c r="AC92" s="582" t="s"/>
      <c r="AD92" s="582" t="s"/>
      <c r="AE92" s="582" t="s"/>
      <c r="AF92" s="582" t="s"/>
      <c r="AG92" s="41" t="s"/>
      <c r="AH92" s="41" t="s"/>
      <c r="AI92" s="42" t="s"/>
      <c r="AJ92" s="42" t="s"/>
    </row>
    <row r="93" spans="1:36" ht="21" customHeight="true">
      <c r="A93" s="583">
        <v>70</v>
      </c>
      <c r="B93" s="629" t="s">
        <v>1086</v>
      </c>
      <c r="C93" s="629" t="s"/>
      <c r="D93" s="629" t="s">
        <v>1069</v>
      </c>
      <c r="E93" s="630" t="s">
        <v>45</v>
      </c>
      <c r="F93" s="630">
        <v>2</v>
      </c>
      <c r="G93" s="224" t="s"/>
      <c r="H93" s="631" t="s"/>
      <c r="I93" s="57" t="s"/>
      <c r="J93" s="57" t="s"/>
      <c r="K93" s="57" t="s"/>
      <c r="L93" s="620" t="s"/>
      <c r="M93" s="23" t="s"/>
      <c r="N93" s="57" t="s"/>
      <c r="O93" s="57" t="s"/>
      <c r="P93" s="57" t="s"/>
      <c r="Q93" s="57" t="s"/>
      <c r="R93" s="57" t="s"/>
      <c r="S93" s="57" t="s"/>
      <c r="T93" s="57" t="s"/>
      <c r="U93" s="41" t="s"/>
      <c r="V93" s="41" t="s"/>
      <c r="W93" s="16" t="s"/>
      <c r="X93" s="42" t="s"/>
      <c r="Y93" s="41" t="s"/>
      <c r="Z93" s="41" t="s"/>
      <c r="AA93" s="632" t="s"/>
      <c r="AB93" s="632" t="s"/>
      <c r="AC93" s="582" t="s"/>
      <c r="AD93" s="582" t="s"/>
      <c r="AE93" s="582" t="s"/>
      <c r="AF93" s="582" t="s"/>
      <c r="AG93" s="41" t="s"/>
      <c r="AH93" s="41" t="s"/>
      <c r="AI93" s="42" t="s"/>
      <c r="AJ93" s="42" t="s"/>
    </row>
    <row r="94" spans="1:36" ht="21" customHeight="true">
      <c r="A94" s="43">
        <v>71</v>
      </c>
      <c r="B94" s="42" t="s">
        <v>1087</v>
      </c>
      <c r="C94" s="42" t="s">
        <v>1088</v>
      </c>
      <c r="D94" s="42" t="s">
        <v>1088</v>
      </c>
      <c r="E94" s="16" t="s">
        <v>32</v>
      </c>
      <c r="F94" s="16">
        <v>8</v>
      </c>
      <c r="G94" s="16">
        <v>5900</v>
      </c>
      <c r="H94" s="633">
        <f>=G94*F94</f>
        <v>47200</v>
      </c>
      <c r="I94" s="57" t="s"/>
      <c r="J94" s="57" t="s"/>
      <c r="K94" s="57" t="s"/>
      <c r="L94" s="620" t="s"/>
      <c r="M94" s="23" t="s"/>
      <c r="N94" s="57" t="s"/>
      <c r="O94" s="57" t="s"/>
      <c r="P94" s="57" t="s"/>
      <c r="Q94" s="57" t="s"/>
      <c r="R94" s="57" t="s"/>
      <c r="S94" s="57" t="s"/>
      <c r="T94" s="57" t="s"/>
      <c r="U94" s="41" t="s">
        <v>772</v>
      </c>
      <c r="V94" s="41" t="s">
        <v>773</v>
      </c>
      <c r="W94" s="16">
        <v>8800</v>
      </c>
      <c r="X94" s="42">
        <f>=W94*F94</f>
        <v>70400</v>
      </c>
      <c r="Y94" s="41" t="s">
        <v>1015</v>
      </c>
      <c r="Z94" s="41" t="s">
        <v>1016</v>
      </c>
      <c r="AA94" s="57" t="s"/>
      <c r="AB94" s="621" t="s"/>
      <c r="AC94" s="582" t="s">
        <v>1017</v>
      </c>
      <c r="AD94" s="582" t="s">
        <v>1018</v>
      </c>
      <c r="AE94" s="582" t="s">
        <v>823</v>
      </c>
      <c r="AF94" s="582" t="s">
        <v>823</v>
      </c>
      <c r="AG94" s="41" t="s"/>
      <c r="AH94" s="41" t="s"/>
      <c r="AI94" s="42" t="s"/>
      <c r="AJ94" s="42" t="s"/>
    </row>
    <row r="95" spans="1:36" ht="21" customHeight="true">
      <c r="A95" s="43">
        <v>72</v>
      </c>
      <c r="B95" s="42" t="s">
        <v>1089</v>
      </c>
      <c r="C95" s="42" t="s">
        <v>1090</v>
      </c>
      <c r="D95" s="42" t="s">
        <v>1090</v>
      </c>
      <c r="E95" s="16" t="s">
        <v>32</v>
      </c>
      <c r="F95" s="16">
        <v>1</v>
      </c>
      <c r="G95" s="16">
        <v>4000</v>
      </c>
      <c r="H95" s="633">
        <f>=G95*F95</f>
        <v>4000</v>
      </c>
      <c r="I95" s="57" t="s"/>
      <c r="J95" s="57" t="s"/>
      <c r="K95" s="57" t="s"/>
      <c r="L95" s="620" t="s"/>
      <c r="M95" s="23" t="s"/>
      <c r="N95" s="57" t="s"/>
      <c r="O95" s="57" t="s"/>
      <c r="P95" s="57" t="s"/>
      <c r="Q95" s="57" t="s"/>
      <c r="R95" s="57" t="s"/>
      <c r="S95" s="57" t="s"/>
      <c r="T95" s="57" t="s"/>
      <c r="U95" s="41" t="s">
        <v>772</v>
      </c>
      <c r="V95" s="41" t="s">
        <v>773</v>
      </c>
      <c r="W95" s="16">
        <v>5300</v>
      </c>
      <c r="X95" s="42">
        <f>=W95*F95</f>
        <v>5300</v>
      </c>
      <c r="Y95" s="41" t="s">
        <v>1015</v>
      </c>
      <c r="Z95" s="41" t="s">
        <v>1016</v>
      </c>
      <c r="AA95" s="57" t="s"/>
      <c r="AB95" s="621" t="s"/>
      <c r="AC95" s="582" t="s">
        <v>1017</v>
      </c>
      <c r="AD95" s="582" t="s">
        <v>1018</v>
      </c>
      <c r="AE95" s="582" t="s">
        <v>823</v>
      </c>
      <c r="AF95" s="582" t="s">
        <v>823</v>
      </c>
      <c r="AG95" s="41" t="s"/>
      <c r="AH95" s="41" t="s"/>
      <c r="AI95" s="42" t="s"/>
      <c r="AJ95" s="42" t="s"/>
    </row>
    <row r="96" spans="1:36" ht="21" customHeight="true">
      <c r="A96" s="43">
        <v>73</v>
      </c>
      <c r="B96" s="42" t="s">
        <v>1089</v>
      </c>
      <c r="C96" s="42" t="s">
        <v>1091</v>
      </c>
      <c r="D96" s="42" t="s">
        <v>1091</v>
      </c>
      <c r="E96" s="16" t="s">
        <v>32</v>
      </c>
      <c r="F96" s="16">
        <v>8</v>
      </c>
      <c r="G96" s="16">
        <v>3300</v>
      </c>
      <c r="H96" s="633">
        <f>=G96*F96</f>
        <v>26400</v>
      </c>
      <c r="I96" s="57" t="s"/>
      <c r="J96" s="57" t="s"/>
      <c r="K96" s="57" t="s"/>
      <c r="L96" s="620" t="s"/>
      <c r="M96" s="23" t="s"/>
      <c r="N96" s="57" t="s"/>
      <c r="O96" s="57" t="s"/>
      <c r="P96" s="57" t="s"/>
      <c r="Q96" s="57" t="s"/>
      <c r="R96" s="57" t="s"/>
      <c r="S96" s="57" t="s"/>
      <c r="T96" s="57" t="s"/>
      <c r="U96" s="41" t="s">
        <v>772</v>
      </c>
      <c r="V96" s="41" t="s">
        <v>773</v>
      </c>
      <c r="W96" s="16">
        <v>3800</v>
      </c>
      <c r="X96" s="42">
        <f>=W96*F96</f>
        <v>30400</v>
      </c>
      <c r="Y96" s="41" t="s">
        <v>1015</v>
      </c>
      <c r="Z96" s="41" t="s">
        <v>1016</v>
      </c>
      <c r="AA96" s="57" t="s"/>
      <c r="AB96" s="621" t="s"/>
      <c r="AC96" s="582" t="s">
        <v>1017</v>
      </c>
      <c r="AD96" s="582" t="s">
        <v>1018</v>
      </c>
      <c r="AE96" s="582" t="s">
        <v>823</v>
      </c>
      <c r="AF96" s="582" t="s">
        <v>823</v>
      </c>
      <c r="AG96" s="41" t="s"/>
      <c r="AH96" s="41" t="s"/>
      <c r="AI96" s="42" t="s"/>
      <c r="AJ96" s="42" t="s"/>
    </row>
    <row r="97" spans="1:36" ht="21" customHeight="true">
      <c r="A97" s="43">
        <v>74</v>
      </c>
      <c r="B97" s="42" t="s">
        <v>1089</v>
      </c>
      <c r="C97" s="42" t="s">
        <v>1092</v>
      </c>
      <c r="D97" s="42" t="s">
        <v>1092</v>
      </c>
      <c r="E97" s="16" t="s">
        <v>32</v>
      </c>
      <c r="F97" s="16">
        <v>1</v>
      </c>
      <c r="G97" s="16">
        <v>3300</v>
      </c>
      <c r="H97" s="633">
        <f>=G97*F97</f>
        <v>3300</v>
      </c>
      <c r="I97" s="57" t="s"/>
      <c r="J97" s="57" t="s"/>
      <c r="K97" s="57" t="s"/>
      <c r="L97" s="620" t="s"/>
      <c r="M97" s="23" t="s"/>
      <c r="N97" s="57" t="s"/>
      <c r="O97" s="57" t="s"/>
      <c r="P97" s="57" t="s"/>
      <c r="Q97" s="57" t="s"/>
      <c r="R97" s="57" t="s"/>
      <c r="S97" s="57" t="s"/>
      <c r="T97" s="57" t="s"/>
      <c r="U97" s="41" t="s">
        <v>772</v>
      </c>
      <c r="V97" s="41" t="s">
        <v>773</v>
      </c>
      <c r="W97" s="16">
        <v>3500</v>
      </c>
      <c r="X97" s="42">
        <f>=W97*F97</f>
        <v>3500</v>
      </c>
      <c r="Y97" s="41" t="s">
        <v>1015</v>
      </c>
      <c r="Z97" s="41" t="s">
        <v>1016</v>
      </c>
      <c r="AA97" s="57" t="s"/>
      <c r="AB97" s="621" t="s"/>
      <c r="AC97" s="582" t="s">
        <v>1017</v>
      </c>
      <c r="AD97" s="582" t="s">
        <v>1018</v>
      </c>
      <c r="AE97" s="582" t="s">
        <v>823</v>
      </c>
      <c r="AF97" s="582" t="s">
        <v>823</v>
      </c>
      <c r="AG97" s="41" t="s"/>
      <c r="AH97" s="41" t="s"/>
      <c r="AI97" s="42" t="s"/>
      <c r="AJ97" s="42" t="s"/>
    </row>
    <row r="98" spans="1:36" ht="21" customHeight="true">
      <c r="A98" s="43">
        <v>75</v>
      </c>
      <c r="B98" s="42" t="s">
        <v>1089</v>
      </c>
      <c r="C98" s="42" t="s">
        <v>1093</v>
      </c>
      <c r="D98" s="42" t="s">
        <v>1093</v>
      </c>
      <c r="E98" s="16" t="s">
        <v>32</v>
      </c>
      <c r="F98" s="16">
        <v>1</v>
      </c>
      <c r="G98" s="16">
        <v>2900</v>
      </c>
      <c r="H98" s="633">
        <f>=G98*F98</f>
        <v>2900</v>
      </c>
      <c r="I98" s="57" t="s"/>
      <c r="J98" s="57" t="s"/>
      <c r="K98" s="57" t="s"/>
      <c r="L98" s="620" t="s"/>
      <c r="M98" s="23" t="s"/>
      <c r="N98" s="57" t="s"/>
      <c r="O98" s="57" t="s"/>
      <c r="P98" s="57" t="s"/>
      <c r="Q98" s="57" t="s"/>
      <c r="R98" s="57" t="s"/>
      <c r="S98" s="57" t="s"/>
      <c r="T98" s="57" t="s"/>
      <c r="U98" s="41" t="s">
        <v>772</v>
      </c>
      <c r="V98" s="41" t="s">
        <v>773</v>
      </c>
      <c r="W98" s="16">
        <v>1650</v>
      </c>
      <c r="X98" s="42">
        <f>=W98*F98</f>
        <v>1650</v>
      </c>
      <c r="Y98" s="41" t="s">
        <v>1015</v>
      </c>
      <c r="Z98" s="41" t="s">
        <v>1016</v>
      </c>
      <c r="AA98" s="57" t="s"/>
      <c r="AB98" s="621" t="s"/>
      <c r="AC98" s="582" t="s">
        <v>1017</v>
      </c>
      <c r="AD98" s="582" t="s">
        <v>1018</v>
      </c>
      <c r="AE98" s="582" t="s">
        <v>823</v>
      </c>
      <c r="AF98" s="582" t="s">
        <v>823</v>
      </c>
      <c r="AG98" s="41" t="s"/>
      <c r="AH98" s="41" t="s"/>
      <c r="AI98" s="42" t="s"/>
      <c r="AJ98" s="42" t="s"/>
    </row>
    <row r="99" spans="1:36" ht="21" customHeight="true">
      <c r="A99" s="43">
        <v>76</v>
      </c>
      <c r="B99" s="42" t="s">
        <v>1084</v>
      </c>
      <c r="C99" s="42" t="s">
        <v>1094</v>
      </c>
      <c r="D99" s="42" t="s">
        <v>1094</v>
      </c>
      <c r="E99" s="16" t="s">
        <v>32</v>
      </c>
      <c r="F99" s="16">
        <v>1</v>
      </c>
      <c r="G99" s="16">
        <v>2500</v>
      </c>
      <c r="H99" s="633">
        <f>=G99*F99</f>
        <v>2500</v>
      </c>
      <c r="I99" s="57" t="s"/>
      <c r="J99" s="57" t="s"/>
      <c r="K99" s="57" t="s"/>
      <c r="L99" s="620" t="s"/>
      <c r="M99" s="23" t="s"/>
      <c r="N99" s="57" t="s"/>
      <c r="O99" s="57" t="s"/>
      <c r="P99" s="57" t="s"/>
      <c r="Q99" s="57" t="s"/>
      <c r="R99" s="57" t="s"/>
      <c r="S99" s="57" t="s"/>
      <c r="T99" s="57" t="s"/>
      <c r="U99" s="41" t="s">
        <v>772</v>
      </c>
      <c r="V99" s="41" t="s">
        <v>773</v>
      </c>
      <c r="W99" s="16">
        <v>2600</v>
      </c>
      <c r="X99" s="42">
        <f>=W99*F99</f>
        <v>2600</v>
      </c>
      <c r="Y99" s="41" t="s">
        <v>1015</v>
      </c>
      <c r="Z99" s="41" t="s">
        <v>1016</v>
      </c>
      <c r="AA99" s="57" t="s"/>
      <c r="AB99" s="621" t="s"/>
      <c r="AC99" s="582" t="s">
        <v>1017</v>
      </c>
      <c r="AD99" s="582" t="s">
        <v>1018</v>
      </c>
      <c r="AE99" s="582" t="s">
        <v>823</v>
      </c>
      <c r="AF99" s="582" t="s">
        <v>823</v>
      </c>
      <c r="AG99" s="41" t="s"/>
      <c r="AH99" s="41" t="s"/>
      <c r="AI99" s="42" t="s"/>
      <c r="AJ99" s="42" t="s"/>
    </row>
    <row r="100" spans="1:36" ht="21" customHeight="true">
      <c r="A100" s="43">
        <v>77</v>
      </c>
      <c r="B100" s="42" t="s">
        <v>1084</v>
      </c>
      <c r="C100" s="42" t="s">
        <v>1095</v>
      </c>
      <c r="D100" s="42" t="s">
        <v>1095</v>
      </c>
      <c r="E100" s="16" t="s">
        <v>32</v>
      </c>
      <c r="F100" s="16">
        <v>1</v>
      </c>
      <c r="G100" s="16">
        <v>2000</v>
      </c>
      <c r="H100" s="633">
        <f>=G100*F100</f>
        <v>2000</v>
      </c>
      <c r="I100" s="57" t="s"/>
      <c r="J100" s="57" t="s"/>
      <c r="K100" s="57" t="s"/>
      <c r="L100" s="620" t="s"/>
      <c r="M100" s="23" t="s"/>
      <c r="N100" s="57" t="s"/>
      <c r="O100" s="57" t="s"/>
      <c r="P100" s="57" t="s"/>
      <c r="Q100" s="57" t="s"/>
      <c r="R100" s="57" t="s"/>
      <c r="S100" s="57" t="s"/>
      <c r="T100" s="57" t="s"/>
      <c r="U100" s="41" t="s">
        <v>772</v>
      </c>
      <c r="V100" s="41" t="s">
        <v>773</v>
      </c>
      <c r="W100" s="16">
        <v>2600</v>
      </c>
      <c r="X100" s="42">
        <f>=W100*F100</f>
        <v>2600</v>
      </c>
      <c r="Y100" s="41" t="s">
        <v>1015</v>
      </c>
      <c r="Z100" s="41" t="s">
        <v>1016</v>
      </c>
      <c r="AA100" s="57" t="s"/>
      <c r="AB100" s="621" t="s"/>
      <c r="AC100" s="582" t="s">
        <v>1017</v>
      </c>
      <c r="AD100" s="582" t="s">
        <v>1018</v>
      </c>
      <c r="AE100" s="582" t="s">
        <v>823</v>
      </c>
      <c r="AF100" s="582" t="s">
        <v>823</v>
      </c>
      <c r="AG100" s="41" t="s"/>
      <c r="AH100" s="41" t="s"/>
      <c r="AI100" s="42" t="s"/>
      <c r="AJ100" s="42" t="s"/>
    </row>
    <row r="101" spans="1:36" ht="21" customHeight="true">
      <c r="A101" s="43">
        <v>78</v>
      </c>
      <c r="B101" s="42" t="s">
        <v>1096</v>
      </c>
      <c r="C101" s="42" t="s">
        <v>1097</v>
      </c>
      <c r="D101" s="42" t="s">
        <v>1097</v>
      </c>
      <c r="E101" s="16" t="s">
        <v>32</v>
      </c>
      <c r="F101" s="16">
        <v>1</v>
      </c>
      <c r="G101" s="16">
        <v>3600</v>
      </c>
      <c r="H101" s="633">
        <f>=G101*F101</f>
        <v>3600</v>
      </c>
      <c r="I101" s="57" t="s"/>
      <c r="J101" s="57" t="s"/>
      <c r="K101" s="57" t="s"/>
      <c r="L101" s="620" t="s"/>
      <c r="M101" s="23" t="s"/>
      <c r="N101" s="57" t="s"/>
      <c r="O101" s="57" t="s"/>
      <c r="P101" s="57" t="s"/>
      <c r="Q101" s="57" t="s"/>
      <c r="R101" s="57" t="s"/>
      <c r="S101" s="57" t="s"/>
      <c r="T101" s="57" t="s"/>
      <c r="U101" s="41" t="s">
        <v>772</v>
      </c>
      <c r="V101" s="41" t="s">
        <v>773</v>
      </c>
      <c r="W101" s="16">
        <v>585</v>
      </c>
      <c r="X101" s="42">
        <f>=W101*F101</f>
        <v>585</v>
      </c>
      <c r="Y101" s="41" t="s">
        <v>1015</v>
      </c>
      <c r="Z101" s="41" t="s">
        <v>1016</v>
      </c>
      <c r="AA101" s="57" t="s"/>
      <c r="AB101" s="621" t="s"/>
      <c r="AC101" s="582" t="s">
        <v>1017</v>
      </c>
      <c r="AD101" s="582" t="s">
        <v>1018</v>
      </c>
      <c r="AE101" s="582" t="s">
        <v>823</v>
      </c>
      <c r="AF101" s="582" t="s">
        <v>823</v>
      </c>
      <c r="AG101" s="41" t="s"/>
      <c r="AH101" s="41" t="s"/>
      <c r="AI101" s="42" t="s"/>
      <c r="AJ101" s="42" t="s"/>
    </row>
    <row r="102" spans="1:36" ht="21" customHeight="true">
      <c r="A102" s="43">
        <v>79</v>
      </c>
      <c r="B102" s="42" t="s">
        <v>1089</v>
      </c>
      <c r="C102" s="42" t="s">
        <v>1098</v>
      </c>
      <c r="D102" s="42" t="s">
        <v>1098</v>
      </c>
      <c r="E102" s="16" t="s">
        <v>32</v>
      </c>
      <c r="F102" s="16">
        <v>8</v>
      </c>
      <c r="G102" s="16">
        <v>13100</v>
      </c>
      <c r="H102" s="633">
        <f>=G102*F102</f>
        <v>104800</v>
      </c>
      <c r="I102" s="57" t="s"/>
      <c r="J102" s="57" t="s"/>
      <c r="K102" s="57" t="s"/>
      <c r="L102" s="620" t="s"/>
      <c r="M102" s="23" t="s"/>
      <c r="N102" s="57" t="s"/>
      <c r="O102" s="57" t="s"/>
      <c r="P102" s="57" t="s"/>
      <c r="Q102" s="57" t="s"/>
      <c r="R102" s="57" t="s"/>
      <c r="S102" s="57" t="s"/>
      <c r="T102" s="57" t="s"/>
      <c r="U102" s="41" t="s">
        <v>772</v>
      </c>
      <c r="V102" s="41" t="s">
        <v>773</v>
      </c>
      <c r="W102" s="16">
        <v>18000</v>
      </c>
      <c r="X102" s="42">
        <f>=W102*F102</f>
        <v>144000</v>
      </c>
      <c r="Y102" s="41" t="s">
        <v>1015</v>
      </c>
      <c r="Z102" s="41" t="s">
        <v>1016</v>
      </c>
      <c r="AA102" s="57" t="s"/>
      <c r="AB102" s="621" t="s"/>
      <c r="AC102" s="582" t="s">
        <v>1017</v>
      </c>
      <c r="AD102" s="582" t="s">
        <v>1018</v>
      </c>
      <c r="AE102" s="582" t="s">
        <v>823</v>
      </c>
      <c r="AF102" s="582" t="s">
        <v>823</v>
      </c>
      <c r="AG102" s="41" t="s"/>
      <c r="AH102" s="41" t="s"/>
      <c r="AI102" s="42" t="s"/>
      <c r="AJ102" s="42" t="s"/>
    </row>
    <row r="103" spans="1:36" ht="21" customHeight="true">
      <c r="A103" s="43">
        <v>80</v>
      </c>
      <c r="B103" s="42" t="s">
        <v>1089</v>
      </c>
      <c r="C103" s="42" t="s">
        <v>1099</v>
      </c>
      <c r="D103" s="42" t="s">
        <v>1099</v>
      </c>
      <c r="E103" s="16" t="s">
        <v>32</v>
      </c>
      <c r="F103" s="16">
        <v>8</v>
      </c>
      <c r="G103" s="16">
        <v>6700</v>
      </c>
      <c r="H103" s="633">
        <f>=G103*F103</f>
        <v>53600</v>
      </c>
      <c r="I103" s="57" t="s"/>
      <c r="J103" s="57" t="s"/>
      <c r="K103" s="57" t="s"/>
      <c r="L103" s="620" t="s"/>
      <c r="M103" s="23" t="s"/>
      <c r="N103" s="57" t="s"/>
      <c r="O103" s="57" t="s"/>
      <c r="P103" s="57" t="s"/>
      <c r="Q103" s="57" t="s"/>
      <c r="R103" s="57" t="s"/>
      <c r="S103" s="57" t="s"/>
      <c r="T103" s="57" t="s"/>
      <c r="U103" s="41" t="s">
        <v>772</v>
      </c>
      <c r="V103" s="41" t="s">
        <v>773</v>
      </c>
      <c r="W103" s="16">
        <v>13500</v>
      </c>
      <c r="X103" s="42">
        <f>=W103*F103</f>
        <v>108000</v>
      </c>
      <c r="Y103" s="41" t="s">
        <v>1015</v>
      </c>
      <c r="Z103" s="41" t="s">
        <v>1016</v>
      </c>
      <c r="AA103" s="57" t="s"/>
      <c r="AB103" s="621" t="s"/>
      <c r="AC103" s="582" t="s">
        <v>1017</v>
      </c>
      <c r="AD103" s="582" t="s">
        <v>1018</v>
      </c>
      <c r="AE103" s="582" t="s">
        <v>823</v>
      </c>
      <c r="AF103" s="582" t="s">
        <v>823</v>
      </c>
      <c r="AG103" s="42" t="s"/>
      <c r="AH103" s="42" t="s"/>
      <c r="AI103" s="42" t="s"/>
      <c r="AJ103" s="42" t="s"/>
    </row>
    <row r="104" spans="1:36" ht="21" customHeight="true">
      <c r="A104" s="43">
        <v>81</v>
      </c>
      <c r="B104" s="42" t="s">
        <v>1089</v>
      </c>
      <c r="C104" s="42" t="s">
        <v>1100</v>
      </c>
      <c r="D104" s="42" t="s">
        <v>1100</v>
      </c>
      <c r="E104" s="16" t="s">
        <v>32</v>
      </c>
      <c r="F104" s="16">
        <v>1</v>
      </c>
      <c r="G104" s="16">
        <v>6700</v>
      </c>
      <c r="H104" s="633">
        <f>=G104*F104</f>
        <v>6700</v>
      </c>
      <c r="I104" s="57" t="s"/>
      <c r="J104" s="57" t="s"/>
      <c r="K104" s="57" t="s"/>
      <c r="L104" s="620" t="s"/>
      <c r="M104" s="23" t="s"/>
      <c r="N104" s="57" t="s"/>
      <c r="O104" s="57" t="s"/>
      <c r="P104" s="57" t="s"/>
      <c r="Q104" s="57" t="s"/>
      <c r="R104" s="57" t="s"/>
      <c r="S104" s="57" t="s"/>
      <c r="T104" s="57" t="s"/>
      <c r="U104" s="41" t="s">
        <v>772</v>
      </c>
      <c r="V104" s="41" t="s">
        <v>773</v>
      </c>
      <c r="W104" s="16">
        <v>13500</v>
      </c>
      <c r="X104" s="42">
        <f>=W104*F104</f>
        <v>13500</v>
      </c>
      <c r="Y104" s="41" t="s">
        <v>1015</v>
      </c>
      <c r="Z104" s="41" t="s">
        <v>1016</v>
      </c>
      <c r="AA104" s="57" t="s"/>
      <c r="AB104" s="621" t="s"/>
      <c r="AC104" s="582" t="s">
        <v>1017</v>
      </c>
      <c r="AD104" s="582" t="s">
        <v>1018</v>
      </c>
      <c r="AE104" s="582" t="s">
        <v>823</v>
      </c>
      <c r="AF104" s="582" t="s">
        <v>823</v>
      </c>
      <c r="AG104" s="42" t="s"/>
      <c r="AH104" s="42" t="s"/>
      <c r="AI104" s="42" t="s"/>
      <c r="AJ104" s="42" t="s"/>
    </row>
    <row r="105" spans="1:36" s="996" ht="21" customHeight="true">
      <c r="A105" s="43">
        <v>82</v>
      </c>
      <c r="B105" s="634" t="s">
        <v>1101</v>
      </c>
      <c r="C105" s="166" t="s"/>
      <c r="D105" s="42" t="s">
        <v>1102</v>
      </c>
      <c r="E105" s="16" t="s">
        <v>36</v>
      </c>
      <c r="F105" s="16">
        <v>2</v>
      </c>
      <c r="G105" s="16" t="s"/>
      <c r="H105" s="35" t="s"/>
      <c r="I105" s="57" t="s"/>
      <c r="J105" s="57" t="s"/>
      <c r="K105" s="57" t="s"/>
      <c r="L105" s="620" t="s"/>
      <c r="M105" s="23" t="s"/>
      <c r="N105" s="57" t="s"/>
      <c r="O105" s="57" t="s"/>
      <c r="P105" s="57" t="s"/>
      <c r="Q105" s="57" t="s"/>
      <c r="R105" s="57" t="s"/>
      <c r="S105" s="57" t="s"/>
      <c r="T105" s="57" t="s"/>
      <c r="U105" s="41" t="s">
        <v>772</v>
      </c>
      <c r="V105" s="41" t="s">
        <v>773</v>
      </c>
      <c r="W105" s="42">
        <v>45325</v>
      </c>
      <c r="X105" s="42">
        <f>=W105*F105</f>
        <v>90650</v>
      </c>
      <c r="Y105" s="41" t="s">
        <v>1015</v>
      </c>
      <c r="Z105" s="41" t="s">
        <v>1016</v>
      </c>
      <c r="AA105" s="57" t="s"/>
      <c r="AB105" s="621" t="s"/>
      <c r="AC105" s="582" t="s">
        <v>1017</v>
      </c>
      <c r="AD105" s="582" t="s">
        <v>1018</v>
      </c>
      <c r="AE105" s="635" t="s">
        <v>823</v>
      </c>
      <c r="AF105" s="635" t="s">
        <v>823</v>
      </c>
      <c r="AG105" s="42" t="s"/>
      <c r="AH105" s="42" t="s"/>
      <c r="AI105" s="42" t="s"/>
      <c r="AJ105" s="42" t="s"/>
    </row>
    <row r="106" spans="1:36" s="996" ht="21" customHeight="true">
      <c r="A106" s="43">
        <v>83</v>
      </c>
      <c r="B106" s="634" t="s">
        <v>1103</v>
      </c>
      <c r="C106" s="166" t="s"/>
      <c r="D106" s="42" t="s">
        <v>1104</v>
      </c>
      <c r="E106" s="16" t="s">
        <v>36</v>
      </c>
      <c r="F106" s="16">
        <v>2</v>
      </c>
      <c r="G106" s="16" t="s"/>
      <c r="H106" s="35" t="s"/>
      <c r="I106" s="57" t="s"/>
      <c r="J106" s="57" t="s"/>
      <c r="K106" s="57" t="s"/>
      <c r="L106" s="620" t="s"/>
      <c r="M106" s="23" t="s"/>
      <c r="N106" s="57" t="s"/>
      <c r="O106" s="57" t="s"/>
      <c r="P106" s="57" t="s"/>
      <c r="Q106" s="57" t="s"/>
      <c r="R106" s="57" t="s"/>
      <c r="S106" s="57" t="s"/>
      <c r="T106" s="57" t="s"/>
      <c r="U106" s="41" t="s">
        <v>772</v>
      </c>
      <c r="V106" s="41" t="s">
        <v>773</v>
      </c>
      <c r="W106" s="42">
        <v>8600</v>
      </c>
      <c r="X106" s="42">
        <f>=W106*F106</f>
        <v>17200</v>
      </c>
      <c r="Y106" s="41" t="s">
        <v>1015</v>
      </c>
      <c r="Z106" s="41" t="s">
        <v>1016</v>
      </c>
      <c r="AA106" s="57" t="s"/>
      <c r="AB106" s="621" t="s"/>
      <c r="AC106" s="582" t="s">
        <v>1017</v>
      </c>
      <c r="AD106" s="582" t="s">
        <v>1018</v>
      </c>
      <c r="AE106" s="635" t="s">
        <v>823</v>
      </c>
      <c r="AF106" s="635" t="s">
        <v>823</v>
      </c>
      <c r="AG106" s="42" t="s"/>
      <c r="AH106" s="42" t="s"/>
      <c r="AI106" s="42" t="s"/>
      <c r="AJ106" s="42" t="s"/>
    </row>
    <row r="107" spans="1:36" s="996" ht="21" customHeight="true">
      <c r="A107" s="43">
        <v>84</v>
      </c>
      <c r="B107" s="634" t="s">
        <v>1105</v>
      </c>
      <c r="C107" s="166" t="s"/>
      <c r="D107" s="42" t="s">
        <v>1106</v>
      </c>
      <c r="E107" s="16" t="s">
        <v>36</v>
      </c>
      <c r="F107" s="16">
        <v>8</v>
      </c>
      <c r="G107" s="16" t="s"/>
      <c r="H107" s="35" t="s"/>
      <c r="I107" s="57" t="s"/>
      <c r="J107" s="57" t="s"/>
      <c r="K107" s="57" t="s"/>
      <c r="L107" s="620" t="s"/>
      <c r="M107" s="23" t="s"/>
      <c r="N107" s="57" t="s"/>
      <c r="O107" s="57" t="s"/>
      <c r="P107" s="57" t="s"/>
      <c r="Q107" s="57" t="s"/>
      <c r="R107" s="57" t="s"/>
      <c r="S107" s="57" t="s"/>
      <c r="T107" s="57" t="s"/>
      <c r="U107" s="41" t="s">
        <v>772</v>
      </c>
      <c r="V107" s="41" t="s">
        <v>773</v>
      </c>
      <c r="W107" s="42">
        <v>6000</v>
      </c>
      <c r="X107" s="42">
        <f>=W107*F107</f>
        <v>48000</v>
      </c>
      <c r="Y107" s="41" t="s">
        <v>1015</v>
      </c>
      <c r="Z107" s="41" t="s">
        <v>1016</v>
      </c>
      <c r="AA107" s="57" t="s"/>
      <c r="AB107" s="621" t="s"/>
      <c r="AC107" s="582" t="s">
        <v>1017</v>
      </c>
      <c r="AD107" s="582" t="s">
        <v>1018</v>
      </c>
      <c r="AE107" s="635" t="s">
        <v>823</v>
      </c>
      <c r="AF107" s="635" t="s">
        <v>823</v>
      </c>
      <c r="AG107" s="42" t="s"/>
      <c r="AH107" s="42" t="s"/>
      <c r="AI107" s="42" t="s"/>
      <c r="AJ107" s="42" t="s"/>
    </row>
    <row r="108" spans="1:36" s="996" ht="31.5" customHeight="true">
      <c r="A108" s="43">
        <v>85</v>
      </c>
      <c r="B108" s="634" t="s">
        <v>1107</v>
      </c>
      <c r="C108" s="166" t="s"/>
      <c r="D108" s="42" t="s">
        <v>1108</v>
      </c>
      <c r="E108" s="16" t="s">
        <v>36</v>
      </c>
      <c r="F108" s="16">
        <v>8</v>
      </c>
      <c r="G108" s="16" t="s"/>
      <c r="H108" s="35" t="s"/>
      <c r="I108" s="57" t="s"/>
      <c r="J108" s="57" t="s"/>
      <c r="K108" s="57" t="s"/>
      <c r="L108" s="620" t="s"/>
      <c r="M108" s="23" t="s"/>
      <c r="N108" s="57" t="s"/>
      <c r="O108" s="57" t="s"/>
      <c r="P108" s="57" t="s"/>
      <c r="Q108" s="57" t="s"/>
      <c r="R108" s="57" t="s"/>
      <c r="S108" s="57" t="s"/>
      <c r="T108" s="57" t="s"/>
      <c r="U108" s="41" t="s">
        <v>772</v>
      </c>
      <c r="V108" s="41" t="s">
        <v>773</v>
      </c>
      <c r="W108" s="42">
        <v>30000</v>
      </c>
      <c r="X108" s="42">
        <f>=W108*F108</f>
        <v>240000</v>
      </c>
      <c r="Y108" s="41" t="s">
        <v>1015</v>
      </c>
      <c r="Z108" s="41" t="s">
        <v>1016</v>
      </c>
      <c r="AA108" s="57" t="s"/>
      <c r="AB108" s="621" t="s"/>
      <c r="AC108" s="582" t="s">
        <v>1017</v>
      </c>
      <c r="AD108" s="582" t="s">
        <v>1018</v>
      </c>
      <c r="AE108" s="635" t="s">
        <v>823</v>
      </c>
      <c r="AF108" s="635" t="s">
        <v>823</v>
      </c>
      <c r="AG108" s="42" t="s"/>
      <c r="AH108" s="42" t="s"/>
      <c r="AI108" s="42" t="s"/>
      <c r="AJ108" s="42" t="s"/>
    </row>
    <row r="109" spans="1:36" s="996" ht="21" customHeight="true">
      <c r="A109" s="43">
        <v>86</v>
      </c>
      <c r="B109" s="634" t="s">
        <v>1109</v>
      </c>
      <c r="C109" s="166" t="s"/>
      <c r="D109" s="42" t="s">
        <v>1110</v>
      </c>
      <c r="E109" s="16" t="s">
        <v>36</v>
      </c>
      <c r="F109" s="16">
        <v>2</v>
      </c>
      <c r="G109" s="16" t="s"/>
      <c r="H109" s="35" t="s"/>
      <c r="I109" s="57" t="s"/>
      <c r="J109" s="57" t="s"/>
      <c r="K109" s="57" t="s"/>
      <c r="L109" s="620" t="s"/>
      <c r="M109" s="23" t="s"/>
      <c r="N109" s="57" t="s"/>
      <c r="O109" s="57" t="s"/>
      <c r="P109" s="57" t="s"/>
      <c r="Q109" s="57" t="s"/>
      <c r="R109" s="57" t="s"/>
      <c r="S109" s="57" t="s"/>
      <c r="T109" s="57" t="s"/>
      <c r="U109" s="41" t="s">
        <v>772</v>
      </c>
      <c r="V109" s="41" t="s">
        <v>773</v>
      </c>
      <c r="W109" s="42">
        <v>35000</v>
      </c>
      <c r="X109" s="42">
        <f>=W109*F109</f>
        <v>70000</v>
      </c>
      <c r="Y109" s="41" t="s">
        <v>1015</v>
      </c>
      <c r="Z109" s="41" t="s">
        <v>1016</v>
      </c>
      <c r="AA109" s="57" t="s"/>
      <c r="AB109" s="621" t="s"/>
      <c r="AC109" s="582" t="s">
        <v>1017</v>
      </c>
      <c r="AD109" s="582" t="s">
        <v>1018</v>
      </c>
      <c r="AE109" s="635" t="s">
        <v>823</v>
      </c>
      <c r="AF109" s="635" t="s">
        <v>823</v>
      </c>
      <c r="AG109" s="42" t="s"/>
      <c r="AH109" s="42" t="s"/>
      <c r="AI109" s="42" t="s"/>
      <c r="AJ109" s="42" t="s"/>
    </row>
    <row r="110" spans="1:36" s="996" ht="31.5" customHeight="true">
      <c r="A110" s="43">
        <v>87</v>
      </c>
      <c r="B110" s="634" t="s">
        <v>1107</v>
      </c>
      <c r="C110" s="166" t="s"/>
      <c r="D110" s="42" t="s">
        <v>1111</v>
      </c>
      <c r="E110" s="16" t="s">
        <v>36</v>
      </c>
      <c r="F110" s="16">
        <v>1</v>
      </c>
      <c r="G110" s="16" t="s"/>
      <c r="H110" s="35" t="s"/>
      <c r="I110" s="57" t="s"/>
      <c r="J110" s="57" t="s"/>
      <c r="K110" s="57" t="s"/>
      <c r="L110" s="620" t="s"/>
      <c r="M110" s="23" t="s"/>
      <c r="N110" s="57" t="s"/>
      <c r="O110" s="57" t="s"/>
      <c r="P110" s="57" t="s"/>
      <c r="Q110" s="57" t="s"/>
      <c r="R110" s="57" t="s"/>
      <c r="S110" s="57" t="s"/>
      <c r="T110" s="57" t="s"/>
      <c r="U110" s="41" t="s">
        <v>772</v>
      </c>
      <c r="V110" s="41" t="s">
        <v>773</v>
      </c>
      <c r="W110" s="42">
        <v>25000</v>
      </c>
      <c r="X110" s="42">
        <f>=W110*F110</f>
        <v>25000</v>
      </c>
      <c r="Y110" s="41" t="s">
        <v>1015</v>
      </c>
      <c r="Z110" s="41" t="s">
        <v>1016</v>
      </c>
      <c r="AA110" s="57" t="s"/>
      <c r="AB110" s="621" t="s"/>
      <c r="AC110" s="582" t="s">
        <v>1017</v>
      </c>
      <c r="AD110" s="582" t="s">
        <v>1018</v>
      </c>
      <c r="AE110" s="635" t="s">
        <v>823</v>
      </c>
      <c r="AF110" s="635" t="s">
        <v>823</v>
      </c>
      <c r="AG110" s="42" t="s"/>
      <c r="AH110" s="42" t="s"/>
      <c r="AI110" s="42" t="s"/>
      <c r="AJ110" s="42" t="s"/>
    </row>
    <row r="111" spans="1:36" s="996" ht="21" customHeight="true">
      <c r="A111" s="43">
        <v>88</v>
      </c>
      <c r="B111" s="634" t="s">
        <v>1112</v>
      </c>
      <c r="C111" s="166" t="s"/>
      <c r="D111" s="42" t="s">
        <v>1113</v>
      </c>
      <c r="E111" s="16" t="s">
        <v>36</v>
      </c>
      <c r="F111" s="16">
        <v>18</v>
      </c>
      <c r="G111" s="16" t="s"/>
      <c r="H111" s="35" t="s"/>
      <c r="I111" s="57" t="s"/>
      <c r="J111" s="57" t="s"/>
      <c r="K111" s="57" t="s"/>
      <c r="L111" s="620" t="s"/>
      <c r="M111" s="23" t="s"/>
      <c r="N111" s="57" t="s"/>
      <c r="O111" s="57" t="s"/>
      <c r="P111" s="57" t="s"/>
      <c r="Q111" s="57" t="s"/>
      <c r="R111" s="57" t="s"/>
      <c r="S111" s="57" t="s"/>
      <c r="T111" s="57" t="s"/>
      <c r="U111" s="41" t="s">
        <v>772</v>
      </c>
      <c r="V111" s="41" t="s">
        <v>773</v>
      </c>
      <c r="W111" s="42">
        <v>6500</v>
      </c>
      <c r="X111" s="42">
        <f>=W111*F111</f>
        <v>117000</v>
      </c>
      <c r="Y111" s="41" t="s">
        <v>1015</v>
      </c>
      <c r="Z111" s="41" t="s">
        <v>1016</v>
      </c>
      <c r="AA111" s="57" t="s"/>
      <c r="AB111" s="621" t="s"/>
      <c r="AC111" s="582" t="s">
        <v>1017</v>
      </c>
      <c r="AD111" s="582" t="s">
        <v>1018</v>
      </c>
      <c r="AE111" s="635" t="s">
        <v>823</v>
      </c>
      <c r="AF111" s="635" t="s">
        <v>823</v>
      </c>
      <c r="AG111" s="42" t="s"/>
      <c r="AH111" s="42" t="s"/>
      <c r="AI111" s="42" t="s"/>
      <c r="AJ111" s="42" t="s"/>
    </row>
    <row r="112" spans="1:36" s="996" ht="21" customHeight="true">
      <c r="A112" s="43">
        <v>89</v>
      </c>
      <c r="B112" s="634" t="s">
        <v>1114</v>
      </c>
      <c r="C112" s="166" t="s"/>
      <c r="D112" s="42" t="s">
        <v>1115</v>
      </c>
      <c r="E112" s="16" t="s">
        <v>36</v>
      </c>
      <c r="F112" s="16">
        <v>1</v>
      </c>
      <c r="G112" s="16" t="s"/>
      <c r="H112" s="35" t="s"/>
      <c r="I112" s="57" t="s"/>
      <c r="J112" s="57" t="s"/>
      <c r="K112" s="57" t="s"/>
      <c r="L112" s="620" t="s"/>
      <c r="M112" s="23" t="s"/>
      <c r="N112" s="57" t="s"/>
      <c r="O112" s="57" t="s"/>
      <c r="P112" s="57" t="s"/>
      <c r="Q112" s="57" t="s"/>
      <c r="R112" s="57" t="s"/>
      <c r="S112" s="57" t="s"/>
      <c r="T112" s="57" t="s"/>
      <c r="U112" s="41" t="s">
        <v>772</v>
      </c>
      <c r="V112" s="41" t="s">
        <v>773</v>
      </c>
      <c r="W112" s="42">
        <v>9300</v>
      </c>
      <c r="X112" s="42">
        <f>=W112*F112</f>
        <v>9300</v>
      </c>
      <c r="Y112" s="41" t="s">
        <v>1015</v>
      </c>
      <c r="Z112" s="41" t="s">
        <v>1016</v>
      </c>
      <c r="AA112" s="57" t="s"/>
      <c r="AB112" s="621" t="s"/>
      <c r="AC112" s="582" t="s">
        <v>1017</v>
      </c>
      <c r="AD112" s="582" t="s">
        <v>1018</v>
      </c>
      <c r="AE112" s="635" t="s">
        <v>823</v>
      </c>
      <c r="AF112" s="635" t="s">
        <v>823</v>
      </c>
      <c r="AG112" s="42" t="s"/>
      <c r="AH112" s="42" t="s"/>
      <c r="AI112" s="42" t="s"/>
      <c r="AJ112" s="42" t="s"/>
    </row>
    <row r="113" spans="1:36" s="996" ht="21" customHeight="true">
      <c r="A113" s="43">
        <v>90</v>
      </c>
      <c r="B113" s="634" t="s">
        <v>1114</v>
      </c>
      <c r="C113" s="166" t="s"/>
      <c r="D113" s="42" t="s">
        <v>1116</v>
      </c>
      <c r="E113" s="16" t="s">
        <v>36</v>
      </c>
      <c r="F113" s="16">
        <v>1</v>
      </c>
      <c r="G113" s="16" t="s"/>
      <c r="H113" s="35" t="s"/>
      <c r="I113" s="57" t="s"/>
      <c r="J113" s="57" t="s"/>
      <c r="K113" s="57" t="s"/>
      <c r="L113" s="620" t="s"/>
      <c r="M113" s="23" t="s"/>
      <c r="N113" s="57" t="s"/>
      <c r="O113" s="57" t="s"/>
      <c r="P113" s="57" t="s"/>
      <c r="Q113" s="57" t="s"/>
      <c r="R113" s="57" t="s"/>
      <c r="S113" s="57" t="s"/>
      <c r="T113" s="57" t="s"/>
      <c r="U113" s="41" t="s">
        <v>772</v>
      </c>
      <c r="V113" s="41" t="s">
        <v>773</v>
      </c>
      <c r="W113" s="42">
        <v>9300</v>
      </c>
      <c r="X113" s="42">
        <f>=W113*F113</f>
        <v>9300</v>
      </c>
      <c r="Y113" s="41" t="s">
        <v>1015</v>
      </c>
      <c r="Z113" s="41" t="s">
        <v>1016</v>
      </c>
      <c r="AA113" s="57" t="s"/>
      <c r="AB113" s="621" t="s"/>
      <c r="AC113" s="582" t="s">
        <v>1017</v>
      </c>
      <c r="AD113" s="582" t="s">
        <v>1018</v>
      </c>
      <c r="AE113" s="635" t="s">
        <v>823</v>
      </c>
      <c r="AF113" s="635" t="s">
        <v>823</v>
      </c>
      <c r="AG113" s="42" t="s"/>
      <c r="AH113" s="42" t="s"/>
      <c r="AI113" s="42" t="s"/>
      <c r="AJ113" s="42" t="s"/>
    </row>
    <row r="114" spans="1:36" s="996" ht="31.5" customHeight="true">
      <c r="A114" s="43">
        <v>91</v>
      </c>
      <c r="B114" s="634" t="s">
        <v>1107</v>
      </c>
      <c r="C114" s="166" t="s"/>
      <c r="D114" s="42" t="s">
        <v>1117</v>
      </c>
      <c r="E114" s="16" t="s">
        <v>36</v>
      </c>
      <c r="F114" s="16">
        <v>1</v>
      </c>
      <c r="G114" s="16" t="s"/>
      <c r="H114" s="35" t="s"/>
      <c r="I114" s="57" t="s"/>
      <c r="J114" s="57" t="s"/>
      <c r="K114" s="57" t="s"/>
      <c r="L114" s="620" t="s"/>
      <c r="M114" s="23" t="s"/>
      <c r="N114" s="57" t="s"/>
      <c r="O114" s="57" t="s"/>
      <c r="P114" s="57" t="s"/>
      <c r="Q114" s="57" t="s"/>
      <c r="R114" s="57" t="s"/>
      <c r="S114" s="57" t="s"/>
      <c r="T114" s="57" t="s"/>
      <c r="U114" s="41" t="s">
        <v>772</v>
      </c>
      <c r="V114" s="41" t="s">
        <v>773</v>
      </c>
      <c r="W114" s="42">
        <v>17690</v>
      </c>
      <c r="X114" s="42">
        <f>=W114*F114</f>
        <v>17690</v>
      </c>
      <c r="Y114" s="41" t="s">
        <v>1015</v>
      </c>
      <c r="Z114" s="41" t="s">
        <v>1016</v>
      </c>
      <c r="AA114" s="57" t="s"/>
      <c r="AB114" s="621" t="s"/>
      <c r="AC114" s="582" t="s">
        <v>1017</v>
      </c>
      <c r="AD114" s="582" t="s">
        <v>1018</v>
      </c>
      <c r="AE114" s="635" t="s">
        <v>823</v>
      </c>
      <c r="AF114" s="635" t="s">
        <v>823</v>
      </c>
      <c r="AG114" s="42" t="s"/>
      <c r="AH114" s="42" t="s"/>
      <c r="AI114" s="42" t="s"/>
      <c r="AJ114" s="42" t="s"/>
    </row>
    <row r="115" spans="1:36" s="996" ht="31.5" customHeight="true">
      <c r="A115" s="43">
        <v>92</v>
      </c>
      <c r="B115" s="634" t="s">
        <v>1107</v>
      </c>
      <c r="C115" s="166" t="s"/>
      <c r="D115" s="42" t="s">
        <v>1118</v>
      </c>
      <c r="E115" s="16" t="s">
        <v>36</v>
      </c>
      <c r="F115" s="16">
        <v>1</v>
      </c>
      <c r="G115" s="16" t="s"/>
      <c r="H115" s="35" t="s"/>
      <c r="I115" s="57" t="s"/>
      <c r="J115" s="57" t="s"/>
      <c r="K115" s="57" t="s"/>
      <c r="L115" s="620" t="s"/>
      <c r="M115" s="23" t="s"/>
      <c r="N115" s="57" t="s"/>
      <c r="O115" s="57" t="s"/>
      <c r="P115" s="57" t="s"/>
      <c r="Q115" s="57" t="s"/>
      <c r="R115" s="57" t="s"/>
      <c r="S115" s="57" t="s"/>
      <c r="T115" s="57" t="s"/>
      <c r="U115" s="41" t="s">
        <v>772</v>
      </c>
      <c r="V115" s="41" t="s">
        <v>773</v>
      </c>
      <c r="W115" s="42">
        <v>17690</v>
      </c>
      <c r="X115" s="42">
        <f>=W115*F115</f>
        <v>17690</v>
      </c>
      <c r="Y115" s="41" t="s">
        <v>1015</v>
      </c>
      <c r="Z115" s="41" t="s">
        <v>1016</v>
      </c>
      <c r="AA115" s="57" t="s"/>
      <c r="AB115" s="621" t="s"/>
      <c r="AC115" s="582" t="s">
        <v>1017</v>
      </c>
      <c r="AD115" s="582" t="s">
        <v>1018</v>
      </c>
      <c r="AE115" s="635" t="s">
        <v>823</v>
      </c>
      <c r="AF115" s="635" t="s">
        <v>823</v>
      </c>
      <c r="AG115" s="42" t="s"/>
      <c r="AH115" s="42" t="s"/>
      <c r="AI115" s="42" t="s"/>
      <c r="AJ115" s="42" t="s"/>
    </row>
    <row r="116" spans="1:36" s="996" ht="31.5" customHeight="true">
      <c r="A116" s="43">
        <v>93</v>
      </c>
      <c r="B116" s="634" t="s">
        <v>1107</v>
      </c>
      <c r="C116" s="166" t="s"/>
      <c r="D116" s="42" t="s">
        <v>1119</v>
      </c>
      <c r="E116" s="16" t="s">
        <v>32</v>
      </c>
      <c r="F116" s="16">
        <v>1</v>
      </c>
      <c r="G116" s="16" t="s"/>
      <c r="H116" s="35" t="s"/>
      <c r="I116" s="57" t="s"/>
      <c r="J116" s="57" t="s"/>
      <c r="K116" s="57" t="s"/>
      <c r="L116" s="620" t="s"/>
      <c r="M116" s="23" t="s"/>
      <c r="N116" s="57" t="s"/>
      <c r="O116" s="57" t="s"/>
      <c r="P116" s="57" t="s"/>
      <c r="Q116" s="57" t="s"/>
      <c r="R116" s="57" t="s"/>
      <c r="S116" s="57" t="s"/>
      <c r="T116" s="57" t="s"/>
      <c r="U116" s="41" t="s">
        <v>772</v>
      </c>
      <c r="V116" s="41" t="s">
        <v>773</v>
      </c>
      <c r="W116" s="42">
        <v>20000</v>
      </c>
      <c r="X116" s="42">
        <f>=W116*F116</f>
        <v>20000</v>
      </c>
      <c r="Y116" s="41" t="s">
        <v>1015</v>
      </c>
      <c r="Z116" s="41" t="s">
        <v>1016</v>
      </c>
      <c r="AA116" s="57" t="s"/>
      <c r="AB116" s="621" t="s"/>
      <c r="AC116" s="582" t="s">
        <v>1017</v>
      </c>
      <c r="AD116" s="582" t="s">
        <v>1018</v>
      </c>
      <c r="AE116" s="635" t="s">
        <v>823</v>
      </c>
      <c r="AF116" s="635" t="s">
        <v>823</v>
      </c>
      <c r="AG116" s="42" t="s"/>
      <c r="AH116" s="42" t="s"/>
      <c r="AI116" s="42" t="s"/>
      <c r="AJ116" s="42" t="s"/>
    </row>
    <row r="117" spans="1:36" s="996" ht="21" customHeight="true">
      <c r="A117" s="43">
        <v>94</v>
      </c>
      <c r="B117" s="634" t="s">
        <v>1120</v>
      </c>
      <c r="C117" s="166" t="s"/>
      <c r="D117" s="42" t="s">
        <v>1121</v>
      </c>
      <c r="E117" s="16" t="s">
        <v>45</v>
      </c>
      <c r="F117" s="16">
        <v>12</v>
      </c>
      <c r="G117" s="16" t="s"/>
      <c r="H117" s="35" t="s"/>
      <c r="I117" s="57" t="s"/>
      <c r="J117" s="57" t="s"/>
      <c r="K117" s="57" t="s"/>
      <c r="L117" s="620" t="s"/>
      <c r="M117" s="23" t="s"/>
      <c r="N117" s="57" t="s"/>
      <c r="O117" s="57" t="s"/>
      <c r="P117" s="57" t="s"/>
      <c r="Q117" s="57" t="s"/>
      <c r="R117" s="57" t="s"/>
      <c r="S117" s="57" t="s"/>
      <c r="T117" s="57" t="s"/>
      <c r="U117" s="41" t="s">
        <v>772</v>
      </c>
      <c r="V117" s="41" t="s">
        <v>773</v>
      </c>
      <c r="W117" s="42">
        <v>300</v>
      </c>
      <c r="X117" s="42">
        <f>=W117*F117</f>
        <v>3600</v>
      </c>
      <c r="Y117" s="41" t="s">
        <v>1015</v>
      </c>
      <c r="Z117" s="41" t="s">
        <v>1016</v>
      </c>
      <c r="AA117" s="57" t="s"/>
      <c r="AB117" s="621" t="s"/>
      <c r="AC117" s="582" t="s">
        <v>1017</v>
      </c>
      <c r="AD117" s="582" t="s">
        <v>1018</v>
      </c>
      <c r="AE117" s="635" t="s">
        <v>823</v>
      </c>
      <c r="AF117" s="635" t="s">
        <v>823</v>
      </c>
      <c r="AG117" s="42" t="s"/>
      <c r="AH117" s="42" t="s"/>
      <c r="AI117" s="42" t="s"/>
      <c r="AJ117" s="42" t="s"/>
    </row>
    <row r="118" spans="1:36" s="996" ht="21" customHeight="true">
      <c r="A118" s="43">
        <v>95</v>
      </c>
      <c r="B118" s="634" t="s">
        <v>1122</v>
      </c>
      <c r="C118" s="166" t="s"/>
      <c r="D118" s="42" t="s">
        <v>1123</v>
      </c>
      <c r="E118" s="16" t="s">
        <v>45</v>
      </c>
      <c r="F118" s="16">
        <v>5</v>
      </c>
      <c r="G118" s="16" t="s"/>
      <c r="H118" s="35" t="s"/>
      <c r="I118" s="57" t="s"/>
      <c r="J118" s="57" t="s"/>
      <c r="K118" s="57" t="s"/>
      <c r="L118" s="620" t="s"/>
      <c r="M118" s="23" t="s"/>
      <c r="N118" s="57" t="s"/>
      <c r="O118" s="57" t="s"/>
      <c r="P118" s="57" t="s"/>
      <c r="Q118" s="57" t="s"/>
      <c r="R118" s="57" t="s"/>
      <c r="S118" s="57" t="s"/>
      <c r="T118" s="57" t="s"/>
      <c r="U118" s="41" t="s">
        <v>772</v>
      </c>
      <c r="V118" s="41" t="s">
        <v>773</v>
      </c>
      <c r="W118" s="42">
        <v>300</v>
      </c>
      <c r="X118" s="42">
        <f>=W118*F118</f>
        <v>1500</v>
      </c>
      <c r="Y118" s="41" t="s">
        <v>1015</v>
      </c>
      <c r="Z118" s="41" t="s">
        <v>1016</v>
      </c>
      <c r="AA118" s="57" t="s"/>
      <c r="AB118" s="621" t="s"/>
      <c r="AC118" s="582" t="s">
        <v>1017</v>
      </c>
      <c r="AD118" s="582" t="s">
        <v>1018</v>
      </c>
      <c r="AE118" s="635" t="s">
        <v>823</v>
      </c>
      <c r="AF118" s="635" t="s">
        <v>823</v>
      </c>
      <c r="AG118" s="42" t="s"/>
      <c r="AH118" s="42" t="s"/>
      <c r="AI118" s="42" t="s"/>
      <c r="AJ118" s="42" t="s"/>
    </row>
    <row r="119" spans="1:36" s="996" ht="21" customHeight="true">
      <c r="A119" s="43">
        <v>96</v>
      </c>
      <c r="B119" s="634" t="s">
        <v>1124</v>
      </c>
      <c r="C119" s="166" t="s"/>
      <c r="D119" s="42" t="s">
        <v>1125</v>
      </c>
      <c r="E119" s="16" t="s">
        <v>32</v>
      </c>
      <c r="F119" s="16">
        <v>2</v>
      </c>
      <c r="G119" s="16" t="s"/>
      <c r="H119" s="35" t="s"/>
      <c r="I119" s="57" t="s"/>
      <c r="J119" s="57" t="s"/>
      <c r="K119" s="57" t="s"/>
      <c r="L119" s="620" t="s"/>
      <c r="M119" s="23" t="s"/>
      <c r="N119" s="57" t="s"/>
      <c r="O119" s="57" t="s"/>
      <c r="P119" s="57" t="s"/>
      <c r="Q119" s="57" t="s"/>
      <c r="R119" s="57" t="s"/>
      <c r="S119" s="57" t="s"/>
      <c r="T119" s="57" t="s"/>
      <c r="U119" s="41" t="s">
        <v>772</v>
      </c>
      <c r="V119" s="41" t="s">
        <v>773</v>
      </c>
      <c r="W119" s="42">
        <v>82500</v>
      </c>
      <c r="X119" s="42">
        <f>=W119*F119</f>
        <v>165000</v>
      </c>
      <c r="Y119" s="41" t="s">
        <v>1015</v>
      </c>
      <c r="Z119" s="41" t="s">
        <v>1016</v>
      </c>
      <c r="AA119" s="57" t="s"/>
      <c r="AB119" s="621" t="s"/>
      <c r="AC119" s="582" t="s">
        <v>1017</v>
      </c>
      <c r="AD119" s="582" t="s">
        <v>1018</v>
      </c>
      <c r="AE119" s="635" t="s">
        <v>823</v>
      </c>
      <c r="AF119" s="635" t="s">
        <v>823</v>
      </c>
      <c r="AG119" s="42" t="s"/>
      <c r="AH119" s="42" t="s"/>
      <c r="AI119" s="42" t="s"/>
      <c r="AJ119" s="42" t="s"/>
    </row>
    <row r="120" spans="1:36" s="996" ht="21" customHeight="true">
      <c r="A120" s="43">
        <v>97</v>
      </c>
      <c r="B120" s="634" t="s">
        <v>1126</v>
      </c>
      <c r="C120" s="166" t="s"/>
      <c r="D120" s="42" t="s">
        <v>1125</v>
      </c>
      <c r="E120" s="16" t="s">
        <v>32</v>
      </c>
      <c r="F120" s="16">
        <v>1</v>
      </c>
      <c r="G120" s="16" t="s"/>
      <c r="H120" s="35" t="s"/>
      <c r="I120" s="57" t="s"/>
      <c r="J120" s="57" t="s"/>
      <c r="K120" s="57" t="s"/>
      <c r="L120" s="620" t="s"/>
      <c r="M120" s="23" t="s"/>
      <c r="N120" s="57" t="s"/>
      <c r="O120" s="57" t="s"/>
      <c r="P120" s="57" t="s"/>
      <c r="Q120" s="57" t="s"/>
      <c r="R120" s="57" t="s"/>
      <c r="S120" s="57" t="s"/>
      <c r="T120" s="57" t="s"/>
      <c r="U120" s="41" t="s">
        <v>772</v>
      </c>
      <c r="V120" s="41" t="s">
        <v>773</v>
      </c>
      <c r="W120" s="42">
        <v>75000</v>
      </c>
      <c r="X120" s="42">
        <f>=W120*F120</f>
        <v>75000</v>
      </c>
      <c r="Y120" s="41" t="s">
        <v>1015</v>
      </c>
      <c r="Z120" s="41" t="s">
        <v>1016</v>
      </c>
      <c r="AA120" s="57" t="s"/>
      <c r="AB120" s="621" t="s"/>
      <c r="AC120" s="582" t="s">
        <v>1017</v>
      </c>
      <c r="AD120" s="582" t="s">
        <v>1018</v>
      </c>
      <c r="AE120" s="635" t="s">
        <v>823</v>
      </c>
      <c r="AF120" s="635" t="s">
        <v>823</v>
      </c>
      <c r="AG120" s="42" t="s"/>
      <c r="AH120" s="42" t="s"/>
      <c r="AI120" s="42" t="s"/>
      <c r="AJ120" s="42" t="s"/>
    </row>
    <row r="121" spans="1:36" s="996" ht="21" customHeight="true">
      <c r="A121" s="43">
        <v>98</v>
      </c>
      <c r="B121" s="634" t="s">
        <v>1127</v>
      </c>
      <c r="C121" s="166" t="s"/>
      <c r="D121" s="42" t="s">
        <v>1128</v>
      </c>
      <c r="E121" s="16" t="s">
        <v>32</v>
      </c>
      <c r="F121" s="16">
        <v>2</v>
      </c>
      <c r="G121" s="16" t="s"/>
      <c r="H121" s="35" t="s"/>
      <c r="I121" s="57" t="s"/>
      <c r="J121" s="57" t="s"/>
      <c r="K121" s="57" t="s"/>
      <c r="L121" s="620" t="s"/>
      <c r="M121" s="23" t="s"/>
      <c r="N121" s="57" t="s"/>
      <c r="O121" s="57" t="s"/>
      <c r="P121" s="57" t="s"/>
      <c r="Q121" s="57" t="s"/>
      <c r="R121" s="57" t="s"/>
      <c r="S121" s="57" t="s"/>
      <c r="T121" s="57" t="s"/>
      <c r="U121" s="41" t="s">
        <v>772</v>
      </c>
      <c r="V121" s="41" t="s">
        <v>773</v>
      </c>
      <c r="W121" s="42">
        <v>210000</v>
      </c>
      <c r="X121" s="42">
        <f>=W121*F121</f>
        <v>420000</v>
      </c>
      <c r="Y121" s="41" t="s">
        <v>1015</v>
      </c>
      <c r="Z121" s="41" t="s">
        <v>1016</v>
      </c>
      <c r="AA121" s="57" t="s"/>
      <c r="AB121" s="621" t="s"/>
      <c r="AC121" s="582" t="s">
        <v>1017</v>
      </c>
      <c r="AD121" s="582" t="s">
        <v>1018</v>
      </c>
      <c r="AE121" s="635" t="s">
        <v>823</v>
      </c>
      <c r="AF121" s="635" t="s">
        <v>823</v>
      </c>
      <c r="AG121" s="42" t="s"/>
      <c r="AH121" s="42" t="s"/>
      <c r="AI121" s="42" t="s"/>
      <c r="AJ121" s="42" t="s"/>
    </row>
    <row r="122" spans="1:36" s="996" ht="21" customHeight="true">
      <c r="A122" s="43">
        <v>99</v>
      </c>
      <c r="B122" s="634" t="s">
        <v>1129</v>
      </c>
      <c r="C122" s="166" t="s"/>
      <c r="D122" s="42" t="s">
        <v>1130</v>
      </c>
      <c r="E122" s="16" t="s">
        <v>32</v>
      </c>
      <c r="F122" s="16">
        <v>4</v>
      </c>
      <c r="G122" s="16" t="s"/>
      <c r="H122" s="35" t="s"/>
      <c r="I122" s="57" t="s"/>
      <c r="J122" s="57" t="s"/>
      <c r="K122" s="57" t="s"/>
      <c r="L122" s="620" t="s"/>
      <c r="M122" s="23" t="s"/>
      <c r="N122" s="57" t="s"/>
      <c r="O122" s="57" t="s"/>
      <c r="P122" s="57" t="s"/>
      <c r="Q122" s="57" t="s"/>
      <c r="R122" s="57" t="s"/>
      <c r="S122" s="57" t="s"/>
      <c r="T122" s="57" t="s"/>
      <c r="U122" s="41" t="s">
        <v>772</v>
      </c>
      <c r="V122" s="41" t="s">
        <v>773</v>
      </c>
      <c r="W122" s="42">
        <v>64000</v>
      </c>
      <c r="X122" s="42">
        <f>=W122*F122</f>
        <v>256000</v>
      </c>
      <c r="Y122" s="41" t="s">
        <v>1015</v>
      </c>
      <c r="Z122" s="41" t="s">
        <v>1016</v>
      </c>
      <c r="AA122" s="57" t="s"/>
      <c r="AB122" s="621" t="s"/>
      <c r="AC122" s="582" t="s">
        <v>1017</v>
      </c>
      <c r="AD122" s="582" t="s">
        <v>1018</v>
      </c>
      <c r="AE122" s="635" t="s">
        <v>823</v>
      </c>
      <c r="AF122" s="635" t="s">
        <v>823</v>
      </c>
      <c r="AG122" s="42" t="s"/>
      <c r="AH122" s="42" t="s"/>
      <c r="AI122" s="42" t="s"/>
      <c r="AJ122" s="42" t="s"/>
    </row>
    <row r="123" spans="1:36" s="996" ht="21" customHeight="true">
      <c r="A123" s="43">
        <v>100</v>
      </c>
      <c r="B123" s="634" t="s">
        <v>1131</v>
      </c>
      <c r="C123" s="166" t="s"/>
      <c r="D123" s="42" t="s">
        <v>1130</v>
      </c>
      <c r="E123" s="16" t="s">
        <v>32</v>
      </c>
      <c r="F123" s="16">
        <v>2</v>
      </c>
      <c r="G123" s="16" t="s"/>
      <c r="H123" s="35" t="s"/>
      <c r="I123" s="57" t="s"/>
      <c r="J123" s="57" t="s"/>
      <c r="K123" s="57" t="s"/>
      <c r="L123" s="620" t="s"/>
      <c r="M123" s="23" t="s"/>
      <c r="N123" s="57" t="s"/>
      <c r="O123" s="57" t="s"/>
      <c r="P123" s="57" t="s"/>
      <c r="Q123" s="57" t="s"/>
      <c r="R123" s="57" t="s"/>
      <c r="S123" s="57" t="s"/>
      <c r="T123" s="57" t="s"/>
      <c r="U123" s="41" t="s">
        <v>772</v>
      </c>
      <c r="V123" s="41" t="s">
        <v>773</v>
      </c>
      <c r="W123" s="42">
        <v>82000</v>
      </c>
      <c r="X123" s="42">
        <f>=W123*F123</f>
        <v>164000</v>
      </c>
      <c r="Y123" s="41" t="s">
        <v>1015</v>
      </c>
      <c r="Z123" s="41" t="s">
        <v>1016</v>
      </c>
      <c r="AA123" s="57" t="s"/>
      <c r="AB123" s="621" t="s"/>
      <c r="AC123" s="582" t="s">
        <v>1017</v>
      </c>
      <c r="AD123" s="582" t="s">
        <v>1018</v>
      </c>
      <c r="AE123" s="635" t="s">
        <v>823</v>
      </c>
      <c r="AF123" s="635" t="s">
        <v>823</v>
      </c>
      <c r="AG123" s="42" t="s"/>
      <c r="AH123" s="42" t="s"/>
      <c r="AI123" s="42" t="s"/>
      <c r="AJ123" s="42" t="s"/>
    </row>
    <row r="124" spans="1:36" s="996" ht="21" customHeight="true">
      <c r="A124" s="43">
        <v>101</v>
      </c>
      <c r="B124" s="634" t="s">
        <v>1132</v>
      </c>
      <c r="C124" s="166" t="s"/>
      <c r="D124" s="42" t="s">
        <v>1130</v>
      </c>
      <c r="E124" s="16" t="s">
        <v>32</v>
      </c>
      <c r="F124" s="16">
        <v>1</v>
      </c>
      <c r="G124" s="16" t="s"/>
      <c r="H124" s="35" t="s"/>
      <c r="I124" s="57" t="s"/>
      <c r="J124" s="57" t="s"/>
      <c r="K124" s="57" t="s"/>
      <c r="L124" s="620" t="s"/>
      <c r="M124" s="23" t="s"/>
      <c r="N124" s="57" t="s"/>
      <c r="O124" s="57" t="s"/>
      <c r="P124" s="57" t="s"/>
      <c r="Q124" s="57" t="s"/>
      <c r="R124" s="57" t="s"/>
      <c r="S124" s="57" t="s"/>
      <c r="T124" s="57" t="s"/>
      <c r="U124" s="41" t="s">
        <v>772</v>
      </c>
      <c r="V124" s="41" t="s">
        <v>773</v>
      </c>
      <c r="W124" s="42">
        <v>54000</v>
      </c>
      <c r="X124" s="42">
        <f>=W124*F124</f>
        <v>54000</v>
      </c>
      <c r="Y124" s="41" t="s">
        <v>1015</v>
      </c>
      <c r="Z124" s="41" t="s">
        <v>1016</v>
      </c>
      <c r="AA124" s="57" t="s"/>
      <c r="AB124" s="621" t="s"/>
      <c r="AC124" s="582" t="s">
        <v>1017</v>
      </c>
      <c r="AD124" s="582" t="s">
        <v>1018</v>
      </c>
      <c r="AE124" s="635" t="s">
        <v>823</v>
      </c>
      <c r="AF124" s="635" t="s">
        <v>823</v>
      </c>
      <c r="AG124" s="42" t="s"/>
      <c r="AH124" s="42" t="s"/>
      <c r="AI124" s="42" t="s"/>
      <c r="AJ124" s="42" t="s"/>
    </row>
    <row r="125" spans="1:36" s="996" ht="21" customHeight="true">
      <c r="A125" s="43">
        <v>102</v>
      </c>
      <c r="B125" s="634" t="s">
        <v>1133</v>
      </c>
      <c r="C125" s="166" t="s"/>
      <c r="D125" s="42" t="s">
        <v>1130</v>
      </c>
      <c r="E125" s="16" t="s">
        <v>32</v>
      </c>
      <c r="F125" s="16">
        <v>1</v>
      </c>
      <c r="G125" s="16" t="s"/>
      <c r="H125" s="35" t="s"/>
      <c r="I125" s="57" t="s"/>
      <c r="J125" s="57" t="s"/>
      <c r="K125" s="57" t="s"/>
      <c r="L125" s="620" t="s"/>
      <c r="M125" s="23" t="s"/>
      <c r="N125" s="57" t="s"/>
      <c r="O125" s="57" t="s"/>
      <c r="P125" s="57" t="s"/>
      <c r="Q125" s="57" t="s"/>
      <c r="R125" s="57" t="s"/>
      <c r="S125" s="57" t="s"/>
      <c r="T125" s="57" t="s"/>
      <c r="U125" s="41" t="s">
        <v>772</v>
      </c>
      <c r="V125" s="41" t="s">
        <v>773</v>
      </c>
      <c r="W125" s="42">
        <v>45000</v>
      </c>
      <c r="X125" s="42">
        <f>=W125*F125</f>
        <v>45000</v>
      </c>
      <c r="Y125" s="41" t="s">
        <v>1015</v>
      </c>
      <c r="Z125" s="41" t="s">
        <v>1016</v>
      </c>
      <c r="AA125" s="57" t="s"/>
      <c r="AB125" s="621" t="s"/>
      <c r="AC125" s="582" t="s">
        <v>1017</v>
      </c>
      <c r="AD125" s="582" t="s">
        <v>1018</v>
      </c>
      <c r="AE125" s="635" t="s">
        <v>823</v>
      </c>
      <c r="AF125" s="635" t="s">
        <v>823</v>
      </c>
      <c r="AG125" s="42" t="s"/>
      <c r="AH125" s="42" t="s"/>
      <c r="AI125" s="42" t="s"/>
      <c r="AJ125" s="42" t="s"/>
    </row>
    <row r="126" spans="1:36" s="996" ht="21" customHeight="true">
      <c r="A126" s="43">
        <v>103</v>
      </c>
      <c r="B126" s="634" t="s">
        <v>1134</v>
      </c>
      <c r="C126" s="166" t="s"/>
      <c r="D126" s="42" t="s">
        <v>1130</v>
      </c>
      <c r="E126" s="16" t="s">
        <v>32</v>
      </c>
      <c r="F126" s="16">
        <v>2</v>
      </c>
      <c r="G126" s="16" t="s"/>
      <c r="H126" s="35" t="s"/>
      <c r="I126" s="57" t="s"/>
      <c r="J126" s="57" t="s"/>
      <c r="K126" s="57" t="s"/>
      <c r="L126" s="620" t="s"/>
      <c r="M126" s="23" t="s"/>
      <c r="N126" s="57" t="s"/>
      <c r="O126" s="57" t="s"/>
      <c r="P126" s="57" t="s"/>
      <c r="Q126" s="57" t="s"/>
      <c r="R126" s="57" t="s"/>
      <c r="S126" s="57" t="s"/>
      <c r="T126" s="57" t="s"/>
      <c r="U126" s="41" t="s">
        <v>772</v>
      </c>
      <c r="V126" s="41" t="s">
        <v>773</v>
      </c>
      <c r="W126" s="42">
        <v>60000</v>
      </c>
      <c r="X126" s="42">
        <f>=W126*F126</f>
        <v>120000</v>
      </c>
      <c r="Y126" s="41" t="s">
        <v>1015</v>
      </c>
      <c r="Z126" s="41" t="s">
        <v>1016</v>
      </c>
      <c r="AA126" s="57" t="s"/>
      <c r="AB126" s="621" t="s"/>
      <c r="AC126" s="582" t="s">
        <v>1017</v>
      </c>
      <c r="AD126" s="582" t="s">
        <v>1018</v>
      </c>
      <c r="AE126" s="635" t="s">
        <v>823</v>
      </c>
      <c r="AF126" s="635" t="s">
        <v>823</v>
      </c>
      <c r="AG126" s="42" t="s"/>
      <c r="AH126" s="42" t="s"/>
      <c r="AI126" s="42" t="s"/>
      <c r="AJ126" s="42" t="s"/>
    </row>
    <row r="127" spans="1:36" s="996" ht="21" customHeight="true">
      <c r="A127" s="43">
        <v>104</v>
      </c>
      <c r="B127" s="634" t="s">
        <v>1135</v>
      </c>
      <c r="C127" s="166" t="s"/>
      <c r="D127" s="42" t="s">
        <v>1136</v>
      </c>
      <c r="E127" s="16" t="s">
        <v>32</v>
      </c>
      <c r="F127" s="16">
        <v>1</v>
      </c>
      <c r="G127" s="16" t="s"/>
      <c r="H127" s="35" t="s"/>
      <c r="I127" s="57" t="s"/>
      <c r="J127" s="57" t="s"/>
      <c r="K127" s="57" t="s"/>
      <c r="L127" s="620" t="s"/>
      <c r="M127" s="23" t="s"/>
      <c r="N127" s="57" t="s"/>
      <c r="O127" s="57" t="s"/>
      <c r="P127" s="57" t="s"/>
      <c r="Q127" s="57" t="s"/>
      <c r="R127" s="57" t="s"/>
      <c r="S127" s="57" t="s"/>
      <c r="T127" s="57" t="s"/>
      <c r="U127" s="41" t="s">
        <v>772</v>
      </c>
      <c r="V127" s="41" t="s">
        <v>773</v>
      </c>
      <c r="W127" s="42">
        <v>6750</v>
      </c>
      <c r="X127" s="42">
        <f>=W127*F127</f>
        <v>6750</v>
      </c>
      <c r="Y127" s="41" t="s">
        <v>1015</v>
      </c>
      <c r="Z127" s="41" t="s">
        <v>1016</v>
      </c>
      <c r="AA127" s="57" t="s"/>
      <c r="AB127" s="621" t="s"/>
      <c r="AC127" s="582" t="s">
        <v>1017</v>
      </c>
      <c r="AD127" s="582" t="s">
        <v>1018</v>
      </c>
      <c r="AE127" s="635" t="s">
        <v>823</v>
      </c>
      <c r="AF127" s="635" t="s">
        <v>823</v>
      </c>
      <c r="AG127" s="42" t="s"/>
      <c r="AH127" s="42" t="s"/>
      <c r="AI127" s="42" t="s"/>
      <c r="AJ127" s="42" t="s"/>
    </row>
    <row r="128" spans="1:36" s="996" ht="21" customHeight="true">
      <c r="A128" s="43">
        <v>105</v>
      </c>
      <c r="B128" s="634" t="s">
        <v>1137</v>
      </c>
      <c r="C128" s="166" t="s"/>
      <c r="D128" s="42" t="s">
        <v>1136</v>
      </c>
      <c r="E128" s="16" t="s">
        <v>32</v>
      </c>
      <c r="F128" s="16">
        <v>1</v>
      </c>
      <c r="G128" s="16" t="s"/>
      <c r="H128" s="35" t="s"/>
      <c r="I128" s="57" t="s"/>
      <c r="J128" s="57" t="s"/>
      <c r="K128" s="57" t="s"/>
      <c r="L128" s="620" t="s"/>
      <c r="M128" s="23" t="s"/>
      <c r="N128" s="57" t="s"/>
      <c r="O128" s="57" t="s"/>
      <c r="P128" s="57" t="s"/>
      <c r="Q128" s="57" t="s"/>
      <c r="R128" s="57" t="s"/>
      <c r="S128" s="57" t="s"/>
      <c r="T128" s="57" t="s"/>
      <c r="U128" s="41" t="s">
        <v>772</v>
      </c>
      <c r="V128" s="41" t="s">
        <v>773</v>
      </c>
      <c r="W128" s="42">
        <v>6000</v>
      </c>
      <c r="X128" s="42">
        <f>=W128*F128</f>
        <v>6000</v>
      </c>
      <c r="Y128" s="41" t="s">
        <v>1015</v>
      </c>
      <c r="Z128" s="41" t="s">
        <v>1016</v>
      </c>
      <c r="AA128" s="57" t="s"/>
      <c r="AB128" s="621" t="s"/>
      <c r="AC128" s="582" t="s">
        <v>1017</v>
      </c>
      <c r="AD128" s="582" t="s">
        <v>1018</v>
      </c>
      <c r="AE128" s="635" t="s">
        <v>823</v>
      </c>
      <c r="AF128" s="635" t="s">
        <v>823</v>
      </c>
      <c r="AG128" s="42" t="s"/>
      <c r="AH128" s="42" t="s"/>
      <c r="AI128" s="42" t="s"/>
      <c r="AJ128" s="42" t="s"/>
    </row>
    <row r="129" spans="1:36" s="996" ht="21" customHeight="true">
      <c r="A129" s="43">
        <v>106</v>
      </c>
      <c r="B129" s="634" t="s">
        <v>1138</v>
      </c>
      <c r="C129" s="166" t="s"/>
      <c r="D129" s="42" t="s">
        <v>1139</v>
      </c>
      <c r="E129" s="16" t="s">
        <v>32</v>
      </c>
      <c r="F129" s="16">
        <v>1</v>
      </c>
      <c r="G129" s="16" t="s"/>
      <c r="H129" s="35" t="s"/>
      <c r="I129" s="57" t="s"/>
      <c r="J129" s="57" t="s"/>
      <c r="K129" s="57" t="s"/>
      <c r="L129" s="620" t="s"/>
      <c r="M129" s="23" t="s"/>
      <c r="N129" s="57" t="s"/>
      <c r="O129" s="57" t="s"/>
      <c r="P129" s="57" t="s"/>
      <c r="Q129" s="57" t="s"/>
      <c r="R129" s="57" t="s"/>
      <c r="S129" s="57" t="s"/>
      <c r="T129" s="57" t="s"/>
      <c r="U129" s="41" t="s">
        <v>772</v>
      </c>
      <c r="V129" s="41" t="s">
        <v>773</v>
      </c>
      <c r="W129" s="42">
        <v>4750</v>
      </c>
      <c r="X129" s="42">
        <f>=W129*F129</f>
        <v>4750</v>
      </c>
      <c r="Y129" s="41" t="s">
        <v>1015</v>
      </c>
      <c r="Z129" s="41" t="s">
        <v>1016</v>
      </c>
      <c r="AA129" s="57" t="s"/>
      <c r="AB129" s="621" t="s"/>
      <c r="AC129" s="582" t="s">
        <v>1017</v>
      </c>
      <c r="AD129" s="582" t="s">
        <v>1018</v>
      </c>
      <c r="AE129" s="635" t="s">
        <v>823</v>
      </c>
      <c r="AF129" s="635" t="s">
        <v>823</v>
      </c>
      <c r="AG129" s="42" t="s"/>
      <c r="AH129" s="42" t="s"/>
      <c r="AI129" s="42" t="s"/>
      <c r="AJ129" s="42" t="s"/>
    </row>
    <row r="130" spans="1:36" s="996" ht="21" customHeight="true">
      <c r="A130" s="43">
        <v>107</v>
      </c>
      <c r="B130" s="634" t="s">
        <v>1140</v>
      </c>
      <c r="C130" s="166" t="s"/>
      <c r="D130" s="42" t="s">
        <v>1141</v>
      </c>
      <c r="E130" s="16" t="s">
        <v>32</v>
      </c>
      <c r="F130" s="16">
        <v>1</v>
      </c>
      <c r="G130" s="16" t="s"/>
      <c r="H130" s="35" t="s"/>
      <c r="I130" s="57" t="s"/>
      <c r="J130" s="57" t="s"/>
      <c r="K130" s="57" t="s"/>
      <c r="L130" s="620" t="s"/>
      <c r="M130" s="23" t="s"/>
      <c r="N130" s="57" t="s"/>
      <c r="O130" s="57" t="s"/>
      <c r="P130" s="57" t="s"/>
      <c r="Q130" s="57" t="s"/>
      <c r="R130" s="57" t="s"/>
      <c r="S130" s="57" t="s"/>
      <c r="T130" s="57" t="s"/>
      <c r="U130" s="41" t="s">
        <v>772</v>
      </c>
      <c r="V130" s="41" t="s">
        <v>773</v>
      </c>
      <c r="W130" s="42">
        <v>5250</v>
      </c>
      <c r="X130" s="42">
        <f>=W130*F130</f>
        <v>5250</v>
      </c>
      <c r="Y130" s="41" t="s">
        <v>1015</v>
      </c>
      <c r="Z130" s="41" t="s">
        <v>1016</v>
      </c>
      <c r="AA130" s="57" t="s"/>
      <c r="AB130" s="621" t="s"/>
      <c r="AC130" s="582" t="s">
        <v>1017</v>
      </c>
      <c r="AD130" s="582" t="s">
        <v>1018</v>
      </c>
      <c r="AE130" s="635" t="s">
        <v>823</v>
      </c>
      <c r="AF130" s="635" t="s">
        <v>823</v>
      </c>
      <c r="AG130" s="42" t="s"/>
      <c r="AH130" s="42" t="s"/>
      <c r="AI130" s="42" t="s"/>
      <c r="AJ130" s="42" t="s"/>
    </row>
    <row r="131" spans="1:36" s="996" ht="21" customHeight="true">
      <c r="A131" s="43">
        <v>108</v>
      </c>
      <c r="B131" s="634" t="s">
        <v>1142</v>
      </c>
      <c r="C131" s="166" t="s"/>
      <c r="D131" s="42" t="s">
        <v>1141</v>
      </c>
      <c r="E131" s="16" t="s">
        <v>32</v>
      </c>
      <c r="F131" s="16">
        <v>1</v>
      </c>
      <c r="G131" s="16" t="s"/>
      <c r="H131" s="35" t="s"/>
      <c r="I131" s="57" t="s"/>
      <c r="J131" s="57" t="s"/>
      <c r="K131" s="57" t="s"/>
      <c r="L131" s="620" t="s"/>
      <c r="M131" s="23" t="s"/>
      <c r="N131" s="57" t="s"/>
      <c r="O131" s="57" t="s"/>
      <c r="P131" s="57" t="s"/>
      <c r="Q131" s="57" t="s"/>
      <c r="R131" s="57" t="s"/>
      <c r="S131" s="57" t="s"/>
      <c r="T131" s="57" t="s"/>
      <c r="U131" s="41" t="s">
        <v>772</v>
      </c>
      <c r="V131" s="41" t="s">
        <v>773</v>
      </c>
      <c r="W131" s="42">
        <v>3000</v>
      </c>
      <c r="X131" s="42">
        <f>=W131*F131</f>
        <v>3000</v>
      </c>
      <c r="Y131" s="41" t="s">
        <v>1015</v>
      </c>
      <c r="Z131" s="41" t="s">
        <v>1016</v>
      </c>
      <c r="AA131" s="57" t="s"/>
      <c r="AB131" s="621" t="s"/>
      <c r="AC131" s="582" t="s">
        <v>1017</v>
      </c>
      <c r="AD131" s="582" t="s">
        <v>1018</v>
      </c>
      <c r="AE131" s="635" t="s">
        <v>823</v>
      </c>
      <c r="AF131" s="635" t="s">
        <v>823</v>
      </c>
      <c r="AG131" s="42" t="s"/>
      <c r="AH131" s="42" t="s"/>
      <c r="AI131" s="42" t="s"/>
      <c r="AJ131" s="42" t="s"/>
    </row>
    <row r="132" spans="1:36" s="996" ht="21" customHeight="true">
      <c r="A132" s="43">
        <v>109</v>
      </c>
      <c r="B132" s="634" t="s">
        <v>1143</v>
      </c>
      <c r="C132" s="166" t="s"/>
      <c r="D132" s="42" t="s">
        <v>1141</v>
      </c>
      <c r="E132" s="16" t="s">
        <v>32</v>
      </c>
      <c r="F132" s="16">
        <v>1</v>
      </c>
      <c r="G132" s="16" t="s"/>
      <c r="H132" s="35" t="s"/>
      <c r="I132" s="57" t="s"/>
      <c r="J132" s="57" t="s"/>
      <c r="K132" s="57" t="s"/>
      <c r="L132" s="620" t="s"/>
      <c r="M132" s="23" t="s"/>
      <c r="N132" s="57" t="s"/>
      <c r="O132" s="57" t="s"/>
      <c r="P132" s="57" t="s"/>
      <c r="Q132" s="57" t="s"/>
      <c r="R132" s="57" t="s"/>
      <c r="S132" s="57" t="s"/>
      <c r="T132" s="57" t="s"/>
      <c r="U132" s="41" t="s">
        <v>772</v>
      </c>
      <c r="V132" s="41" t="s">
        <v>773</v>
      </c>
      <c r="W132" s="42">
        <v>3000</v>
      </c>
      <c r="X132" s="42">
        <f>=W132*F132</f>
        <v>3000</v>
      </c>
      <c r="Y132" s="41" t="s">
        <v>1015</v>
      </c>
      <c r="Z132" s="41" t="s">
        <v>1016</v>
      </c>
      <c r="AA132" s="57" t="s"/>
      <c r="AB132" s="621" t="s"/>
      <c r="AC132" s="582" t="s">
        <v>1017</v>
      </c>
      <c r="AD132" s="582" t="s">
        <v>1018</v>
      </c>
      <c r="AE132" s="635" t="s">
        <v>823</v>
      </c>
      <c r="AF132" s="635" t="s">
        <v>823</v>
      </c>
      <c r="AG132" s="42" t="s"/>
      <c r="AH132" s="42" t="s"/>
      <c r="AI132" s="42" t="s"/>
      <c r="AJ132" s="42" t="s"/>
    </row>
    <row r="133" spans="1:36" s="996" ht="21" customHeight="true">
      <c r="A133" s="43">
        <v>110</v>
      </c>
      <c r="B133" s="634" t="s">
        <v>1144</v>
      </c>
      <c r="C133" s="166" t="s"/>
      <c r="D133" s="42" t="s">
        <v>1136</v>
      </c>
      <c r="E133" s="16" t="s">
        <v>32</v>
      </c>
      <c r="F133" s="16">
        <v>2</v>
      </c>
      <c r="G133" s="16" t="s"/>
      <c r="H133" s="35" t="s"/>
      <c r="I133" s="57" t="s"/>
      <c r="J133" s="57" t="s"/>
      <c r="K133" s="57" t="s"/>
      <c r="L133" s="620" t="s"/>
      <c r="M133" s="23" t="s"/>
      <c r="N133" s="57" t="s"/>
      <c r="O133" s="57" t="s"/>
      <c r="P133" s="57" t="s"/>
      <c r="Q133" s="57" t="s"/>
      <c r="R133" s="57" t="s"/>
      <c r="S133" s="57" t="s"/>
      <c r="T133" s="57" t="s"/>
      <c r="U133" s="41" t="s">
        <v>772</v>
      </c>
      <c r="V133" s="41" t="s">
        <v>773</v>
      </c>
      <c r="W133" s="42">
        <v>37500</v>
      </c>
      <c r="X133" s="42">
        <f>=W133*F133</f>
        <v>75000</v>
      </c>
      <c r="Y133" s="41" t="s">
        <v>1015</v>
      </c>
      <c r="Z133" s="41" t="s">
        <v>1016</v>
      </c>
      <c r="AA133" s="57" t="s"/>
      <c r="AB133" s="621" t="s"/>
      <c r="AC133" s="582" t="s">
        <v>1017</v>
      </c>
      <c r="AD133" s="582" t="s">
        <v>1018</v>
      </c>
      <c r="AE133" s="635" t="s">
        <v>823</v>
      </c>
      <c r="AF133" s="635" t="s">
        <v>823</v>
      </c>
      <c r="AG133" s="42" t="s"/>
      <c r="AH133" s="42" t="s"/>
      <c r="AI133" s="42" t="s"/>
      <c r="AJ133" s="42" t="s"/>
    </row>
    <row r="134" spans="1:36" s="996" ht="21" customHeight="true">
      <c r="A134" s="43">
        <v>111</v>
      </c>
      <c r="B134" s="634" t="s">
        <v>1145</v>
      </c>
      <c r="C134" s="166" t="s"/>
      <c r="D134" s="42" t="s">
        <v>1136</v>
      </c>
      <c r="E134" s="16" t="s">
        <v>32</v>
      </c>
      <c r="F134" s="16">
        <v>8</v>
      </c>
      <c r="G134" s="16" t="s"/>
      <c r="H134" s="35" t="s"/>
      <c r="I134" s="57" t="s"/>
      <c r="J134" s="57" t="s"/>
      <c r="K134" s="57" t="s"/>
      <c r="L134" s="620" t="s"/>
      <c r="M134" s="23" t="s"/>
      <c r="N134" s="57" t="s"/>
      <c r="O134" s="57" t="s"/>
      <c r="P134" s="57" t="s"/>
      <c r="Q134" s="57" t="s"/>
      <c r="R134" s="57" t="s"/>
      <c r="S134" s="57" t="s"/>
      <c r="T134" s="57" t="s"/>
      <c r="U134" s="41" t="s">
        <v>772</v>
      </c>
      <c r="V134" s="41" t="s">
        <v>773</v>
      </c>
      <c r="W134" s="42">
        <v>3750</v>
      </c>
      <c r="X134" s="42">
        <f>=W134*F134</f>
        <v>30000</v>
      </c>
      <c r="Y134" s="41" t="s">
        <v>1015</v>
      </c>
      <c r="Z134" s="41" t="s">
        <v>1016</v>
      </c>
      <c r="AA134" s="57" t="s"/>
      <c r="AB134" s="621" t="s"/>
      <c r="AC134" s="582" t="s">
        <v>1017</v>
      </c>
      <c r="AD134" s="582" t="s">
        <v>1018</v>
      </c>
      <c r="AE134" s="635" t="s">
        <v>823</v>
      </c>
      <c r="AF134" s="635" t="s">
        <v>823</v>
      </c>
      <c r="AG134" s="42" t="s"/>
      <c r="AH134" s="42" t="s"/>
      <c r="AI134" s="42" t="s"/>
      <c r="AJ134" s="42" t="s"/>
    </row>
    <row r="135" spans="1:36" s="996" ht="21" customHeight="true">
      <c r="A135" s="43">
        <v>112</v>
      </c>
      <c r="B135" s="634" t="s">
        <v>1146</v>
      </c>
      <c r="C135" s="166" t="s"/>
      <c r="D135" s="42" t="s">
        <v>1136</v>
      </c>
      <c r="E135" s="16" t="s">
        <v>32</v>
      </c>
      <c r="F135" s="16">
        <v>1</v>
      </c>
      <c r="G135" s="16" t="s"/>
      <c r="H135" s="35" t="s"/>
      <c r="I135" s="57" t="s"/>
      <c r="J135" s="57" t="s"/>
      <c r="K135" s="57" t="s"/>
      <c r="L135" s="620" t="s"/>
      <c r="M135" s="23" t="s"/>
      <c r="N135" s="57" t="s"/>
      <c r="O135" s="57" t="s"/>
      <c r="P135" s="57" t="s"/>
      <c r="Q135" s="57" t="s"/>
      <c r="R135" s="57" t="s"/>
      <c r="S135" s="57" t="s"/>
      <c r="T135" s="57" t="s"/>
      <c r="U135" s="41" t="s">
        <v>772</v>
      </c>
      <c r="V135" s="41" t="s">
        <v>773</v>
      </c>
      <c r="W135" s="42">
        <v>4250</v>
      </c>
      <c r="X135" s="42">
        <f>=W135*F135</f>
        <v>4250</v>
      </c>
      <c r="Y135" s="41" t="s">
        <v>1015</v>
      </c>
      <c r="Z135" s="41" t="s">
        <v>1016</v>
      </c>
      <c r="AA135" s="57" t="s"/>
      <c r="AB135" s="621" t="s"/>
      <c r="AC135" s="582" t="s">
        <v>1017</v>
      </c>
      <c r="AD135" s="582" t="s">
        <v>1018</v>
      </c>
      <c r="AE135" s="635" t="s">
        <v>823</v>
      </c>
      <c r="AF135" s="635" t="s">
        <v>823</v>
      </c>
      <c r="AG135" s="42" t="s"/>
      <c r="AH135" s="42" t="s"/>
      <c r="AI135" s="42" t="s"/>
      <c r="AJ135" s="42" t="s"/>
    </row>
    <row r="136" spans="1:36" s="996" ht="21" customHeight="true">
      <c r="A136" s="43">
        <v>113</v>
      </c>
      <c r="B136" s="634" t="s">
        <v>1147</v>
      </c>
      <c r="C136" s="166" t="s"/>
      <c r="D136" s="42" t="s">
        <v>1136</v>
      </c>
      <c r="E136" s="16" t="s">
        <v>32</v>
      </c>
      <c r="F136" s="16">
        <v>1</v>
      </c>
      <c r="G136" s="16" t="s"/>
      <c r="H136" s="35" t="s"/>
      <c r="I136" s="57" t="s"/>
      <c r="J136" s="57" t="s"/>
      <c r="K136" s="57" t="s"/>
      <c r="L136" s="620" t="s"/>
      <c r="M136" s="23" t="s"/>
      <c r="N136" s="57" t="s"/>
      <c r="O136" s="57" t="s"/>
      <c r="P136" s="57" t="s"/>
      <c r="Q136" s="57" t="s"/>
      <c r="R136" s="57" t="s"/>
      <c r="S136" s="57" t="s"/>
      <c r="T136" s="57" t="s"/>
      <c r="U136" s="41" t="s">
        <v>772</v>
      </c>
      <c r="V136" s="41" t="s">
        <v>773</v>
      </c>
      <c r="W136" s="42">
        <v>4250</v>
      </c>
      <c r="X136" s="42">
        <f>=W136*F136</f>
        <v>4250</v>
      </c>
      <c r="Y136" s="41" t="s">
        <v>1015</v>
      </c>
      <c r="Z136" s="41" t="s">
        <v>1016</v>
      </c>
      <c r="AA136" s="57" t="s"/>
      <c r="AB136" s="621" t="s"/>
      <c r="AC136" s="582" t="s">
        <v>1017</v>
      </c>
      <c r="AD136" s="582" t="s">
        <v>1018</v>
      </c>
      <c r="AE136" s="635" t="s">
        <v>823</v>
      </c>
      <c r="AF136" s="635" t="s">
        <v>823</v>
      </c>
      <c r="AG136" s="42" t="s"/>
      <c r="AH136" s="42" t="s"/>
      <c r="AI136" s="42" t="s"/>
      <c r="AJ136" s="42" t="s"/>
    </row>
    <row r="137" spans="1:36" s="996" ht="21" customHeight="true">
      <c r="A137" s="43">
        <v>114</v>
      </c>
      <c r="B137" s="634" t="s">
        <v>1148</v>
      </c>
      <c r="C137" s="166" t="s"/>
      <c r="D137" s="42" t="s">
        <v>1136</v>
      </c>
      <c r="E137" s="16" t="s">
        <v>32</v>
      </c>
      <c r="F137" s="16">
        <v>1</v>
      </c>
      <c r="G137" s="16" t="s"/>
      <c r="H137" s="35" t="s"/>
      <c r="I137" s="57" t="s"/>
      <c r="J137" s="57" t="s"/>
      <c r="K137" s="57" t="s"/>
      <c r="L137" s="620" t="s"/>
      <c r="M137" s="23" t="s"/>
      <c r="N137" s="57" t="s"/>
      <c r="O137" s="57" t="s"/>
      <c r="P137" s="57" t="s"/>
      <c r="Q137" s="57" t="s"/>
      <c r="R137" s="57" t="s"/>
      <c r="S137" s="57" t="s"/>
      <c r="T137" s="57" t="s"/>
      <c r="U137" s="41" t="s">
        <v>772</v>
      </c>
      <c r="V137" s="41" t="s">
        <v>773</v>
      </c>
      <c r="W137" s="42">
        <v>4250</v>
      </c>
      <c r="X137" s="42">
        <f>=W137*F137</f>
        <v>4250</v>
      </c>
      <c r="Y137" s="41" t="s">
        <v>1015</v>
      </c>
      <c r="Z137" s="41" t="s">
        <v>1016</v>
      </c>
      <c r="AA137" s="57" t="s"/>
      <c r="AB137" s="621" t="s"/>
      <c r="AC137" s="582" t="s">
        <v>1017</v>
      </c>
      <c r="AD137" s="582" t="s">
        <v>1018</v>
      </c>
      <c r="AE137" s="635" t="s">
        <v>823</v>
      </c>
      <c r="AF137" s="635" t="s">
        <v>823</v>
      </c>
      <c r="AG137" s="42" t="s"/>
      <c r="AH137" s="42" t="s"/>
      <c r="AI137" s="42" t="s"/>
      <c r="AJ137" s="42" t="s"/>
    </row>
    <row r="138" spans="1:36" s="996" ht="21" customHeight="true">
      <c r="A138" s="43">
        <v>115</v>
      </c>
      <c r="B138" s="634" t="s">
        <v>1149</v>
      </c>
      <c r="C138" s="166" t="s"/>
      <c r="D138" s="42" t="s">
        <v>1136</v>
      </c>
      <c r="E138" s="16" t="s">
        <v>32</v>
      </c>
      <c r="F138" s="16">
        <v>2</v>
      </c>
      <c r="G138" s="16" t="s"/>
      <c r="H138" s="35" t="s"/>
      <c r="I138" s="57" t="s"/>
      <c r="J138" s="57" t="s"/>
      <c r="K138" s="57" t="s"/>
      <c r="L138" s="620" t="s"/>
      <c r="M138" s="23" t="s"/>
      <c r="N138" s="57" t="s"/>
      <c r="O138" s="57" t="s"/>
      <c r="P138" s="57" t="s"/>
      <c r="Q138" s="57" t="s"/>
      <c r="R138" s="57" t="s"/>
      <c r="S138" s="57" t="s"/>
      <c r="T138" s="57" t="s"/>
      <c r="U138" s="41" t="s">
        <v>772</v>
      </c>
      <c r="V138" s="41" t="s">
        <v>773</v>
      </c>
      <c r="W138" s="42">
        <v>4650</v>
      </c>
      <c r="X138" s="42">
        <f>=W138*F138</f>
        <v>9300</v>
      </c>
      <c r="Y138" s="41" t="s">
        <v>1015</v>
      </c>
      <c r="Z138" s="41" t="s">
        <v>1016</v>
      </c>
      <c r="AA138" s="57" t="s"/>
      <c r="AB138" s="621" t="s"/>
      <c r="AC138" s="582" t="s">
        <v>1017</v>
      </c>
      <c r="AD138" s="582" t="s">
        <v>1018</v>
      </c>
      <c r="AE138" s="635" t="s">
        <v>823</v>
      </c>
      <c r="AF138" s="635" t="s">
        <v>823</v>
      </c>
      <c r="AG138" s="42" t="s"/>
      <c r="AH138" s="42" t="s"/>
      <c r="AI138" s="42" t="s"/>
      <c r="AJ138" s="42" t="s"/>
    </row>
    <row r="139" spans="1:36" s="996" ht="21" customHeight="true">
      <c r="A139" s="43">
        <v>116</v>
      </c>
      <c r="B139" s="634" t="s">
        <v>1150</v>
      </c>
      <c r="C139" s="166" t="s"/>
      <c r="D139" s="42" t="s">
        <v>1136</v>
      </c>
      <c r="E139" s="16" t="s">
        <v>32</v>
      </c>
      <c r="F139" s="16">
        <v>6</v>
      </c>
      <c r="G139" s="16" t="s"/>
      <c r="H139" s="35" t="s"/>
      <c r="I139" s="57" t="s"/>
      <c r="J139" s="57" t="s"/>
      <c r="K139" s="57" t="s"/>
      <c r="L139" s="620" t="s"/>
      <c r="M139" s="23" t="s"/>
      <c r="N139" s="57" t="s"/>
      <c r="O139" s="57" t="s"/>
      <c r="P139" s="57" t="s"/>
      <c r="Q139" s="57" t="s"/>
      <c r="R139" s="57" t="s"/>
      <c r="S139" s="57" t="s"/>
      <c r="T139" s="57" t="s"/>
      <c r="U139" s="41" t="s">
        <v>772</v>
      </c>
      <c r="V139" s="41" t="s">
        <v>773</v>
      </c>
      <c r="W139" s="42">
        <v>1500</v>
      </c>
      <c r="X139" s="42">
        <f>=W139*F139</f>
        <v>9000</v>
      </c>
      <c r="Y139" s="41" t="s">
        <v>1015</v>
      </c>
      <c r="Z139" s="41" t="s">
        <v>1016</v>
      </c>
      <c r="AA139" s="57" t="s"/>
      <c r="AB139" s="621" t="s"/>
      <c r="AC139" s="582" t="s">
        <v>1017</v>
      </c>
      <c r="AD139" s="582" t="s">
        <v>1018</v>
      </c>
      <c r="AE139" s="635" t="s">
        <v>823</v>
      </c>
      <c r="AF139" s="635" t="s">
        <v>823</v>
      </c>
      <c r="AG139" s="42" t="s"/>
      <c r="AH139" s="42" t="s"/>
      <c r="AI139" s="42" t="s"/>
      <c r="AJ139" s="42" t="s"/>
    </row>
    <row r="140" spans="1:36" s="996" ht="21" customHeight="true">
      <c r="A140" s="43">
        <v>117</v>
      </c>
      <c r="B140" s="634" t="s">
        <v>1151</v>
      </c>
      <c r="C140" s="166" t="s"/>
      <c r="D140" s="42" t="s"/>
      <c r="E140" s="16" t="s">
        <v>36</v>
      </c>
      <c r="F140" s="16">
        <v>1</v>
      </c>
      <c r="G140" s="16" t="s"/>
      <c r="H140" s="35" t="s"/>
      <c r="I140" s="57" t="s"/>
      <c r="J140" s="57" t="s"/>
      <c r="K140" s="57" t="s"/>
      <c r="L140" s="620" t="s"/>
      <c r="M140" s="23" t="s"/>
      <c r="N140" s="57" t="s"/>
      <c r="O140" s="57" t="s"/>
      <c r="P140" s="57" t="s"/>
      <c r="Q140" s="57" t="s"/>
      <c r="R140" s="57" t="s"/>
      <c r="S140" s="57" t="s"/>
      <c r="T140" s="57" t="s"/>
      <c r="U140" s="41" t="s">
        <v>772</v>
      </c>
      <c r="V140" s="41" t="s">
        <v>773</v>
      </c>
      <c r="W140" s="42">
        <v>315000</v>
      </c>
      <c r="X140" s="42">
        <f>=W140*F140</f>
        <v>315000</v>
      </c>
      <c r="Y140" s="41" t="s">
        <v>1015</v>
      </c>
      <c r="Z140" s="41" t="s">
        <v>1016</v>
      </c>
      <c r="AA140" s="57" t="s"/>
      <c r="AB140" s="621" t="s"/>
      <c r="AC140" s="582" t="s">
        <v>1017</v>
      </c>
      <c r="AD140" s="582" t="s">
        <v>1018</v>
      </c>
      <c r="AE140" s="635" t="s">
        <v>823</v>
      </c>
      <c r="AF140" s="635" t="s">
        <v>823</v>
      </c>
      <c r="AG140" s="42" t="s"/>
      <c r="AH140" s="42" t="s"/>
      <c r="AI140" s="42" t="s"/>
      <c r="AJ140" s="42" t="s"/>
    </row>
    <row r="141" spans="1:36" s="996" ht="21" customHeight="true">
      <c r="A141" s="43">
        <v>118</v>
      </c>
      <c r="B141" s="634" t="s">
        <v>1152</v>
      </c>
      <c r="C141" s="166" t="s"/>
      <c r="D141" s="42" t="s"/>
      <c r="E141" s="16" t="s">
        <v>36</v>
      </c>
      <c r="F141" s="16">
        <v>4</v>
      </c>
      <c r="G141" s="16" t="s"/>
      <c r="H141" s="35" t="s"/>
      <c r="I141" s="57" t="s"/>
      <c r="J141" s="57" t="s"/>
      <c r="K141" s="57" t="s"/>
      <c r="L141" s="620" t="s"/>
      <c r="M141" s="23" t="s"/>
      <c r="N141" s="57" t="s"/>
      <c r="O141" s="57" t="s"/>
      <c r="P141" s="57" t="s"/>
      <c r="Q141" s="57" t="s"/>
      <c r="R141" s="57" t="s"/>
      <c r="S141" s="57" t="s"/>
      <c r="T141" s="57" t="s"/>
      <c r="U141" s="41" t="s">
        <v>772</v>
      </c>
      <c r="V141" s="41" t="s">
        <v>773</v>
      </c>
      <c r="W141" s="42">
        <v>112000</v>
      </c>
      <c r="X141" s="42">
        <f>=W141*F141</f>
        <v>448000</v>
      </c>
      <c r="Y141" s="41" t="s">
        <v>1015</v>
      </c>
      <c r="Z141" s="41" t="s">
        <v>1016</v>
      </c>
      <c r="AA141" s="57" t="s"/>
      <c r="AB141" s="621" t="s"/>
      <c r="AC141" s="582" t="s">
        <v>1017</v>
      </c>
      <c r="AD141" s="582" t="s">
        <v>1018</v>
      </c>
      <c r="AE141" s="635" t="s">
        <v>823</v>
      </c>
      <c r="AF141" s="635" t="s">
        <v>823</v>
      </c>
      <c r="AG141" s="42" t="s"/>
      <c r="AH141" s="42" t="s"/>
      <c r="AI141" s="42" t="s"/>
      <c r="AJ141" s="42" t="s"/>
    </row>
    <row r="142" spans="1:36" s="996" ht="21" customHeight="true">
      <c r="A142" s="43">
        <v>119</v>
      </c>
      <c r="B142" s="634" t="s">
        <v>1153</v>
      </c>
      <c r="C142" s="166" t="s"/>
      <c r="D142" s="42" t="s"/>
      <c r="E142" s="16" t="s">
        <v>45</v>
      </c>
      <c r="F142" s="16">
        <v>1</v>
      </c>
      <c r="G142" s="16" t="s"/>
      <c r="H142" s="35" t="s"/>
      <c r="I142" s="57" t="s"/>
      <c r="J142" s="57" t="s"/>
      <c r="K142" s="57" t="s"/>
      <c r="L142" s="620" t="s"/>
      <c r="M142" s="23" t="s"/>
      <c r="N142" s="57" t="s"/>
      <c r="O142" s="57" t="s"/>
      <c r="P142" s="57" t="s"/>
      <c r="Q142" s="57" t="s"/>
      <c r="R142" s="57" t="s"/>
      <c r="S142" s="57" t="s"/>
      <c r="T142" s="57" t="s"/>
      <c r="U142" s="41" t="s">
        <v>772</v>
      </c>
      <c r="V142" s="41" t="s">
        <v>773</v>
      </c>
      <c r="W142" s="42">
        <v>12750</v>
      </c>
      <c r="X142" s="42">
        <f>=W142*F142</f>
        <v>12750</v>
      </c>
      <c r="Y142" s="41" t="s">
        <v>1015</v>
      </c>
      <c r="Z142" s="41" t="s">
        <v>1016</v>
      </c>
      <c r="AA142" s="57" t="s"/>
      <c r="AB142" s="621" t="s"/>
      <c r="AC142" s="582" t="s">
        <v>1017</v>
      </c>
      <c r="AD142" s="582" t="s">
        <v>1018</v>
      </c>
      <c r="AE142" s="635" t="s">
        <v>823</v>
      </c>
      <c r="AF142" s="635" t="s">
        <v>823</v>
      </c>
      <c r="AG142" s="42" t="s"/>
      <c r="AH142" s="42" t="s"/>
      <c r="AI142" s="42" t="s"/>
      <c r="AJ142" s="42" t="s"/>
    </row>
    <row r="143" spans="1:36" s="996" ht="21" customHeight="true">
      <c r="A143" s="43">
        <v>120</v>
      </c>
      <c r="B143" s="634" t="s">
        <v>1154</v>
      </c>
      <c r="C143" s="166" t="s"/>
      <c r="D143" s="42" t="s"/>
      <c r="E143" s="16" t="s">
        <v>514</v>
      </c>
      <c r="F143" s="16">
        <v>1</v>
      </c>
      <c r="G143" s="16" t="s"/>
      <c r="H143" s="35" t="s"/>
      <c r="I143" s="57" t="s"/>
      <c r="J143" s="57" t="s"/>
      <c r="K143" s="57" t="s"/>
      <c r="L143" s="620" t="s"/>
      <c r="M143" s="23" t="s"/>
      <c r="N143" s="57" t="s"/>
      <c r="O143" s="57" t="s"/>
      <c r="P143" s="57" t="s"/>
      <c r="Q143" s="57" t="s"/>
      <c r="R143" s="57" t="s"/>
      <c r="S143" s="57" t="s"/>
      <c r="T143" s="57" t="s"/>
      <c r="U143" s="41" t="s">
        <v>772</v>
      </c>
      <c r="V143" s="41" t="s">
        <v>773</v>
      </c>
      <c r="W143" s="42">
        <v>150000</v>
      </c>
      <c r="X143" s="42">
        <f>=W143*F143</f>
        <v>150000</v>
      </c>
      <c r="Y143" s="41" t="s">
        <v>1015</v>
      </c>
      <c r="Z143" s="41" t="s">
        <v>1016</v>
      </c>
      <c r="AA143" s="57" t="s"/>
      <c r="AB143" s="621" t="s"/>
      <c r="AC143" s="582" t="s">
        <v>1017</v>
      </c>
      <c r="AD143" s="582" t="s">
        <v>1018</v>
      </c>
      <c r="AE143" s="635" t="s">
        <v>823</v>
      </c>
      <c r="AF143" s="635" t="s">
        <v>823</v>
      </c>
      <c r="AG143" s="42" t="s"/>
      <c r="AH143" s="42" t="s"/>
      <c r="AI143" s="42" t="s"/>
      <c r="AJ143" s="42" t="s"/>
    </row>
    <row r="144" spans="1:36" s="996" ht="21" customHeight="true">
      <c r="A144" s="43">
        <v>121</v>
      </c>
      <c r="B144" s="634" t="s">
        <v>1155</v>
      </c>
      <c r="C144" s="166" t="s"/>
      <c r="D144" s="42" t="s"/>
      <c r="E144" s="16" t="s">
        <v>514</v>
      </c>
      <c r="F144" s="16">
        <v>1</v>
      </c>
      <c r="G144" s="16" t="s"/>
      <c r="H144" s="35" t="s"/>
      <c r="I144" s="57" t="s"/>
      <c r="J144" s="57" t="s"/>
      <c r="K144" s="57" t="s"/>
      <c r="L144" s="620" t="s"/>
      <c r="M144" s="23" t="s"/>
      <c r="N144" s="57" t="s"/>
      <c r="O144" s="57" t="s"/>
      <c r="P144" s="57" t="s"/>
      <c r="Q144" s="57" t="s"/>
      <c r="R144" s="57" t="s"/>
      <c r="S144" s="57" t="s"/>
      <c r="T144" s="57" t="s"/>
      <c r="U144" s="41" t="s">
        <v>772</v>
      </c>
      <c r="V144" s="41" t="s">
        <v>773</v>
      </c>
      <c r="W144" s="42">
        <v>125000</v>
      </c>
      <c r="X144" s="42">
        <f>=W144*F144</f>
        <v>125000</v>
      </c>
      <c r="Y144" s="41" t="s">
        <v>1015</v>
      </c>
      <c r="Z144" s="41" t="s">
        <v>1016</v>
      </c>
      <c r="AA144" s="57" t="s"/>
      <c r="AB144" s="621" t="s"/>
      <c r="AC144" s="582" t="s">
        <v>1017</v>
      </c>
      <c r="AD144" s="582" t="s">
        <v>1018</v>
      </c>
      <c r="AE144" s="635" t="s">
        <v>823</v>
      </c>
      <c r="AF144" s="635" t="s">
        <v>823</v>
      </c>
      <c r="AG144" s="42" t="s"/>
      <c r="AH144" s="42" t="s"/>
      <c r="AI144" s="42" t="s"/>
      <c r="AJ144" s="42" t="s"/>
    </row>
    <row r="145" spans="1:36" s="996" ht="21" customHeight="true">
      <c r="A145" s="43">
        <v>122</v>
      </c>
      <c r="B145" s="634" t="s">
        <v>1156</v>
      </c>
      <c r="C145" s="166" t="s"/>
      <c r="D145" s="42" t="s"/>
      <c r="E145" s="16" t="s">
        <v>45</v>
      </c>
      <c r="F145" s="16">
        <v>32</v>
      </c>
      <c r="G145" s="16" t="s"/>
      <c r="H145" s="35" t="s"/>
      <c r="I145" s="57" t="s"/>
      <c r="J145" s="57" t="s"/>
      <c r="K145" s="57" t="s"/>
      <c r="L145" s="620" t="s"/>
      <c r="M145" s="23" t="s"/>
      <c r="N145" s="57" t="s"/>
      <c r="O145" s="57" t="s"/>
      <c r="P145" s="57" t="s"/>
      <c r="Q145" s="57" t="s"/>
      <c r="R145" s="57" t="s"/>
      <c r="S145" s="57" t="s"/>
      <c r="T145" s="57" t="s"/>
      <c r="U145" s="41" t="s">
        <v>772</v>
      </c>
      <c r="V145" s="41" t="s">
        <v>773</v>
      </c>
      <c r="W145" s="42">
        <v>3750</v>
      </c>
      <c r="X145" s="42">
        <f>=W145*F145</f>
        <v>120000</v>
      </c>
      <c r="Y145" s="41" t="s">
        <v>1015</v>
      </c>
      <c r="Z145" s="41" t="s">
        <v>1016</v>
      </c>
      <c r="AA145" s="57" t="s"/>
      <c r="AB145" s="621" t="s"/>
      <c r="AC145" s="582" t="s">
        <v>1017</v>
      </c>
      <c r="AD145" s="582" t="s">
        <v>1018</v>
      </c>
      <c r="AE145" s="635" t="s">
        <v>823</v>
      </c>
      <c r="AF145" s="635" t="s">
        <v>823</v>
      </c>
      <c r="AG145" s="42" t="s"/>
      <c r="AH145" s="42" t="s"/>
      <c r="AI145" s="42" t="s"/>
      <c r="AJ145" s="42" t="s"/>
    </row>
    <row r="146" spans="1:36" s="997" ht="21" customHeight="true">
      <c r="A146" s="43">
        <v>123</v>
      </c>
      <c r="B146" s="634" t="s">
        <v>1157</v>
      </c>
      <c r="C146" s="122" t="s"/>
      <c r="D146" s="42" t="s">
        <v>1158</v>
      </c>
      <c r="E146" s="16" t="s">
        <v>514</v>
      </c>
      <c r="F146" s="16">
        <v>1</v>
      </c>
      <c r="G146" s="16" t="s"/>
      <c r="H146" s="35" t="s"/>
      <c r="I146" s="61" t="s"/>
      <c r="J146" s="61" t="s"/>
      <c r="K146" s="61" t="s"/>
      <c r="L146" s="636" t="s"/>
      <c r="M146" s="143" t="s"/>
      <c r="N146" s="61" t="s"/>
      <c r="O146" s="61" t="s"/>
      <c r="P146" s="61" t="s"/>
      <c r="Q146" s="61" t="s"/>
      <c r="R146" s="61" t="s"/>
      <c r="S146" s="61" t="s"/>
      <c r="T146" s="61" t="s"/>
      <c r="U146" s="41" t="s">
        <v>772</v>
      </c>
      <c r="V146" s="41" t="s">
        <v>773</v>
      </c>
      <c r="W146" s="42">
        <v>6000000</v>
      </c>
      <c r="X146" s="42">
        <f>=W146*F146</f>
        <v>6000000</v>
      </c>
      <c r="Y146" s="41" t="s">
        <v>1015</v>
      </c>
      <c r="Z146" s="41" t="s">
        <v>1016</v>
      </c>
      <c r="AA146" s="61" t="s"/>
      <c r="AB146" s="628" t="s"/>
      <c r="AC146" s="582" t="s">
        <v>1017</v>
      </c>
      <c r="AD146" s="582" t="s">
        <v>1018</v>
      </c>
      <c r="AE146" s="635" t="s">
        <v>823</v>
      </c>
      <c r="AF146" s="635" t="s">
        <v>823</v>
      </c>
      <c r="AG146" s="42" t="s"/>
      <c r="AH146" s="42" t="s"/>
      <c r="AI146" s="42" t="s"/>
      <c r="AJ146" s="42" t="s"/>
    </row>
    <row r="147" spans="1:36" ht="21" customHeight="true">
      <c r="A147" s="637" t="s">
        <v>570</v>
      </c>
      <c r="B147" s="589" t="s">
        <v>1159</v>
      </c>
      <c r="C147" s="355" t="s"/>
      <c r="D147" s="390" t="s"/>
      <c r="E147" s="16" t="s"/>
      <c r="F147" s="16" t="s"/>
      <c r="G147" s="16" t="s"/>
      <c r="H147" s="35" t="s"/>
      <c r="I147" s="119" t="s"/>
      <c r="J147" s="119" t="s"/>
      <c r="K147" s="119" t="s"/>
      <c r="L147" s="638">
        <f>=L148</f>
        <v>3503352.64</v>
      </c>
      <c r="M147" s="591" t="s"/>
      <c r="N147" s="639">
        <f>=N148</f>
        <v>5542000</v>
      </c>
      <c r="O147" s="591" t="s"/>
      <c r="P147" s="639">
        <f>=P148</f>
        <v>3146847.6</v>
      </c>
      <c r="Q147" s="591" t="s"/>
      <c r="R147" s="639" t="s">
        <f>=R148</f>
        <v>654</v>
      </c>
      <c r="S147" s="41" t="s"/>
      <c r="T147" s="41" t="s"/>
      <c r="U147" s="42" t="s"/>
      <c r="V147" s="42" t="s"/>
      <c r="W147" s="42" t="s"/>
      <c r="X147" s="42" t="s"/>
      <c r="Y147" s="41" t="s"/>
      <c r="Z147" s="41" t="s"/>
      <c r="AA147" s="42" t="s"/>
      <c r="AB147" s="42" t="s"/>
      <c r="AC147" s="582" t="s"/>
      <c r="AD147" s="582" t="s"/>
      <c r="AE147" s="582" t="s"/>
      <c r="AF147" s="582" t="s"/>
      <c r="AG147" s="42" t="s"/>
      <c r="AH147" s="42" t="s"/>
      <c r="AI147" s="42" t="s"/>
      <c r="AJ147" s="42" t="s"/>
    </row>
    <row r="148" spans="1:36" ht="21" customHeight="true">
      <c r="A148" s="43">
        <v>1</v>
      </c>
      <c r="B148" s="42" t="s">
        <v>1160</v>
      </c>
      <c r="C148" s="42" t="s"/>
      <c r="D148" s="40" t="s">
        <v>1161</v>
      </c>
      <c r="E148" s="16" t="s">
        <v>36</v>
      </c>
      <c r="F148" s="16">
        <v>4</v>
      </c>
      <c r="G148" s="49">
        <v>4000000</v>
      </c>
      <c r="H148" s="50">
        <f>=G148</f>
        <v>4000000</v>
      </c>
      <c r="I148" s="603">
        <v>4</v>
      </c>
      <c r="J148" s="640">
        <v>0.08</v>
      </c>
      <c r="K148" s="641">
        <f>=ROUND(S148*(1-J148),2)</f>
        <v>3503352.64</v>
      </c>
      <c r="L148" s="641">
        <f>=K148</f>
        <v>3503352.64</v>
      </c>
      <c r="M148" s="617">
        <f>=220000+340000+200000+130000+180000+2760000+50000+20000*2+1500000+110000+12000</f>
        <v>5542000</v>
      </c>
      <c r="N148" s="617">
        <f>=M148</f>
        <v>5542000</v>
      </c>
      <c r="O148" s="617">
        <f>=2240000+120000+190000+266000+64064+47200+77800+91260+6600+36603+7320.6</f>
        <v>3146847.6</v>
      </c>
      <c r="P148" s="617">
        <f>=O148</f>
        <v>3146847.6</v>
      </c>
      <c r="Q148" s="617" t="s">
        <v>654</v>
      </c>
      <c r="R148" s="617" t="s">
        <v>654</v>
      </c>
      <c r="S148" s="38">
        <f>=AVERAGE(W148,AA148,AE148,AI148)</f>
        <v>3807992</v>
      </c>
      <c r="T148" s="38">
        <f>=MIN(W148,AA148,AE148,AI148)</f>
        <v>3415984</v>
      </c>
      <c r="U148" s="42" t="s">
        <v>1162</v>
      </c>
      <c r="V148" s="42" t="s">
        <v>1163</v>
      </c>
      <c r="W148" s="40">
        <v>4200000</v>
      </c>
      <c r="X148" s="40">
        <f>=W148</f>
        <v>4200000</v>
      </c>
      <c r="Y148" s="41" t="s">
        <v>1164</v>
      </c>
      <c r="Z148" s="41" t="s">
        <v>2538</v>
      </c>
      <c r="AA148" s="40" t="s">
        <v>823</v>
      </c>
      <c r="AB148" s="40" t="s">
        <v>823</v>
      </c>
      <c r="AC148" s="582" t="s">
        <v>1165</v>
      </c>
      <c r="AD148" s="582" t="s">
        <v>1166</v>
      </c>
      <c r="AE148" s="642" t="s">
        <v>1167</v>
      </c>
      <c r="AF148" s="642" t="s">
        <v>1167</v>
      </c>
      <c r="AG148" s="42" t="s">
        <v>1168</v>
      </c>
      <c r="AH148" s="42" t="s">
        <v>1169</v>
      </c>
      <c r="AI148" s="40">
        <v>3415984</v>
      </c>
      <c r="AJ148" s="40">
        <f>=AI148</f>
        <v>3415984</v>
      </c>
    </row>
    <row r="149" spans="1:36" ht="21" customHeight="true">
      <c r="A149" s="43">
        <v>2</v>
      </c>
      <c r="B149" s="42" t="s">
        <v>1170</v>
      </c>
      <c r="C149" s="42" t="s"/>
      <c r="D149" s="61" t="s"/>
      <c r="E149" s="16" t="s">
        <v>36</v>
      </c>
      <c r="F149" s="16">
        <v>4</v>
      </c>
      <c r="G149" s="57" t="s"/>
      <c r="H149" s="57" t="s"/>
      <c r="I149" s="603">
        <v>4</v>
      </c>
      <c r="J149" s="57" t="s"/>
      <c r="K149" s="57" t="s"/>
      <c r="L149" s="57" t="s"/>
      <c r="M149" s="57" t="s"/>
      <c r="N149" s="57" t="s"/>
      <c r="O149" s="57" t="s"/>
      <c r="P149" s="57" t="s"/>
      <c r="Q149" s="57" t="s"/>
      <c r="R149" s="57" t="s"/>
      <c r="S149" s="57" t="s"/>
      <c r="T149" s="57" t="s"/>
      <c r="U149" s="42" t="s">
        <v>1162</v>
      </c>
      <c r="V149" s="42" t="s">
        <v>1163</v>
      </c>
      <c r="W149" s="57" t="s"/>
      <c r="X149" s="57" t="s"/>
      <c r="Y149" s="41" t="s">
        <v>1164</v>
      </c>
      <c r="Z149" s="41" t="s">
        <v>2538</v>
      </c>
      <c r="AA149" s="57" t="s"/>
      <c r="AB149" s="57" t="s"/>
      <c r="AC149" s="582" t="s">
        <v>1165</v>
      </c>
      <c r="AD149" s="582" t="s">
        <v>1166</v>
      </c>
      <c r="AE149" s="57" t="s"/>
      <c r="AF149" s="621" t="s"/>
      <c r="AG149" s="42" t="s">
        <v>1168</v>
      </c>
      <c r="AH149" s="42" t="s">
        <v>1169</v>
      </c>
      <c r="AI149" s="57" t="s"/>
      <c r="AJ149" s="57" t="s"/>
    </row>
    <row r="150" spans="1:36" ht="21" customHeight="true">
      <c r="A150" s="43">
        <v>3</v>
      </c>
      <c r="B150" s="42" t="s">
        <v>1171</v>
      </c>
      <c r="C150" s="42" t="s"/>
      <c r="D150" s="166" t="s"/>
      <c r="E150" s="16" t="s">
        <v>36</v>
      </c>
      <c r="F150" s="16">
        <v>4</v>
      </c>
      <c r="G150" s="57" t="s"/>
      <c r="H150" s="57" t="s"/>
      <c r="I150" s="603">
        <v>4</v>
      </c>
      <c r="J150" s="57" t="s"/>
      <c r="K150" s="57" t="s"/>
      <c r="L150" s="57" t="s"/>
      <c r="M150" s="57" t="s"/>
      <c r="N150" s="57" t="s"/>
      <c r="O150" s="57" t="s"/>
      <c r="P150" s="57" t="s"/>
      <c r="Q150" s="57" t="s"/>
      <c r="R150" s="57" t="s"/>
      <c r="S150" s="57" t="s"/>
      <c r="T150" s="57" t="s"/>
      <c r="U150" s="643" t="s">
        <v>1162</v>
      </c>
      <c r="V150" s="42" t="s">
        <v>1163</v>
      </c>
      <c r="W150" s="57" t="s"/>
      <c r="X150" s="57" t="s"/>
      <c r="Y150" s="41" t="s">
        <v>1164</v>
      </c>
      <c r="Z150" s="41" t="s">
        <v>2538</v>
      </c>
      <c r="AA150" s="57" t="s"/>
      <c r="AB150" s="57" t="s"/>
      <c r="AC150" s="582" t="s">
        <v>1165</v>
      </c>
      <c r="AD150" s="582" t="s">
        <v>1166</v>
      </c>
      <c r="AE150" s="57" t="s"/>
      <c r="AF150" s="621" t="s"/>
      <c r="AG150" s="42" t="s">
        <v>1168</v>
      </c>
      <c r="AH150" s="42" t="s">
        <v>1169</v>
      </c>
      <c r="AI150" s="57" t="s"/>
      <c r="AJ150" s="57" t="s"/>
    </row>
    <row r="151" spans="1:36" ht="21" customHeight="true">
      <c r="A151" s="43">
        <v>4</v>
      </c>
      <c r="B151" s="42" t="s">
        <v>1172</v>
      </c>
      <c r="C151" s="42" t="s"/>
      <c r="D151" s="42" t="s"/>
      <c r="E151" s="16" t="s">
        <v>36</v>
      </c>
      <c r="F151" s="16">
        <v>1</v>
      </c>
      <c r="G151" s="57" t="s"/>
      <c r="H151" s="57" t="s"/>
      <c r="I151" s="603">
        <v>1</v>
      </c>
      <c r="J151" s="57" t="s"/>
      <c r="K151" s="57" t="s"/>
      <c r="L151" s="57" t="s"/>
      <c r="M151" s="57" t="s"/>
      <c r="N151" s="57" t="s"/>
      <c r="O151" s="57" t="s"/>
      <c r="P151" s="57" t="s"/>
      <c r="Q151" s="57" t="s"/>
      <c r="R151" s="57" t="s"/>
      <c r="S151" s="57" t="s"/>
      <c r="T151" s="57" t="s"/>
      <c r="U151" s="42" t="s">
        <v>1162</v>
      </c>
      <c r="V151" s="42" t="s">
        <v>1163</v>
      </c>
      <c r="W151" s="57" t="s"/>
      <c r="X151" s="57" t="s"/>
      <c r="Y151" s="41" t="s">
        <v>1164</v>
      </c>
      <c r="Z151" s="41" t="s">
        <v>2538</v>
      </c>
      <c r="AA151" s="57" t="s"/>
      <c r="AB151" s="57" t="s"/>
      <c r="AC151" s="582" t="s">
        <v>1165</v>
      </c>
      <c r="AD151" s="582" t="s">
        <v>1166</v>
      </c>
      <c r="AE151" s="57" t="s"/>
      <c r="AF151" s="621" t="s"/>
      <c r="AG151" s="42" t="s">
        <v>1168</v>
      </c>
      <c r="AH151" s="42" t="s">
        <v>1169</v>
      </c>
      <c r="AI151" s="57" t="s"/>
      <c r="AJ151" s="57" t="s"/>
    </row>
    <row r="152" spans="1:36" ht="21" customHeight="true">
      <c r="A152" s="43">
        <v>5</v>
      </c>
      <c r="B152" s="42" t="s">
        <v>1173</v>
      </c>
      <c r="C152" s="42" t="s"/>
      <c r="D152" s="42" t="s"/>
      <c r="E152" s="16" t="s">
        <v>36</v>
      </c>
      <c r="F152" s="16">
        <v>2</v>
      </c>
      <c r="G152" s="57" t="s"/>
      <c r="H152" s="57" t="s"/>
      <c r="I152" s="603">
        <v>2</v>
      </c>
      <c r="J152" s="57" t="s"/>
      <c r="K152" s="57" t="s"/>
      <c r="L152" s="57" t="s"/>
      <c r="M152" s="57" t="s"/>
      <c r="N152" s="57" t="s"/>
      <c r="O152" s="57" t="s"/>
      <c r="P152" s="57" t="s"/>
      <c r="Q152" s="57" t="s"/>
      <c r="R152" s="57" t="s"/>
      <c r="S152" s="57" t="s"/>
      <c r="T152" s="57" t="s"/>
      <c r="U152" s="42" t="s">
        <v>1162</v>
      </c>
      <c r="V152" s="42" t="s">
        <v>1163</v>
      </c>
      <c r="W152" s="57" t="s"/>
      <c r="X152" s="57" t="s"/>
      <c r="Y152" s="41" t="s">
        <v>1164</v>
      </c>
      <c r="Z152" s="41" t="s">
        <v>2538</v>
      </c>
      <c r="AA152" s="57" t="s"/>
      <c r="AB152" s="57" t="s"/>
      <c r="AC152" s="582" t="s">
        <v>1165</v>
      </c>
      <c r="AD152" s="582" t="s">
        <v>1166</v>
      </c>
      <c r="AE152" s="57" t="s"/>
      <c r="AF152" s="621" t="s"/>
      <c r="AG152" s="42" t="s">
        <v>1168</v>
      </c>
      <c r="AH152" s="42" t="s">
        <v>1169</v>
      </c>
      <c r="AI152" s="57" t="s"/>
      <c r="AJ152" s="57" t="s"/>
    </row>
    <row r="153" spans="1:36" ht="21" customHeight="true">
      <c r="A153" s="583">
        <v>6</v>
      </c>
      <c r="B153" s="42" t="s">
        <v>1174</v>
      </c>
      <c r="C153" s="42" t="s"/>
      <c r="D153" s="42" t="s"/>
      <c r="E153" s="16" t="s">
        <v>36</v>
      </c>
      <c r="F153" s="16">
        <v>2</v>
      </c>
      <c r="G153" s="57" t="s"/>
      <c r="H153" s="57" t="s"/>
      <c r="I153" s="603">
        <v>2</v>
      </c>
      <c r="J153" s="57" t="s"/>
      <c r="K153" s="57" t="s"/>
      <c r="L153" s="57" t="s"/>
      <c r="M153" s="57" t="s"/>
      <c r="N153" s="57" t="s"/>
      <c r="O153" s="57" t="s"/>
      <c r="P153" s="57" t="s"/>
      <c r="Q153" s="57" t="s"/>
      <c r="R153" s="57" t="s"/>
      <c r="S153" s="57" t="s"/>
      <c r="T153" s="57" t="s"/>
      <c r="U153" s="42" t="s">
        <v>1162</v>
      </c>
      <c r="V153" s="42" t="s">
        <v>1163</v>
      </c>
      <c r="W153" s="57" t="s"/>
      <c r="X153" s="57" t="s"/>
      <c r="Y153" s="41" t="s">
        <v>1164</v>
      </c>
      <c r="Z153" s="41" t="s">
        <v>2538</v>
      </c>
      <c r="AA153" s="57" t="s"/>
      <c r="AB153" s="57" t="s"/>
      <c r="AC153" s="582" t="s">
        <v>1165</v>
      </c>
      <c r="AD153" s="582" t="s">
        <v>1166</v>
      </c>
      <c r="AE153" s="57" t="s"/>
      <c r="AF153" s="621" t="s"/>
      <c r="AG153" s="42" t="s">
        <v>1168</v>
      </c>
      <c r="AH153" s="42" t="s">
        <v>1169</v>
      </c>
      <c r="AI153" s="57" t="s"/>
      <c r="AJ153" s="57" t="s"/>
    </row>
    <row r="154" spans="1:36" ht="21" customHeight="true">
      <c r="A154" s="583">
        <v>7</v>
      </c>
      <c r="B154" s="42" t="s">
        <v>1175</v>
      </c>
      <c r="C154" s="42" t="s"/>
      <c r="D154" s="42" t="s"/>
      <c r="E154" s="16" t="s">
        <v>36</v>
      </c>
      <c r="F154" s="16">
        <v>4</v>
      </c>
      <c r="G154" s="57" t="s"/>
      <c r="H154" s="57" t="s"/>
      <c r="I154" s="603">
        <v>4</v>
      </c>
      <c r="J154" s="57" t="s"/>
      <c r="K154" s="57" t="s"/>
      <c r="L154" s="57" t="s"/>
      <c r="M154" s="57" t="s"/>
      <c r="N154" s="57" t="s"/>
      <c r="O154" s="57" t="s"/>
      <c r="P154" s="57" t="s"/>
      <c r="Q154" s="57" t="s"/>
      <c r="R154" s="57" t="s"/>
      <c r="S154" s="57" t="s"/>
      <c r="T154" s="57" t="s"/>
      <c r="U154" s="42" t="s">
        <v>1162</v>
      </c>
      <c r="V154" s="42" t="s">
        <v>1163</v>
      </c>
      <c r="W154" s="57" t="s"/>
      <c r="X154" s="57" t="s"/>
      <c r="Y154" s="41" t="s">
        <v>1164</v>
      </c>
      <c r="Z154" s="41" t="s">
        <v>2538</v>
      </c>
      <c r="AA154" s="57" t="s"/>
      <c r="AB154" s="57" t="s"/>
      <c r="AC154" s="582" t="s">
        <v>1165</v>
      </c>
      <c r="AD154" s="582" t="s">
        <v>1166</v>
      </c>
      <c r="AE154" s="57" t="s"/>
      <c r="AF154" s="621" t="s"/>
      <c r="AG154" s="42" t="s">
        <v>1168</v>
      </c>
      <c r="AH154" s="42" t="s">
        <v>1169</v>
      </c>
      <c r="AI154" s="57" t="s"/>
      <c r="AJ154" s="57" t="s"/>
    </row>
    <row r="155" spans="1:36" ht="21" customHeight="true">
      <c r="A155" s="583">
        <v>8</v>
      </c>
      <c r="B155" s="42" t="s">
        <v>1176</v>
      </c>
      <c r="C155" s="42" t="s"/>
      <c r="D155" s="42" t="s"/>
      <c r="E155" s="16" t="s">
        <v>36</v>
      </c>
      <c r="F155" s="16">
        <v>4</v>
      </c>
      <c r="G155" s="57" t="s"/>
      <c r="H155" s="57" t="s"/>
      <c r="I155" s="603">
        <v>4</v>
      </c>
      <c r="J155" s="57" t="s"/>
      <c r="K155" s="57" t="s"/>
      <c r="L155" s="57" t="s"/>
      <c r="M155" s="57" t="s"/>
      <c r="N155" s="57" t="s"/>
      <c r="O155" s="57" t="s"/>
      <c r="P155" s="57" t="s"/>
      <c r="Q155" s="57" t="s"/>
      <c r="R155" s="57" t="s"/>
      <c r="S155" s="57" t="s"/>
      <c r="T155" s="57" t="s"/>
      <c r="U155" s="42" t="s">
        <v>1162</v>
      </c>
      <c r="V155" s="42" t="s">
        <v>1163</v>
      </c>
      <c r="W155" s="57" t="s"/>
      <c r="X155" s="57" t="s"/>
      <c r="Y155" s="41" t="s">
        <v>1164</v>
      </c>
      <c r="Z155" s="41" t="s">
        <v>2538</v>
      </c>
      <c r="AA155" s="57" t="s"/>
      <c r="AB155" s="57" t="s"/>
      <c r="AC155" s="582" t="s">
        <v>1165</v>
      </c>
      <c r="AD155" s="582" t="s">
        <v>1166</v>
      </c>
      <c r="AE155" s="57" t="s"/>
      <c r="AF155" s="621" t="s"/>
      <c r="AG155" s="42" t="s">
        <v>1168</v>
      </c>
      <c r="AH155" s="42" t="s">
        <v>1169</v>
      </c>
      <c r="AI155" s="57" t="s"/>
      <c r="AJ155" s="57" t="s"/>
    </row>
    <row r="156" spans="1:36" ht="21" customHeight="true">
      <c r="A156" s="583">
        <v>9</v>
      </c>
      <c r="B156" s="42" t="s">
        <v>1177</v>
      </c>
      <c r="C156" s="42" t="s"/>
      <c r="D156" s="42" t="s"/>
      <c r="E156" s="16" t="s">
        <v>36</v>
      </c>
      <c r="F156" s="16">
        <v>1</v>
      </c>
      <c r="G156" s="57" t="s"/>
      <c r="H156" s="57" t="s"/>
      <c r="I156" s="603">
        <v>1</v>
      </c>
      <c r="J156" s="57" t="s"/>
      <c r="K156" s="57" t="s"/>
      <c r="L156" s="57" t="s"/>
      <c r="M156" s="57" t="s"/>
      <c r="N156" s="57" t="s"/>
      <c r="O156" s="57" t="s"/>
      <c r="P156" s="57" t="s"/>
      <c r="Q156" s="57" t="s"/>
      <c r="R156" s="57" t="s"/>
      <c r="S156" s="57" t="s"/>
      <c r="T156" s="57" t="s"/>
      <c r="U156" s="42" t="s">
        <v>1162</v>
      </c>
      <c r="V156" s="42" t="s">
        <v>1163</v>
      </c>
      <c r="W156" s="57" t="s"/>
      <c r="X156" s="57" t="s"/>
      <c r="Y156" s="41" t="s">
        <v>1164</v>
      </c>
      <c r="Z156" s="41" t="s">
        <v>2538</v>
      </c>
      <c r="AA156" s="57" t="s"/>
      <c r="AB156" s="57" t="s"/>
      <c r="AC156" s="582" t="s">
        <v>1165</v>
      </c>
      <c r="AD156" s="582" t="s">
        <v>1166</v>
      </c>
      <c r="AE156" s="57" t="s"/>
      <c r="AF156" s="621" t="s"/>
      <c r="AG156" s="42" t="s">
        <v>1168</v>
      </c>
      <c r="AH156" s="42" t="s">
        <v>1169</v>
      </c>
      <c r="AI156" s="57" t="s"/>
      <c r="AJ156" s="57" t="s"/>
    </row>
    <row r="157" spans="1:36" ht="21" customHeight="true">
      <c r="A157" s="583">
        <v>10</v>
      </c>
      <c r="B157" s="42" t="s">
        <v>1178</v>
      </c>
      <c r="C157" s="42" t="s"/>
      <c r="D157" s="42" t="s">
        <v>1179</v>
      </c>
      <c r="E157" s="16" t="s">
        <v>36</v>
      </c>
      <c r="F157" s="16">
        <v>1</v>
      </c>
      <c r="G157" s="57" t="s"/>
      <c r="H157" s="57" t="s"/>
      <c r="I157" s="603">
        <v>1</v>
      </c>
      <c r="J157" s="57" t="s"/>
      <c r="K157" s="57" t="s"/>
      <c r="L157" s="57" t="s"/>
      <c r="M157" s="57" t="s"/>
      <c r="N157" s="57" t="s"/>
      <c r="O157" s="57" t="s"/>
      <c r="P157" s="57" t="s"/>
      <c r="Q157" s="57" t="s"/>
      <c r="R157" s="57" t="s"/>
      <c r="S157" s="57" t="s"/>
      <c r="T157" s="57" t="s"/>
      <c r="U157" s="42" t="s">
        <v>1162</v>
      </c>
      <c r="V157" s="42" t="s">
        <v>1163</v>
      </c>
      <c r="W157" s="57" t="s"/>
      <c r="X157" s="57" t="s"/>
      <c r="Y157" s="41" t="s">
        <v>1164</v>
      </c>
      <c r="Z157" s="41" t="s">
        <v>2538</v>
      </c>
      <c r="AA157" s="57" t="s"/>
      <c r="AB157" s="57" t="s"/>
      <c r="AC157" s="582" t="s">
        <v>1165</v>
      </c>
      <c r="AD157" s="582" t="s">
        <v>1166</v>
      </c>
      <c r="AE157" s="57" t="s"/>
      <c r="AF157" s="621" t="s"/>
      <c r="AG157" s="42" t="s">
        <v>1168</v>
      </c>
      <c r="AH157" s="42" t="s">
        <v>1169</v>
      </c>
      <c r="AI157" s="57" t="s"/>
      <c r="AJ157" s="57" t="s"/>
    </row>
    <row r="158" spans="1:36" ht="21" customHeight="true">
      <c r="A158" s="43">
        <v>11</v>
      </c>
      <c r="B158" s="42" t="s">
        <v>1180</v>
      </c>
      <c r="C158" s="42" t="s"/>
      <c r="D158" s="42" t="s">
        <v>1181</v>
      </c>
      <c r="E158" s="16" t="s">
        <v>36</v>
      </c>
      <c r="F158" s="16">
        <v>1</v>
      </c>
      <c r="G158" s="61" t="s"/>
      <c r="H158" s="61" t="s"/>
      <c r="I158" s="603">
        <v>1</v>
      </c>
      <c r="J158" s="61" t="s"/>
      <c r="K158" s="61" t="s"/>
      <c r="L158" s="61" t="s"/>
      <c r="M158" s="61" t="s"/>
      <c r="N158" s="61" t="s"/>
      <c r="O158" s="61" t="s"/>
      <c r="P158" s="61" t="s"/>
      <c r="Q158" s="61" t="s"/>
      <c r="R158" s="61" t="s"/>
      <c r="S158" s="61" t="s"/>
      <c r="T158" s="61" t="s"/>
      <c r="U158" s="42" t="s">
        <v>1162</v>
      </c>
      <c r="V158" s="42" t="s">
        <v>1163</v>
      </c>
      <c r="W158" s="61" t="s"/>
      <c r="X158" s="61" t="s"/>
      <c r="Y158" s="41" t="s">
        <v>1164</v>
      </c>
      <c r="Z158" s="41" t="s">
        <v>2538</v>
      </c>
      <c r="AA158" s="61" t="s"/>
      <c r="AB158" s="61" t="s"/>
      <c r="AC158" s="582" t="s">
        <v>1165</v>
      </c>
      <c r="AD158" s="582" t="s">
        <v>1166</v>
      </c>
      <c r="AE158" s="61" t="s"/>
      <c r="AF158" s="628" t="s"/>
      <c r="AG158" s="42" t="s">
        <v>1168</v>
      </c>
      <c r="AH158" s="42" t="s">
        <v>1169</v>
      </c>
      <c r="AI158" s="61" t="s"/>
      <c r="AJ158" s="61" t="s"/>
    </row>
    <row r="159" spans="1:36" ht="21" customHeight="true">
      <c r="A159" s="588" t="s">
        <v>572</v>
      </c>
      <c r="B159" s="589" t="s">
        <v>1182</v>
      </c>
      <c r="C159" s="355" t="s"/>
      <c r="D159" s="390" t="s"/>
      <c r="E159" s="16" t="s"/>
      <c r="F159" s="16" t="s"/>
      <c r="G159" s="16" t="s"/>
      <c r="H159" s="35" t="s"/>
      <c r="I159" s="119" t="s"/>
      <c r="J159" s="119" t="s"/>
      <c r="K159" s="119" t="s"/>
      <c r="L159" s="644">
        <f>=SUM(L160,L161,L162)</f>
        <v>9099395</v>
      </c>
      <c r="M159" s="591" t="s"/>
      <c r="N159" s="639">
        <f>=SUM(N160,N161,N162)</f>
        <v>11432200</v>
      </c>
      <c r="O159" s="591" t="s"/>
      <c r="P159" s="639">
        <f>=SUM(P160,P161,P162)</f>
        <v>7200000</v>
      </c>
      <c r="Q159" s="591" t="s"/>
      <c r="R159" s="639">
        <f>=SUM(R160,R161,R162)</f>
        <v>12118000</v>
      </c>
      <c r="S159" s="41" t="s"/>
      <c r="T159" s="41" t="s"/>
      <c r="U159" s="42" t="s"/>
      <c r="V159" s="42" t="s"/>
      <c r="W159" s="42" t="s"/>
      <c r="X159" s="42" t="s"/>
      <c r="Y159" s="41" t="s"/>
      <c r="Z159" s="41" t="s"/>
      <c r="AA159" s="42" t="s"/>
      <c r="AB159" s="42" t="s"/>
      <c r="AC159" s="582" t="s"/>
      <c r="AD159" s="582" t="s"/>
      <c r="AE159" s="582" t="s"/>
      <c r="AF159" s="582" t="s"/>
      <c r="AG159" s="42" t="s"/>
      <c r="AH159" s="42" t="s"/>
      <c r="AI159" s="42" t="s"/>
      <c r="AJ159" s="42" t="s"/>
    </row>
    <row r="160" spans="1:36" ht="63" customHeight="true">
      <c r="A160" s="43">
        <v>1</v>
      </c>
      <c r="B160" s="42" t="s">
        <v>1183</v>
      </c>
      <c r="C160" s="42" t="s"/>
      <c r="D160" s="42" t="s">
        <v>1184</v>
      </c>
      <c r="E160" s="16" t="s">
        <v>32</v>
      </c>
      <c r="F160" s="645">
        <v>4</v>
      </c>
      <c r="G160" s="16">
        <v>25373000</v>
      </c>
      <c r="H160" s="35">
        <f>=G160*F160</f>
        <v>101492000</v>
      </c>
      <c r="I160" s="119">
        <v>3</v>
      </c>
      <c r="J160" s="488">
        <v>0</v>
      </c>
      <c r="K160" s="119">
        <f>=ROUND(S160*(1-J160),2)</f>
        <v>1419330</v>
      </c>
      <c r="L160" s="119">
        <f>=K160*I160</f>
        <v>4257990</v>
      </c>
      <c r="M160" s="591" t="s">
        <v>1185</v>
      </c>
      <c r="N160" s="595">
        <f>=1143.22*10000</f>
        <v>11432200</v>
      </c>
      <c r="O160" s="595" t="s">
        <v>1186</v>
      </c>
      <c r="P160" s="595">
        <f>=1800000*4</f>
        <v>7200000</v>
      </c>
      <c r="Q160" s="591" t="s">
        <v>1187</v>
      </c>
      <c r="R160" s="597">
        <v>12054000</v>
      </c>
      <c r="S160" s="41">
        <f>=AVERAGE(W160,AA160,AE160,AI160)</f>
        <v>1419330</v>
      </c>
      <c r="T160" s="41">
        <f>=MIN(W160,AA160,AE160,AI160)</f>
        <v>900000</v>
      </c>
      <c r="U160" s="643" t="s">
        <v>967</v>
      </c>
      <c r="V160" s="42" t="s">
        <v>729</v>
      </c>
      <c r="W160" s="42">
        <v>1938660</v>
      </c>
      <c r="X160" s="42">
        <f>=W160*I160</f>
        <v>5815980</v>
      </c>
      <c r="Y160" s="41" t="s">
        <v>1188</v>
      </c>
      <c r="Z160" s="41" t="s">
        <v>1189</v>
      </c>
      <c r="AA160" s="40" t="s">
        <v>823</v>
      </c>
      <c r="AB160" s="40" t="s">
        <v>823</v>
      </c>
      <c r="AC160" s="582" t="s">
        <v>1190</v>
      </c>
      <c r="AD160" s="582" t="s">
        <v>1191</v>
      </c>
      <c r="AE160" s="582">
        <v>900000</v>
      </c>
      <c r="AF160" s="582">
        <f>=AE160*I160</f>
        <v>2700000</v>
      </c>
      <c r="AG160" s="42" t="s"/>
      <c r="AH160" s="42" t="s"/>
      <c r="AI160" s="42" t="s"/>
      <c r="AJ160" s="42" t="s"/>
    </row>
    <row r="161" spans="1:36" ht="63" customHeight="true">
      <c r="A161" s="646">
        <v>2</v>
      </c>
      <c r="B161" s="42" t="s">
        <v>1192</v>
      </c>
      <c r="C161" s="42" t="s"/>
      <c r="D161" s="42" t="s">
        <v>1193</v>
      </c>
      <c r="E161" s="16" t="s">
        <v>32</v>
      </c>
      <c r="F161" s="645">
        <v>4</v>
      </c>
      <c r="G161" s="16">
        <v>25373000</v>
      </c>
      <c r="H161" s="35">
        <f>=G161*F161</f>
        <v>101492000</v>
      </c>
      <c r="I161" s="119">
        <v>3</v>
      </c>
      <c r="J161" s="488">
        <v>0</v>
      </c>
      <c r="K161" s="119">
        <f>=ROUND(S161*(1-J161),2)</f>
        <v>1581415</v>
      </c>
      <c r="L161" s="119">
        <f>=K161*I161</f>
        <v>4744245</v>
      </c>
      <c r="M161" s="591" t="s">
        <v>1194</v>
      </c>
      <c r="N161" s="57" t="s"/>
      <c r="O161" s="57" t="s"/>
      <c r="P161" s="57" t="s"/>
      <c r="Q161" s="591" t="s">
        <v>1195</v>
      </c>
      <c r="R161" s="61" t="s"/>
      <c r="S161" s="41">
        <f>=AVERAGE(W161,AA161,AE161,AI161)</f>
        <v>1581415</v>
      </c>
      <c r="T161" s="41">
        <f>=MIN(W161,AA161,AE161,AI161)</f>
        <v>1200000</v>
      </c>
      <c r="U161" s="42" t="s">
        <v>967</v>
      </c>
      <c r="V161" s="42" t="s">
        <v>729</v>
      </c>
      <c r="W161" s="42">
        <v>1962830</v>
      </c>
      <c r="X161" s="42">
        <f>=W161*I161</f>
        <v>5888490</v>
      </c>
      <c r="Y161" s="41" t="s">
        <v>1188</v>
      </c>
      <c r="Z161" s="41" t="s">
        <v>1189</v>
      </c>
      <c r="AA161" s="57" t="s"/>
      <c r="AB161" s="57" t="s"/>
      <c r="AC161" s="582" t="s">
        <v>1190</v>
      </c>
      <c r="AD161" s="582" t="s">
        <v>1191</v>
      </c>
      <c r="AE161" s="582">
        <v>1200000</v>
      </c>
      <c r="AF161" s="582">
        <f>=AE161*I161</f>
        <v>3600000</v>
      </c>
      <c r="AG161" s="42" t="s"/>
      <c r="AH161" s="42" t="s"/>
      <c r="AI161" s="42" t="s"/>
      <c r="AJ161" s="42" t="s"/>
    </row>
    <row r="162" spans="1:36" s="9" ht="21" customHeight="true">
      <c r="A162" s="43">
        <v>3</v>
      </c>
      <c r="B162" s="42" t="s">
        <v>1196</v>
      </c>
      <c r="C162" s="42" t="s"/>
      <c r="D162" s="42" t="s">
        <v>1197</v>
      </c>
      <c r="E162" s="16" t="s">
        <v>36</v>
      </c>
      <c r="F162" s="16">
        <v>2</v>
      </c>
      <c r="G162" s="16" t="s"/>
      <c r="H162" s="16" t="s"/>
      <c r="I162" s="119">
        <v>1</v>
      </c>
      <c r="J162" s="488">
        <v>0</v>
      </c>
      <c r="K162" s="119">
        <f>=ROUND(S162*(1-J162),2)</f>
        <v>97160</v>
      </c>
      <c r="L162" s="119">
        <f>=K162*I162</f>
        <v>97160</v>
      </c>
      <c r="M162" s="591" t="s">
        <v>1198</v>
      </c>
      <c r="N162" s="61" t="s"/>
      <c r="O162" s="61" t="s"/>
      <c r="P162" s="61" t="s"/>
      <c r="Q162" s="591" t="s">
        <v>1199</v>
      </c>
      <c r="R162" s="591">
        <v>64000</v>
      </c>
      <c r="S162" s="41">
        <f>=AVERAGE(W162,AA162,AE162,AI162)</f>
        <v>97160</v>
      </c>
      <c r="T162" s="41">
        <f>=MIN(W162,AA162,AE162,AI162)</f>
        <v>97160</v>
      </c>
      <c r="U162" s="42" t="s">
        <v>967</v>
      </c>
      <c r="V162" s="42" t="s">
        <v>729</v>
      </c>
      <c r="W162" s="42">
        <f>=48580*2</f>
        <v>97160</v>
      </c>
      <c r="X162" s="42">
        <f>=W162*F162</f>
        <v>194320</v>
      </c>
      <c r="Y162" s="41" t="s">
        <v>1188</v>
      </c>
      <c r="Z162" s="41" t="s">
        <v>1189</v>
      </c>
      <c r="AA162" s="61" t="s"/>
      <c r="AB162" s="61" t="s"/>
      <c r="AC162" s="582" t="s">
        <v>1190</v>
      </c>
      <c r="AD162" s="582" t="s">
        <v>1191</v>
      </c>
      <c r="AE162" s="582" t="s">
        <v>631</v>
      </c>
      <c r="AF162" s="582" t="s">
        <v>631</v>
      </c>
      <c r="AG162" s="42" t="s"/>
      <c r="AH162" s="16" t="s"/>
      <c r="AI162" s="16" t="s"/>
      <c r="AJ162" s="16" t="s"/>
    </row>
    <row r="163" spans="1:36" ht="21" customHeight="true">
      <c r="A163" s="637" t="s">
        <v>811</v>
      </c>
      <c r="B163" s="589" t="s">
        <v>1200</v>
      </c>
      <c r="C163" s="355" t="s"/>
      <c r="D163" s="390" t="s"/>
      <c r="E163" s="16" t="s"/>
      <c r="F163" s="16" t="s"/>
      <c r="G163" s="16" t="s"/>
      <c r="H163" s="35" t="s"/>
      <c r="I163" s="119" t="s"/>
      <c r="J163" s="119" t="s"/>
      <c r="K163" s="119" t="s"/>
      <c r="L163" s="647">
        <f>=L164</f>
        <v>32152295</v>
      </c>
      <c r="M163" s="591" t="s"/>
      <c r="N163" s="648">
        <f>=N164</f>
        <v>34842491.99</v>
      </c>
      <c r="O163" s="591" t="s"/>
      <c r="P163" s="648">
        <f>=P164</f>
        <v>37200000</v>
      </c>
      <c r="Q163" s="591" t="s"/>
      <c r="R163" s="648">
        <f>=R164</f>
        <v>36500300</v>
      </c>
      <c r="S163" s="41" t="s"/>
      <c r="T163" s="41" t="s"/>
      <c r="U163" s="42" t="s"/>
      <c r="V163" s="42" t="s"/>
      <c r="W163" s="42" t="s"/>
      <c r="X163" s="42" t="s"/>
      <c r="Y163" s="41" t="s"/>
      <c r="Z163" s="41" t="s"/>
      <c r="AA163" s="42" t="s"/>
      <c r="AB163" s="42" t="s"/>
      <c r="AC163" s="582" t="s"/>
      <c r="AD163" s="582" t="s"/>
      <c r="AE163" s="582" t="s"/>
      <c r="AF163" s="582" t="s"/>
      <c r="AG163" s="42" t="s"/>
      <c r="AH163" s="42" t="s"/>
      <c r="AI163" s="42" t="s"/>
      <c r="AJ163" s="42" t="s"/>
    </row>
    <row r="164" spans="1:36" ht="21" customHeight="true">
      <c r="A164" s="43">
        <v>1</v>
      </c>
      <c r="B164" s="42" t="s">
        <v>1201</v>
      </c>
      <c r="C164" s="42" t="s"/>
      <c r="D164" s="42" t="s">
        <v>1202</v>
      </c>
      <c r="E164" s="16" t="s">
        <v>32</v>
      </c>
      <c r="F164" s="16">
        <v>2</v>
      </c>
      <c r="G164" s="49">
        <v>46995100</v>
      </c>
      <c r="H164" s="49">
        <f>=G164</f>
        <v>46995100</v>
      </c>
      <c r="I164" s="119">
        <v>2</v>
      </c>
      <c r="J164" s="649">
        <v>0.33</v>
      </c>
      <c r="K164" s="650">
        <f>=ROUND(S164*(1-J164),2)</f>
        <v>32152295</v>
      </c>
      <c r="L164" s="650">
        <f>=K164</f>
        <v>32152295</v>
      </c>
      <c r="M164" s="617">
        <v>34842491.99</v>
      </c>
      <c r="N164" s="617">
        <f>=M164</f>
        <v>34842491.99</v>
      </c>
      <c r="O164" s="617">
        <v>37200000</v>
      </c>
      <c r="P164" s="617">
        <f>=O164</f>
        <v>37200000</v>
      </c>
      <c r="Q164" s="617">
        <v>36500300</v>
      </c>
      <c r="R164" s="617">
        <f>=Q164</f>
        <v>36500300</v>
      </c>
      <c r="S164" s="38">
        <v>47988500</v>
      </c>
      <c r="T164" s="651">
        <f>=S164</f>
        <v>47988500</v>
      </c>
      <c r="U164" s="42" t="s">
        <v>1203</v>
      </c>
      <c r="V164" s="42" t="s">
        <v>1204</v>
      </c>
      <c r="W164" s="42">
        <v>65000</v>
      </c>
      <c r="X164" s="42">
        <f>=W164*F164</f>
        <v>130000</v>
      </c>
      <c r="Y164" s="41" t="s"/>
      <c r="Z164" s="41" t="s"/>
      <c r="AA164" s="42" t="s"/>
      <c r="AB164" s="42" t="s"/>
      <c r="AC164" s="582" t="s"/>
      <c r="AD164" s="582" t="s"/>
      <c r="AE164" s="582" t="s"/>
      <c r="AF164" s="582" t="s"/>
      <c r="AG164" s="42" t="s"/>
      <c r="AH164" s="42" t="s"/>
      <c r="AI164" s="42" t="s"/>
      <c r="AJ164" s="42" t="s"/>
    </row>
    <row r="165" spans="1:36" ht="21" customHeight="true">
      <c r="A165" s="43">
        <v>2</v>
      </c>
      <c r="B165" s="42" t="s">
        <v>1205</v>
      </c>
      <c r="C165" s="42" t="s"/>
      <c r="D165" s="42" t="s">
        <v>1206</v>
      </c>
      <c r="E165" s="16" t="s">
        <v>36</v>
      </c>
      <c r="F165" s="16">
        <v>2</v>
      </c>
      <c r="G165" s="57" t="s"/>
      <c r="H165" s="621" t="s"/>
      <c r="I165" s="119">
        <v>2</v>
      </c>
      <c r="J165" s="57" t="s"/>
      <c r="K165" s="620" t="s"/>
      <c r="L165" s="620" t="s"/>
      <c r="M165" s="57" t="s"/>
      <c r="N165" s="57" t="s"/>
      <c r="O165" s="57" t="s"/>
      <c r="P165" s="57" t="s"/>
      <c r="Q165" s="57" t="s"/>
      <c r="R165" s="57" t="s"/>
      <c r="S165" s="23" t="s"/>
      <c r="T165" s="621" t="s"/>
      <c r="U165" s="42" t="s">
        <v>1203</v>
      </c>
      <c r="V165" s="42" t="s">
        <v>1204</v>
      </c>
      <c r="W165" s="42">
        <v>150000</v>
      </c>
      <c r="X165" s="42">
        <f>=W165*F165</f>
        <v>300000</v>
      </c>
      <c r="Y165" s="41" t="s"/>
      <c r="Z165" s="41" t="s"/>
      <c r="AA165" s="42" t="s"/>
      <c r="AB165" s="42" t="s"/>
      <c r="AC165" s="582" t="s"/>
      <c r="AD165" s="582" t="s"/>
      <c r="AE165" s="582" t="s"/>
      <c r="AF165" s="582" t="s"/>
      <c r="AG165" s="42" t="s"/>
      <c r="AH165" s="42" t="s"/>
      <c r="AI165" s="42" t="s"/>
      <c r="AJ165" s="42" t="s"/>
    </row>
    <row r="166" spans="1:36" ht="21" customHeight="true">
      <c r="A166" s="43">
        <v>3</v>
      </c>
      <c r="B166" s="42" t="s">
        <v>1207</v>
      </c>
      <c r="C166" s="42" t="s"/>
      <c r="D166" s="42" t="s">
        <v>1208</v>
      </c>
      <c r="E166" s="16" t="s">
        <v>32</v>
      </c>
      <c r="F166" s="16">
        <v>2</v>
      </c>
      <c r="G166" s="57" t="s"/>
      <c r="H166" s="621" t="s"/>
      <c r="I166" s="119">
        <v>2</v>
      </c>
      <c r="J166" s="57" t="s"/>
      <c r="K166" s="620" t="s"/>
      <c r="L166" s="620" t="s"/>
      <c r="M166" s="57" t="s"/>
      <c r="N166" s="57" t="s"/>
      <c r="O166" s="57" t="s"/>
      <c r="P166" s="57" t="s"/>
      <c r="Q166" s="57" t="s"/>
      <c r="R166" s="57" t="s"/>
      <c r="S166" s="23" t="s"/>
      <c r="T166" s="621" t="s"/>
      <c r="U166" s="42" t="s">
        <v>1203</v>
      </c>
      <c r="V166" s="42" t="s">
        <v>1204</v>
      </c>
      <c r="W166" s="42">
        <v>8800</v>
      </c>
      <c r="X166" s="42">
        <f>=W166*F166</f>
        <v>17600</v>
      </c>
      <c r="Y166" s="41" t="s"/>
      <c r="Z166" s="41" t="s"/>
      <c r="AA166" s="42" t="s"/>
      <c r="AB166" s="42" t="s"/>
      <c r="AC166" s="582" t="s"/>
      <c r="AD166" s="582" t="s"/>
      <c r="AE166" s="582" t="s"/>
      <c r="AF166" s="582" t="s"/>
      <c r="AG166" s="42" t="s"/>
      <c r="AH166" s="42" t="s"/>
      <c r="AI166" s="42" t="s"/>
      <c r="AJ166" s="42" t="s"/>
    </row>
    <row r="167" spans="1:36" ht="42" customHeight="true">
      <c r="A167" s="43">
        <v>4</v>
      </c>
      <c r="B167" s="42" t="s">
        <v>1209</v>
      </c>
      <c r="C167" s="42" t="s"/>
      <c r="D167" s="42" t="s">
        <v>1210</v>
      </c>
      <c r="E167" s="16" t="s">
        <v>32</v>
      </c>
      <c r="F167" s="16">
        <v>2</v>
      </c>
      <c r="G167" s="57" t="s"/>
      <c r="H167" s="621" t="s"/>
      <c r="I167" s="119">
        <v>2</v>
      </c>
      <c r="J167" s="57" t="s"/>
      <c r="K167" s="620" t="s"/>
      <c r="L167" s="620" t="s"/>
      <c r="M167" s="57" t="s"/>
      <c r="N167" s="57" t="s"/>
      <c r="O167" s="57" t="s"/>
      <c r="P167" s="57" t="s"/>
      <c r="Q167" s="57" t="s"/>
      <c r="R167" s="57" t="s"/>
      <c r="S167" s="23" t="s"/>
      <c r="T167" s="621" t="s"/>
      <c r="U167" s="42" t="s">
        <v>1203</v>
      </c>
      <c r="V167" s="42" t="s">
        <v>1204</v>
      </c>
      <c r="W167" s="42">
        <v>11800000</v>
      </c>
      <c r="X167" s="42">
        <f>=W167*F167</f>
        <v>23600000</v>
      </c>
      <c r="Y167" s="41" t="s"/>
      <c r="Z167" s="41" t="s"/>
      <c r="AA167" s="42" t="s"/>
      <c r="AB167" s="42" t="s"/>
      <c r="AC167" s="582" t="s"/>
      <c r="AD167" s="582" t="s"/>
      <c r="AE167" s="582" t="s"/>
      <c r="AF167" s="582" t="s"/>
      <c r="AG167" s="42" t="s"/>
      <c r="AH167" s="42" t="s"/>
      <c r="AI167" s="42" t="s"/>
      <c r="AJ167" s="42" t="s"/>
    </row>
    <row r="168" spans="1:36" ht="21" customHeight="true">
      <c r="A168" s="43">
        <v>5</v>
      </c>
      <c r="B168" s="42" t="s">
        <v>1211</v>
      </c>
      <c r="C168" s="42" t="s"/>
      <c r="D168" s="42" t="s">
        <v>1212</v>
      </c>
      <c r="E168" s="16" t="s">
        <v>32</v>
      </c>
      <c r="F168" s="16">
        <v>1</v>
      </c>
      <c r="G168" s="57" t="s"/>
      <c r="H168" s="621" t="s"/>
      <c r="I168" s="119">
        <v>1</v>
      </c>
      <c r="J168" s="57" t="s"/>
      <c r="K168" s="620" t="s"/>
      <c r="L168" s="620" t="s"/>
      <c r="M168" s="57" t="s"/>
      <c r="N168" s="57" t="s"/>
      <c r="O168" s="57" t="s"/>
      <c r="P168" s="57" t="s"/>
      <c r="Q168" s="57" t="s"/>
      <c r="R168" s="57" t="s"/>
      <c r="S168" s="23" t="s"/>
      <c r="T168" s="621" t="s"/>
      <c r="U168" s="42" t="s">
        <v>1203</v>
      </c>
      <c r="V168" s="42" t="s">
        <v>1204</v>
      </c>
      <c r="W168" s="42">
        <v>0</v>
      </c>
      <c r="X168" s="42">
        <f>=W168*F168</f>
        <v>0</v>
      </c>
      <c r="Y168" s="41" t="s"/>
      <c r="Z168" s="41" t="s"/>
      <c r="AA168" s="42" t="s"/>
      <c r="AB168" s="42" t="s"/>
      <c r="AC168" s="582" t="s"/>
      <c r="AD168" s="582" t="s"/>
      <c r="AE168" s="582" t="s"/>
      <c r="AF168" s="582" t="s"/>
      <c r="AG168" s="42" t="s"/>
      <c r="AH168" s="42" t="s"/>
      <c r="AI168" s="42" t="s"/>
      <c r="AJ168" s="42" t="s"/>
    </row>
    <row r="169" spans="1:36" ht="21" customHeight="true">
      <c r="A169" s="43">
        <v>6</v>
      </c>
      <c r="B169" s="42" t="s">
        <v>1213</v>
      </c>
      <c r="C169" s="42" t="s"/>
      <c r="D169" s="42" t="s">
        <v>1214</v>
      </c>
      <c r="E169" s="16" t="s">
        <v>32</v>
      </c>
      <c r="F169" s="16">
        <v>2</v>
      </c>
      <c r="G169" s="57" t="s"/>
      <c r="H169" s="621" t="s"/>
      <c r="I169" s="119">
        <v>2</v>
      </c>
      <c r="J169" s="57" t="s"/>
      <c r="K169" s="620" t="s"/>
      <c r="L169" s="620" t="s"/>
      <c r="M169" s="57" t="s"/>
      <c r="N169" s="57" t="s"/>
      <c r="O169" s="57" t="s"/>
      <c r="P169" s="57" t="s"/>
      <c r="Q169" s="57" t="s"/>
      <c r="R169" s="57" t="s"/>
      <c r="S169" s="23" t="s"/>
      <c r="T169" s="621" t="s"/>
      <c r="U169" s="42" t="s">
        <v>1203</v>
      </c>
      <c r="V169" s="42" t="s">
        <v>1204</v>
      </c>
      <c r="W169" s="42">
        <v>62000</v>
      </c>
      <c r="X169" s="42">
        <f>=W169*F169</f>
        <v>124000</v>
      </c>
      <c r="Y169" s="41" t="s"/>
      <c r="Z169" s="41" t="s"/>
      <c r="AA169" s="42" t="s"/>
      <c r="AB169" s="42" t="s"/>
      <c r="AC169" s="582" t="s"/>
      <c r="AD169" s="582" t="s"/>
      <c r="AE169" s="582" t="s"/>
      <c r="AF169" s="582" t="s"/>
      <c r="AG169" s="42" t="s"/>
      <c r="AH169" s="42" t="s"/>
      <c r="AI169" s="42" t="s"/>
      <c r="AJ169" s="42" t="s"/>
    </row>
    <row r="170" spans="1:36" ht="21" customHeight="true">
      <c r="A170" s="43">
        <v>7</v>
      </c>
      <c r="B170" s="42" t="s">
        <v>1215</v>
      </c>
      <c r="C170" s="42" t="s"/>
      <c r="D170" s="42" t="s">
        <v>1216</v>
      </c>
      <c r="E170" s="16" t="s">
        <v>32</v>
      </c>
      <c r="F170" s="16">
        <v>2</v>
      </c>
      <c r="G170" s="57" t="s"/>
      <c r="H170" s="621" t="s"/>
      <c r="I170" s="119">
        <v>2</v>
      </c>
      <c r="J170" s="57" t="s"/>
      <c r="K170" s="620" t="s"/>
      <c r="L170" s="620" t="s"/>
      <c r="M170" s="57" t="s"/>
      <c r="N170" s="57" t="s"/>
      <c r="O170" s="57" t="s"/>
      <c r="P170" s="57" t="s"/>
      <c r="Q170" s="57" t="s"/>
      <c r="R170" s="57" t="s"/>
      <c r="S170" s="23" t="s"/>
      <c r="T170" s="621" t="s"/>
      <c r="U170" s="42" t="s">
        <v>1203</v>
      </c>
      <c r="V170" s="42" t="s">
        <v>1204</v>
      </c>
      <c r="W170" s="42">
        <v>12100</v>
      </c>
      <c r="X170" s="42">
        <f>=W170*F170</f>
        <v>24200</v>
      </c>
      <c r="Y170" s="41" t="s"/>
      <c r="Z170" s="41" t="s"/>
      <c r="AA170" s="42" t="s"/>
      <c r="AB170" s="42" t="s"/>
      <c r="AC170" s="582" t="s"/>
      <c r="AD170" s="582" t="s"/>
      <c r="AE170" s="582" t="s"/>
      <c r="AF170" s="582" t="s"/>
      <c r="AG170" s="42" t="s"/>
      <c r="AH170" s="42" t="s"/>
      <c r="AI170" s="42" t="s"/>
      <c r="AJ170" s="42" t="s"/>
    </row>
    <row r="171" spans="1:36" ht="21" customHeight="true">
      <c r="A171" s="43">
        <v>8</v>
      </c>
      <c r="B171" s="42" t="s">
        <v>1217</v>
      </c>
      <c r="C171" s="42" t="s"/>
      <c r="D171" s="42" t="s">
        <v>1218</v>
      </c>
      <c r="E171" s="16" t="s">
        <v>32</v>
      </c>
      <c r="F171" s="16">
        <v>2</v>
      </c>
      <c r="G171" s="57" t="s"/>
      <c r="H171" s="621" t="s"/>
      <c r="I171" s="119">
        <v>2</v>
      </c>
      <c r="J171" s="57" t="s"/>
      <c r="K171" s="620" t="s"/>
      <c r="L171" s="620" t="s"/>
      <c r="M171" s="57" t="s"/>
      <c r="N171" s="57" t="s"/>
      <c r="O171" s="57" t="s"/>
      <c r="P171" s="57" t="s"/>
      <c r="Q171" s="57" t="s"/>
      <c r="R171" s="57" t="s"/>
      <c r="S171" s="23" t="s"/>
      <c r="T171" s="621" t="s"/>
      <c r="U171" s="42" t="s">
        <v>1203</v>
      </c>
      <c r="V171" s="42" t="s">
        <v>1204</v>
      </c>
      <c r="W171" s="42">
        <v>33000</v>
      </c>
      <c r="X171" s="42">
        <f>=W171*F171</f>
        <v>66000</v>
      </c>
      <c r="Y171" s="41" t="s"/>
      <c r="Z171" s="41" t="s"/>
      <c r="AA171" s="42" t="s"/>
      <c r="AB171" s="42" t="s"/>
      <c r="AC171" s="582" t="s"/>
      <c r="AD171" s="582" t="s"/>
      <c r="AE171" s="582" t="s"/>
      <c r="AF171" s="582" t="s"/>
      <c r="AG171" s="42" t="s"/>
      <c r="AH171" s="42" t="s"/>
      <c r="AI171" s="42" t="s"/>
      <c r="AJ171" s="42" t="s"/>
    </row>
    <row r="172" spans="1:36" ht="21" customHeight="true">
      <c r="A172" s="43">
        <v>9</v>
      </c>
      <c r="B172" s="42" t="s">
        <v>1219</v>
      </c>
      <c r="C172" s="42" t="s"/>
      <c r="D172" s="42" t="s">
        <v>1220</v>
      </c>
      <c r="E172" s="16" t="s">
        <v>36</v>
      </c>
      <c r="F172" s="16">
        <v>2</v>
      </c>
      <c r="G172" s="57" t="s"/>
      <c r="H172" s="621" t="s"/>
      <c r="I172" s="119">
        <v>2</v>
      </c>
      <c r="J172" s="57" t="s"/>
      <c r="K172" s="620" t="s"/>
      <c r="L172" s="620" t="s"/>
      <c r="M172" s="57" t="s"/>
      <c r="N172" s="57" t="s"/>
      <c r="O172" s="57" t="s"/>
      <c r="P172" s="57" t="s"/>
      <c r="Q172" s="57" t="s"/>
      <c r="R172" s="57" t="s"/>
      <c r="S172" s="23" t="s"/>
      <c r="T172" s="621" t="s"/>
      <c r="U172" s="42" t="s">
        <v>1203</v>
      </c>
      <c r="V172" s="42" t="s">
        <v>1204</v>
      </c>
      <c r="W172" s="42">
        <v>5800</v>
      </c>
      <c r="X172" s="42">
        <f>=W172*F172</f>
        <v>11600</v>
      </c>
      <c r="Y172" s="41" t="s"/>
      <c r="Z172" s="41" t="s"/>
      <c r="AA172" s="42" t="s"/>
      <c r="AB172" s="42" t="s"/>
      <c r="AC172" s="582" t="s"/>
      <c r="AD172" s="582" t="s"/>
      <c r="AE172" s="582" t="s"/>
      <c r="AF172" s="582" t="s"/>
      <c r="AG172" s="42" t="s"/>
      <c r="AH172" s="42" t="s"/>
      <c r="AI172" s="42" t="s"/>
      <c r="AJ172" s="42" t="s"/>
    </row>
    <row r="173" spans="1:36" ht="21" customHeight="true">
      <c r="A173" s="43">
        <v>10</v>
      </c>
      <c r="B173" s="42" t="s">
        <v>1221</v>
      </c>
      <c r="C173" s="42" t="s"/>
      <c r="D173" s="42" t="s">
        <v>1222</v>
      </c>
      <c r="E173" s="16" t="s">
        <v>32</v>
      </c>
      <c r="F173" s="16">
        <v>2</v>
      </c>
      <c r="G173" s="57" t="s"/>
      <c r="H173" s="621" t="s"/>
      <c r="I173" s="119">
        <v>2</v>
      </c>
      <c r="J173" s="57" t="s"/>
      <c r="K173" s="620" t="s"/>
      <c r="L173" s="620" t="s"/>
      <c r="M173" s="57" t="s"/>
      <c r="N173" s="57" t="s"/>
      <c r="O173" s="57" t="s"/>
      <c r="P173" s="57" t="s"/>
      <c r="Q173" s="57" t="s"/>
      <c r="R173" s="57" t="s"/>
      <c r="S173" s="23" t="s"/>
      <c r="T173" s="621" t="s"/>
      <c r="U173" s="42" t="s">
        <v>1203</v>
      </c>
      <c r="V173" s="42" t="s">
        <v>1204</v>
      </c>
      <c r="W173" s="42">
        <v>12500</v>
      </c>
      <c r="X173" s="42">
        <f>=W173*F173</f>
        <v>25000</v>
      </c>
      <c r="Y173" s="41" t="s"/>
      <c r="Z173" s="41" t="s"/>
      <c r="AA173" s="42" t="s"/>
      <c r="AB173" s="42" t="s"/>
      <c r="AC173" s="582" t="s"/>
      <c r="AD173" s="582" t="s"/>
      <c r="AE173" s="582" t="s"/>
      <c r="AF173" s="582" t="s"/>
      <c r="AG173" s="42" t="s"/>
      <c r="AH173" s="42" t="s"/>
      <c r="AI173" s="42" t="s"/>
      <c r="AJ173" s="42" t="s"/>
    </row>
    <row r="174" spans="1:36" ht="21" customHeight="true">
      <c r="A174" s="43">
        <v>11</v>
      </c>
      <c r="B174" s="42" t="s">
        <v>1223</v>
      </c>
      <c r="C174" s="42" t="s"/>
      <c r="D174" s="42" t="s">
        <v>1224</v>
      </c>
      <c r="E174" s="16" t="s">
        <v>32</v>
      </c>
      <c r="F174" s="16">
        <v>1</v>
      </c>
      <c r="G174" s="57" t="s"/>
      <c r="H174" s="621" t="s"/>
      <c r="I174" s="119">
        <v>1</v>
      </c>
      <c r="J174" s="57" t="s"/>
      <c r="K174" s="620" t="s"/>
      <c r="L174" s="620" t="s"/>
      <c r="M174" s="57" t="s"/>
      <c r="N174" s="57" t="s"/>
      <c r="O174" s="57" t="s"/>
      <c r="P174" s="57" t="s"/>
      <c r="Q174" s="57" t="s"/>
      <c r="R174" s="57" t="s"/>
      <c r="S174" s="23" t="s"/>
      <c r="T174" s="621" t="s"/>
      <c r="U174" s="42" t="s">
        <v>1203</v>
      </c>
      <c r="V174" s="42" t="s">
        <v>1204</v>
      </c>
      <c r="W174" s="42">
        <v>280000</v>
      </c>
      <c r="X174" s="42">
        <f>=W174*F174</f>
        <v>280000</v>
      </c>
      <c r="Y174" s="41" t="s"/>
      <c r="Z174" s="41" t="s"/>
      <c r="AA174" s="42" t="s"/>
      <c r="AB174" s="42" t="s"/>
      <c r="AC174" s="582" t="s"/>
      <c r="AD174" s="582" t="s"/>
      <c r="AE174" s="582" t="s"/>
      <c r="AF174" s="582" t="s"/>
      <c r="AG174" s="42" t="s"/>
      <c r="AH174" s="42" t="s"/>
      <c r="AI174" s="42" t="s"/>
      <c r="AJ174" s="42" t="s"/>
    </row>
    <row r="175" spans="1:36" ht="21" customHeight="true">
      <c r="A175" s="43">
        <v>12</v>
      </c>
      <c r="B175" s="42" t="s">
        <v>1225</v>
      </c>
      <c r="C175" s="42" t="s"/>
      <c r="D175" s="42" t="s">
        <v>1226</v>
      </c>
      <c r="E175" s="16" t="s">
        <v>32</v>
      </c>
      <c r="F175" s="16">
        <v>2</v>
      </c>
      <c r="G175" s="57" t="s"/>
      <c r="H175" s="621" t="s"/>
      <c r="I175" s="119">
        <v>2</v>
      </c>
      <c r="J175" s="57" t="s"/>
      <c r="K175" s="620" t="s"/>
      <c r="L175" s="620" t="s"/>
      <c r="M175" s="57" t="s"/>
      <c r="N175" s="57" t="s"/>
      <c r="O175" s="57" t="s"/>
      <c r="P175" s="57" t="s"/>
      <c r="Q175" s="57" t="s"/>
      <c r="R175" s="57" t="s"/>
      <c r="S175" s="23" t="s"/>
      <c r="T175" s="621" t="s"/>
      <c r="U175" s="42" t="s">
        <v>1203</v>
      </c>
      <c r="V175" s="42" t="s">
        <v>1204</v>
      </c>
      <c r="W175" s="42">
        <v>12100</v>
      </c>
      <c r="X175" s="42">
        <f>=W175*F175</f>
        <v>24200</v>
      </c>
      <c r="Y175" s="41" t="s"/>
      <c r="Z175" s="41" t="s"/>
      <c r="AA175" s="42" t="s"/>
      <c r="AB175" s="42" t="s"/>
      <c r="AC175" s="582" t="s"/>
      <c r="AD175" s="582" t="s"/>
      <c r="AE175" s="582" t="s"/>
      <c r="AF175" s="582" t="s"/>
      <c r="AG175" s="42" t="s"/>
      <c r="AH175" s="42" t="s"/>
      <c r="AI175" s="42" t="s"/>
      <c r="AJ175" s="42" t="s"/>
    </row>
    <row r="176" spans="1:36" ht="21" customHeight="true">
      <c r="A176" s="43">
        <v>13</v>
      </c>
      <c r="B176" s="42" t="s">
        <v>1227</v>
      </c>
      <c r="C176" s="42" t="s"/>
      <c r="D176" s="42" t="s">
        <v>1228</v>
      </c>
      <c r="E176" s="16" t="s">
        <v>32</v>
      </c>
      <c r="F176" s="16">
        <v>2</v>
      </c>
      <c r="G176" s="57" t="s"/>
      <c r="H176" s="621" t="s"/>
      <c r="I176" s="119">
        <v>2</v>
      </c>
      <c r="J176" s="57" t="s"/>
      <c r="K176" s="620" t="s"/>
      <c r="L176" s="620" t="s"/>
      <c r="M176" s="57" t="s"/>
      <c r="N176" s="57" t="s"/>
      <c r="O176" s="57" t="s"/>
      <c r="P176" s="57" t="s"/>
      <c r="Q176" s="57" t="s"/>
      <c r="R176" s="57" t="s"/>
      <c r="S176" s="23" t="s"/>
      <c r="T176" s="621" t="s"/>
      <c r="U176" s="42" t="s">
        <v>1203</v>
      </c>
      <c r="V176" s="42" t="s">
        <v>1204</v>
      </c>
      <c r="W176" s="42">
        <v>2380000</v>
      </c>
      <c r="X176" s="42">
        <f>=W176*F176</f>
        <v>4760000</v>
      </c>
      <c r="Y176" s="41" t="s"/>
      <c r="Z176" s="41" t="s"/>
      <c r="AA176" s="42" t="s"/>
      <c r="AB176" s="42" t="s"/>
      <c r="AC176" s="582" t="s"/>
      <c r="AD176" s="582" t="s"/>
      <c r="AE176" s="582" t="s"/>
      <c r="AF176" s="582" t="s"/>
      <c r="AG176" s="42" t="s"/>
      <c r="AH176" s="42" t="s"/>
      <c r="AI176" s="42" t="s"/>
      <c r="AJ176" s="42" t="s"/>
    </row>
    <row r="177" spans="1:36" ht="21" customHeight="true">
      <c r="A177" s="43">
        <v>14</v>
      </c>
      <c r="B177" s="42" t="s">
        <v>1229</v>
      </c>
      <c r="C177" s="42" t="s"/>
      <c r="D177" s="634" t="s">
        <v>1230</v>
      </c>
      <c r="E177" s="16" t="s">
        <v>32</v>
      </c>
      <c r="F177" s="16">
        <v>2</v>
      </c>
      <c r="G177" s="57" t="s"/>
      <c r="H177" s="621" t="s"/>
      <c r="I177" s="119">
        <v>2</v>
      </c>
      <c r="J177" s="57" t="s"/>
      <c r="K177" s="620" t="s"/>
      <c r="L177" s="620" t="s"/>
      <c r="M177" s="57" t="s"/>
      <c r="N177" s="57" t="s"/>
      <c r="O177" s="57" t="s"/>
      <c r="P177" s="57" t="s"/>
      <c r="Q177" s="57" t="s"/>
      <c r="R177" s="57" t="s"/>
      <c r="S177" s="23" t="s"/>
      <c r="T177" s="621" t="s"/>
      <c r="U177" s="42" t="s">
        <v>1203</v>
      </c>
      <c r="V177" s="42" t="s">
        <v>1204</v>
      </c>
      <c r="W177" s="42">
        <v>14300</v>
      </c>
      <c r="X177" s="42">
        <f>=W177*F177</f>
        <v>28600</v>
      </c>
      <c r="Y177" s="41" t="s"/>
      <c r="Z177" s="41" t="s"/>
      <c r="AA177" s="42" t="s"/>
      <c r="AB177" s="42" t="s"/>
      <c r="AC177" s="582" t="s"/>
      <c r="AD177" s="582" t="s"/>
      <c r="AE177" s="582" t="s"/>
      <c r="AF177" s="582" t="s"/>
      <c r="AG177" s="42" t="s"/>
      <c r="AH177" s="42" t="s"/>
      <c r="AI177" s="42" t="s"/>
      <c r="AJ177" s="42" t="s"/>
    </row>
    <row r="178" spans="1:36" ht="21" customHeight="true">
      <c r="A178" s="43">
        <v>15</v>
      </c>
      <c r="B178" s="42" t="s">
        <v>1231</v>
      </c>
      <c r="C178" s="42" t="s"/>
      <c r="D178" s="42" t="s">
        <v>1232</v>
      </c>
      <c r="E178" s="16" t="s">
        <v>32</v>
      </c>
      <c r="F178" s="16">
        <v>2</v>
      </c>
      <c r="G178" s="57" t="s"/>
      <c r="H178" s="621" t="s"/>
      <c r="I178" s="119">
        <v>2</v>
      </c>
      <c r="J178" s="57" t="s"/>
      <c r="K178" s="620" t="s"/>
      <c r="L178" s="620" t="s"/>
      <c r="M178" s="57" t="s"/>
      <c r="N178" s="57" t="s"/>
      <c r="O178" s="57" t="s"/>
      <c r="P178" s="57" t="s"/>
      <c r="Q178" s="57" t="s"/>
      <c r="R178" s="57" t="s"/>
      <c r="S178" s="23" t="s"/>
      <c r="T178" s="621" t="s"/>
      <c r="U178" s="42" t="s">
        <v>1203</v>
      </c>
      <c r="V178" s="42" t="s">
        <v>1204</v>
      </c>
      <c r="W178" s="42">
        <v>95700</v>
      </c>
      <c r="X178" s="42">
        <f>=W178*F178</f>
        <v>191400</v>
      </c>
      <c r="Y178" s="41" t="s"/>
      <c r="Z178" s="41" t="s"/>
      <c r="AA178" s="42" t="s"/>
      <c r="AB178" s="42" t="s"/>
      <c r="AC178" s="582" t="s"/>
      <c r="AD178" s="582" t="s"/>
      <c r="AE178" s="582" t="s"/>
      <c r="AF178" s="582" t="s"/>
      <c r="AG178" s="42" t="s"/>
      <c r="AH178" s="42" t="s"/>
      <c r="AI178" s="42" t="s"/>
      <c r="AJ178" s="42" t="s"/>
    </row>
    <row r="179" spans="1:36" ht="21" customHeight="true">
      <c r="A179" s="43">
        <v>16</v>
      </c>
      <c r="B179" s="42" t="s">
        <v>1233</v>
      </c>
      <c r="C179" s="42" t="s"/>
      <c r="D179" s="42" t="s">
        <v>1234</v>
      </c>
      <c r="E179" s="16" t="s">
        <v>32</v>
      </c>
      <c r="F179" s="16">
        <v>2</v>
      </c>
      <c r="G179" s="57" t="s"/>
      <c r="H179" s="621" t="s"/>
      <c r="I179" s="119">
        <v>2</v>
      </c>
      <c r="J179" s="57" t="s"/>
      <c r="K179" s="620" t="s"/>
      <c r="L179" s="620" t="s"/>
      <c r="M179" s="57" t="s"/>
      <c r="N179" s="57" t="s"/>
      <c r="O179" s="57" t="s"/>
      <c r="P179" s="57" t="s"/>
      <c r="Q179" s="57" t="s"/>
      <c r="R179" s="57" t="s"/>
      <c r="S179" s="23" t="s"/>
      <c r="T179" s="621" t="s"/>
      <c r="U179" s="42" t="s">
        <v>1203</v>
      </c>
      <c r="V179" s="42" t="s">
        <v>1204</v>
      </c>
      <c r="W179" s="42">
        <v>209000</v>
      </c>
      <c r="X179" s="42">
        <f>=W179*F179</f>
        <v>418000</v>
      </c>
      <c r="Y179" s="41" t="s"/>
      <c r="Z179" s="41" t="s"/>
      <c r="AA179" s="42" t="s"/>
      <c r="AB179" s="42" t="s"/>
      <c r="AC179" s="582" t="s"/>
      <c r="AD179" s="582" t="s"/>
      <c r="AE179" s="582" t="s"/>
      <c r="AF179" s="582" t="s"/>
      <c r="AG179" s="42" t="s"/>
      <c r="AH179" s="42" t="s"/>
      <c r="AI179" s="42" t="s"/>
      <c r="AJ179" s="42" t="s"/>
    </row>
    <row r="180" spans="1:36" ht="21" customHeight="true">
      <c r="A180" s="43">
        <v>17</v>
      </c>
      <c r="B180" s="42" t="s">
        <v>1235</v>
      </c>
      <c r="C180" s="42" t="s"/>
      <c r="D180" s="42" t="s">
        <v>1236</v>
      </c>
      <c r="E180" s="16" t="s">
        <v>32</v>
      </c>
      <c r="F180" s="16">
        <v>2</v>
      </c>
      <c r="G180" s="57" t="s"/>
      <c r="H180" s="621" t="s"/>
      <c r="I180" s="119">
        <v>2</v>
      </c>
      <c r="J180" s="57" t="s"/>
      <c r="K180" s="620" t="s"/>
      <c r="L180" s="620" t="s"/>
      <c r="M180" s="57" t="s"/>
      <c r="N180" s="57" t="s"/>
      <c r="O180" s="57" t="s"/>
      <c r="P180" s="57" t="s"/>
      <c r="Q180" s="57" t="s"/>
      <c r="R180" s="57" t="s"/>
      <c r="S180" s="23" t="s"/>
      <c r="T180" s="621" t="s"/>
      <c r="U180" s="42" t="s">
        <v>1203</v>
      </c>
      <c r="V180" s="42" t="s">
        <v>1204</v>
      </c>
      <c r="W180" s="42">
        <v>8600</v>
      </c>
      <c r="X180" s="42">
        <f>=W180*F180</f>
        <v>17200</v>
      </c>
      <c r="Y180" s="41" t="s"/>
      <c r="Z180" s="41" t="s"/>
      <c r="AA180" s="42" t="s"/>
      <c r="AB180" s="42" t="s"/>
      <c r="AC180" s="582" t="s"/>
      <c r="AD180" s="582" t="s"/>
      <c r="AE180" s="582" t="s"/>
      <c r="AF180" s="582" t="s"/>
      <c r="AG180" s="42" t="s"/>
      <c r="AH180" s="42" t="s"/>
      <c r="AI180" s="42" t="s"/>
      <c r="AJ180" s="42" t="s"/>
    </row>
    <row r="181" spans="1:36" ht="21" customHeight="true">
      <c r="A181" s="43">
        <v>18</v>
      </c>
      <c r="B181" s="42" t="s">
        <v>1237</v>
      </c>
      <c r="C181" s="42" t="s"/>
      <c r="D181" s="42" t="s">
        <v>1238</v>
      </c>
      <c r="E181" s="16" t="s">
        <v>32</v>
      </c>
      <c r="F181" s="16">
        <v>2</v>
      </c>
      <c r="G181" s="57" t="s"/>
      <c r="H181" s="621" t="s"/>
      <c r="I181" s="119">
        <v>2</v>
      </c>
      <c r="J181" s="57" t="s"/>
      <c r="K181" s="620" t="s"/>
      <c r="L181" s="620" t="s"/>
      <c r="M181" s="57" t="s"/>
      <c r="N181" s="57" t="s"/>
      <c r="O181" s="57" t="s"/>
      <c r="P181" s="57" t="s"/>
      <c r="Q181" s="57" t="s"/>
      <c r="R181" s="57" t="s"/>
      <c r="S181" s="23" t="s"/>
      <c r="T181" s="621" t="s"/>
      <c r="U181" s="42" t="s">
        <v>1203</v>
      </c>
      <c r="V181" s="42" t="s">
        <v>1204</v>
      </c>
      <c r="W181" s="42">
        <v>9800</v>
      </c>
      <c r="X181" s="42">
        <f>=W181*F181</f>
        <v>19600</v>
      </c>
      <c r="Y181" s="41" t="s"/>
      <c r="Z181" s="41" t="s"/>
      <c r="AA181" s="42" t="s"/>
      <c r="AB181" s="42" t="s"/>
      <c r="AC181" s="582" t="s"/>
      <c r="AD181" s="582" t="s"/>
      <c r="AE181" s="582" t="s"/>
      <c r="AF181" s="582" t="s"/>
      <c r="AG181" s="42" t="s"/>
      <c r="AH181" s="42" t="s"/>
      <c r="AI181" s="42" t="s"/>
      <c r="AJ181" s="42" t="s"/>
    </row>
    <row r="182" spans="1:36" ht="21" customHeight="true">
      <c r="A182" s="43">
        <v>19</v>
      </c>
      <c r="B182" s="42" t="s">
        <v>1239</v>
      </c>
      <c r="C182" s="42" t="s"/>
      <c r="D182" s="42" t="s">
        <v>1240</v>
      </c>
      <c r="E182" s="16" t="s">
        <v>32</v>
      </c>
      <c r="F182" s="16">
        <v>3</v>
      </c>
      <c r="G182" s="57" t="s"/>
      <c r="H182" s="621" t="s"/>
      <c r="I182" s="119">
        <v>3</v>
      </c>
      <c r="J182" s="57" t="s"/>
      <c r="K182" s="620" t="s"/>
      <c r="L182" s="620" t="s"/>
      <c r="M182" s="57" t="s"/>
      <c r="N182" s="57" t="s"/>
      <c r="O182" s="57" t="s"/>
      <c r="P182" s="57" t="s"/>
      <c r="Q182" s="57" t="s"/>
      <c r="R182" s="57" t="s"/>
      <c r="S182" s="23" t="s"/>
      <c r="T182" s="621" t="s"/>
      <c r="U182" s="42" t="s">
        <v>1203</v>
      </c>
      <c r="V182" s="42" t="s">
        <v>1204</v>
      </c>
      <c r="W182" s="42">
        <v>8800</v>
      </c>
      <c r="X182" s="42">
        <f>=W182*F182</f>
        <v>26400</v>
      </c>
      <c r="Y182" s="41" t="s"/>
      <c r="Z182" s="41" t="s"/>
      <c r="AA182" s="42" t="s"/>
      <c r="AB182" s="42" t="s"/>
      <c r="AC182" s="582" t="s"/>
      <c r="AD182" s="582" t="s"/>
      <c r="AE182" s="582" t="s"/>
      <c r="AF182" s="582" t="s"/>
      <c r="AG182" s="42" t="s"/>
      <c r="AH182" s="42" t="s"/>
      <c r="AI182" s="42" t="s"/>
      <c r="AJ182" s="42" t="s"/>
    </row>
    <row r="183" spans="1:36" ht="21" customHeight="true">
      <c r="A183" s="43">
        <v>20</v>
      </c>
      <c r="B183" s="42" t="s">
        <v>1241</v>
      </c>
      <c r="C183" s="42" t="s"/>
      <c r="D183" s="42" t="s">
        <v>1242</v>
      </c>
      <c r="E183" s="16" t="s">
        <v>32</v>
      </c>
      <c r="F183" s="16">
        <v>1</v>
      </c>
      <c r="G183" s="57" t="s"/>
      <c r="H183" s="621" t="s"/>
      <c r="I183" s="119">
        <v>1</v>
      </c>
      <c r="J183" s="57" t="s"/>
      <c r="K183" s="620" t="s"/>
      <c r="L183" s="620" t="s"/>
      <c r="M183" s="57" t="s"/>
      <c r="N183" s="57" t="s"/>
      <c r="O183" s="57" t="s"/>
      <c r="P183" s="57" t="s"/>
      <c r="Q183" s="57" t="s"/>
      <c r="R183" s="57" t="s"/>
      <c r="S183" s="23" t="s"/>
      <c r="T183" s="621" t="s"/>
      <c r="U183" s="42" t="s">
        <v>1203</v>
      </c>
      <c r="V183" s="42" t="s">
        <v>1204</v>
      </c>
      <c r="W183" s="42">
        <v>13200</v>
      </c>
      <c r="X183" s="42">
        <f>=W183*F183</f>
        <v>13200</v>
      </c>
      <c r="Y183" s="41" t="s"/>
      <c r="Z183" s="41" t="s"/>
      <c r="AA183" s="42" t="s"/>
      <c r="AB183" s="42" t="s"/>
      <c r="AC183" s="582" t="s"/>
      <c r="AD183" s="582" t="s"/>
      <c r="AE183" s="582" t="s"/>
      <c r="AF183" s="582" t="s"/>
      <c r="AG183" s="42" t="s"/>
      <c r="AH183" s="42" t="s"/>
      <c r="AI183" s="42" t="s"/>
      <c r="AJ183" s="42" t="s"/>
    </row>
    <row r="184" spans="1:36" ht="21" customHeight="true">
      <c r="A184" s="43">
        <v>21</v>
      </c>
      <c r="B184" s="42" t="s">
        <v>1033</v>
      </c>
      <c r="C184" s="42" t="s"/>
      <c r="D184" s="42" t="s">
        <v>1243</v>
      </c>
      <c r="E184" s="16" t="s">
        <v>32</v>
      </c>
      <c r="F184" s="16">
        <v>2</v>
      </c>
      <c r="G184" s="57" t="s"/>
      <c r="H184" s="621" t="s"/>
      <c r="I184" s="119">
        <v>2</v>
      </c>
      <c r="J184" s="57" t="s"/>
      <c r="K184" s="620" t="s"/>
      <c r="L184" s="620" t="s"/>
      <c r="M184" s="57" t="s"/>
      <c r="N184" s="57" t="s"/>
      <c r="O184" s="57" t="s"/>
      <c r="P184" s="57" t="s"/>
      <c r="Q184" s="57" t="s"/>
      <c r="R184" s="57" t="s"/>
      <c r="S184" s="23" t="s"/>
      <c r="T184" s="621" t="s"/>
      <c r="U184" s="42" t="s">
        <v>1203</v>
      </c>
      <c r="V184" s="42" t="s">
        <v>1204</v>
      </c>
      <c r="W184" s="42">
        <v>50000</v>
      </c>
      <c r="X184" s="42">
        <f>=W184*F184</f>
        <v>100000</v>
      </c>
      <c r="Y184" s="41" t="s"/>
      <c r="Z184" s="41" t="s"/>
      <c r="AA184" s="42" t="s"/>
      <c r="AB184" s="42" t="s"/>
      <c r="AC184" s="582" t="s"/>
      <c r="AD184" s="582" t="s"/>
      <c r="AE184" s="582" t="s"/>
      <c r="AF184" s="582" t="s"/>
      <c r="AG184" s="42" t="s"/>
      <c r="AH184" s="42" t="s"/>
      <c r="AI184" s="42" t="s"/>
      <c r="AJ184" s="42" t="s"/>
    </row>
    <row r="185" spans="1:36" ht="21" customHeight="true">
      <c r="A185" s="43">
        <v>22</v>
      </c>
      <c r="B185" s="42" t="s">
        <v>1035</v>
      </c>
      <c r="C185" s="42" t="s"/>
      <c r="D185" s="42" t="s">
        <v>1244</v>
      </c>
      <c r="E185" s="16" t="s">
        <v>32</v>
      </c>
      <c r="F185" s="16">
        <v>2</v>
      </c>
      <c r="G185" s="57" t="s"/>
      <c r="H185" s="621" t="s"/>
      <c r="I185" s="119">
        <v>2</v>
      </c>
      <c r="J185" s="57" t="s"/>
      <c r="K185" s="620" t="s"/>
      <c r="L185" s="620" t="s"/>
      <c r="M185" s="57" t="s"/>
      <c r="N185" s="57" t="s"/>
      <c r="O185" s="57" t="s"/>
      <c r="P185" s="57" t="s"/>
      <c r="Q185" s="57" t="s"/>
      <c r="R185" s="57" t="s"/>
      <c r="S185" s="23" t="s"/>
      <c r="T185" s="621" t="s"/>
      <c r="U185" s="42" t="s">
        <v>1203</v>
      </c>
      <c r="V185" s="42" t="s">
        <v>1204</v>
      </c>
      <c r="W185" s="42">
        <v>8000</v>
      </c>
      <c r="X185" s="42">
        <f>=W185*F185</f>
        <v>16000</v>
      </c>
      <c r="Y185" s="41" t="s"/>
      <c r="Z185" s="41" t="s"/>
      <c r="AA185" s="42" t="s"/>
      <c r="AB185" s="42" t="s"/>
      <c r="AC185" s="582" t="s"/>
      <c r="AD185" s="582" t="s"/>
      <c r="AE185" s="582" t="s"/>
      <c r="AF185" s="582" t="s"/>
      <c r="AG185" s="42" t="s"/>
      <c r="AH185" s="42" t="s"/>
      <c r="AI185" s="42" t="s"/>
      <c r="AJ185" s="42" t="s"/>
    </row>
    <row r="186" spans="1:36" ht="21" customHeight="true">
      <c r="A186" s="43">
        <v>23</v>
      </c>
      <c r="B186" s="42" t="s">
        <v>1245</v>
      </c>
      <c r="C186" s="42" t="s"/>
      <c r="D186" s="42" t="s">
        <v>1246</v>
      </c>
      <c r="E186" s="16" t="s">
        <v>32</v>
      </c>
      <c r="F186" s="16">
        <v>1</v>
      </c>
      <c r="G186" s="57" t="s"/>
      <c r="H186" s="621" t="s"/>
      <c r="I186" s="119">
        <v>1</v>
      </c>
      <c r="J186" s="57" t="s"/>
      <c r="K186" s="620" t="s"/>
      <c r="L186" s="620" t="s"/>
      <c r="M186" s="57" t="s"/>
      <c r="N186" s="57" t="s"/>
      <c r="O186" s="57" t="s"/>
      <c r="P186" s="57" t="s"/>
      <c r="Q186" s="57" t="s"/>
      <c r="R186" s="57" t="s"/>
      <c r="S186" s="23" t="s"/>
      <c r="T186" s="621" t="s"/>
      <c r="U186" s="42" t="s">
        <v>1203</v>
      </c>
      <c r="V186" s="42" t="s">
        <v>1204</v>
      </c>
      <c r="W186" s="42">
        <v>40000</v>
      </c>
      <c r="X186" s="42">
        <f>=W186*F186</f>
        <v>40000</v>
      </c>
      <c r="Y186" s="41" t="s"/>
      <c r="Z186" s="41" t="s"/>
      <c r="AA186" s="42" t="s"/>
      <c r="AB186" s="42" t="s"/>
      <c r="AC186" s="582" t="s"/>
      <c r="AD186" s="582" t="s"/>
      <c r="AE186" s="582" t="s"/>
      <c r="AF186" s="582" t="s"/>
      <c r="AG186" s="42" t="s"/>
      <c r="AH186" s="42" t="s"/>
      <c r="AI186" s="42" t="s"/>
      <c r="AJ186" s="42" t="s"/>
    </row>
    <row r="187" spans="1:36" ht="21" customHeight="true">
      <c r="A187" s="43">
        <v>24</v>
      </c>
      <c r="B187" s="42" t="s">
        <v>1247</v>
      </c>
      <c r="C187" s="42" t="s"/>
      <c r="D187" s="42" t="s">
        <v>1248</v>
      </c>
      <c r="E187" s="16" t="s">
        <v>32</v>
      </c>
      <c r="F187" s="16">
        <v>1</v>
      </c>
      <c r="G187" s="57" t="s"/>
      <c r="H187" s="621" t="s"/>
      <c r="I187" s="119">
        <v>1</v>
      </c>
      <c r="J187" s="57" t="s"/>
      <c r="K187" s="620" t="s"/>
      <c r="L187" s="620" t="s"/>
      <c r="M187" s="57" t="s"/>
      <c r="N187" s="57" t="s"/>
      <c r="O187" s="57" t="s"/>
      <c r="P187" s="57" t="s"/>
      <c r="Q187" s="57" t="s"/>
      <c r="R187" s="57" t="s"/>
      <c r="S187" s="23" t="s"/>
      <c r="T187" s="621" t="s"/>
      <c r="U187" s="42" t="s">
        <v>1203</v>
      </c>
      <c r="V187" s="42" t="s">
        <v>1204</v>
      </c>
      <c r="W187" s="42">
        <v>14000</v>
      </c>
      <c r="X187" s="42">
        <f>=W187*F187</f>
        <v>14000</v>
      </c>
      <c r="Y187" s="41" t="s"/>
      <c r="Z187" s="41" t="s"/>
      <c r="AA187" s="42" t="s"/>
      <c r="AB187" s="42" t="s"/>
      <c r="AC187" s="582" t="s"/>
      <c r="AD187" s="582" t="s"/>
      <c r="AE187" s="582" t="s"/>
      <c r="AF187" s="582" t="s"/>
      <c r="AG187" s="42" t="s"/>
      <c r="AH187" s="42" t="s"/>
      <c r="AI187" s="42" t="s"/>
      <c r="AJ187" s="42" t="s"/>
    </row>
    <row r="188" spans="1:36" ht="21" customHeight="true">
      <c r="A188" s="43">
        <v>25</v>
      </c>
      <c r="B188" s="42" t="s">
        <v>1249</v>
      </c>
      <c r="C188" s="42" t="s"/>
      <c r="D188" s="42" t="s">
        <v>1250</v>
      </c>
      <c r="E188" s="16" t="s">
        <v>32</v>
      </c>
      <c r="F188" s="16">
        <v>2</v>
      </c>
      <c r="G188" s="57" t="s"/>
      <c r="H188" s="621" t="s"/>
      <c r="I188" s="119">
        <v>2</v>
      </c>
      <c r="J188" s="57" t="s"/>
      <c r="K188" s="620" t="s"/>
      <c r="L188" s="620" t="s"/>
      <c r="M188" s="57" t="s"/>
      <c r="N188" s="57" t="s"/>
      <c r="O188" s="57" t="s"/>
      <c r="P188" s="57" t="s"/>
      <c r="Q188" s="57" t="s"/>
      <c r="R188" s="57" t="s"/>
      <c r="S188" s="23" t="s"/>
      <c r="T188" s="621" t="s"/>
      <c r="U188" s="42" t="s">
        <v>1203</v>
      </c>
      <c r="V188" s="42" t="s">
        <v>1204</v>
      </c>
      <c r="W188" s="42">
        <v>3000</v>
      </c>
      <c r="X188" s="42">
        <f>=W188*F188</f>
        <v>6000</v>
      </c>
      <c r="Y188" s="41" t="s"/>
      <c r="Z188" s="41" t="s"/>
      <c r="AA188" s="42" t="s"/>
      <c r="AB188" s="42" t="s"/>
      <c r="AC188" s="582" t="s"/>
      <c r="AD188" s="582" t="s"/>
      <c r="AE188" s="582" t="s"/>
      <c r="AF188" s="582" t="s"/>
      <c r="AG188" s="42" t="s"/>
      <c r="AH188" s="42" t="s"/>
      <c r="AI188" s="42" t="s"/>
      <c r="AJ188" s="42" t="s"/>
    </row>
    <row r="189" spans="1:36" ht="21" customHeight="true">
      <c r="A189" s="43">
        <v>26</v>
      </c>
      <c r="B189" s="42" t="s">
        <v>605</v>
      </c>
      <c r="C189" s="42" t="s"/>
      <c r="D189" s="42" t="s">
        <v>1251</v>
      </c>
      <c r="E189" s="16" t="s">
        <v>32</v>
      </c>
      <c r="F189" s="16">
        <v>2</v>
      </c>
      <c r="G189" s="57" t="s"/>
      <c r="H189" s="621" t="s"/>
      <c r="I189" s="119">
        <v>2</v>
      </c>
      <c r="J189" s="57" t="s"/>
      <c r="K189" s="620" t="s"/>
      <c r="L189" s="620" t="s"/>
      <c r="M189" s="57" t="s"/>
      <c r="N189" s="57" t="s"/>
      <c r="O189" s="57" t="s"/>
      <c r="P189" s="57" t="s"/>
      <c r="Q189" s="57" t="s"/>
      <c r="R189" s="57" t="s"/>
      <c r="S189" s="23" t="s"/>
      <c r="T189" s="621" t="s"/>
      <c r="U189" s="42" t="s">
        <v>1203</v>
      </c>
      <c r="V189" s="42" t="s">
        <v>1204</v>
      </c>
      <c r="W189" s="42">
        <v>200000</v>
      </c>
      <c r="X189" s="42">
        <f>=W189*F189</f>
        <v>400000</v>
      </c>
      <c r="Y189" s="41" t="s"/>
      <c r="Z189" s="41" t="s"/>
      <c r="AA189" s="42" t="s"/>
      <c r="AB189" s="42" t="s"/>
      <c r="AC189" s="582" t="s"/>
      <c r="AD189" s="582" t="s"/>
      <c r="AE189" s="582" t="s"/>
      <c r="AF189" s="582" t="s"/>
      <c r="AG189" s="42" t="s"/>
      <c r="AH189" s="42" t="s"/>
      <c r="AI189" s="42" t="s"/>
      <c r="AJ189" s="42" t="s"/>
    </row>
    <row r="190" spans="1:36" ht="21" customHeight="true">
      <c r="A190" s="43">
        <v>27</v>
      </c>
      <c r="B190" s="42" t="s">
        <v>1252</v>
      </c>
      <c r="C190" s="42" t="s"/>
      <c r="D190" s="42" t="s">
        <v>1253</v>
      </c>
      <c r="E190" s="16" t="s">
        <v>32</v>
      </c>
      <c r="F190" s="16">
        <v>2</v>
      </c>
      <c r="G190" s="57" t="s"/>
      <c r="H190" s="621" t="s"/>
      <c r="I190" s="119">
        <v>2</v>
      </c>
      <c r="J190" s="57" t="s"/>
      <c r="K190" s="620" t="s"/>
      <c r="L190" s="620" t="s"/>
      <c r="M190" s="57" t="s"/>
      <c r="N190" s="57" t="s"/>
      <c r="O190" s="57" t="s"/>
      <c r="P190" s="57" t="s"/>
      <c r="Q190" s="57" t="s"/>
      <c r="R190" s="57" t="s"/>
      <c r="S190" s="23" t="s"/>
      <c r="T190" s="621" t="s"/>
      <c r="U190" s="42" t="s">
        <v>1203</v>
      </c>
      <c r="V190" s="42" t="s">
        <v>1204</v>
      </c>
      <c r="W190" s="42">
        <v>40000</v>
      </c>
      <c r="X190" s="42">
        <f>=W190*F190</f>
        <v>80000</v>
      </c>
      <c r="Y190" s="41" t="s"/>
      <c r="Z190" s="41" t="s"/>
      <c r="AA190" s="42" t="s"/>
      <c r="AB190" s="42" t="s"/>
      <c r="AC190" s="582" t="s"/>
      <c r="AD190" s="582" t="s"/>
      <c r="AE190" s="582" t="s"/>
      <c r="AF190" s="582" t="s"/>
      <c r="AG190" s="42" t="s"/>
      <c r="AH190" s="42" t="s"/>
      <c r="AI190" s="42" t="s"/>
      <c r="AJ190" s="42" t="s"/>
    </row>
    <row r="191" spans="1:36" ht="21" customHeight="true">
      <c r="A191" s="43">
        <v>28</v>
      </c>
      <c r="B191" s="42" t="s">
        <v>1254</v>
      </c>
      <c r="C191" s="42" t="s"/>
      <c r="D191" s="42" t="s">
        <v>1255</v>
      </c>
      <c r="E191" s="16" t="s">
        <v>32</v>
      </c>
      <c r="F191" s="16">
        <v>2</v>
      </c>
      <c r="G191" s="57" t="s"/>
      <c r="H191" s="621" t="s"/>
      <c r="I191" s="119">
        <v>2</v>
      </c>
      <c r="J191" s="57" t="s"/>
      <c r="K191" s="620" t="s"/>
      <c r="L191" s="620" t="s"/>
      <c r="M191" s="57" t="s"/>
      <c r="N191" s="57" t="s"/>
      <c r="O191" s="57" t="s"/>
      <c r="P191" s="57" t="s"/>
      <c r="Q191" s="57" t="s"/>
      <c r="R191" s="57" t="s"/>
      <c r="S191" s="23" t="s"/>
      <c r="T191" s="621" t="s"/>
      <c r="U191" s="42" t="s">
        <v>1203</v>
      </c>
      <c r="V191" s="42" t="s">
        <v>1204</v>
      </c>
      <c r="W191" s="42">
        <v>150000</v>
      </c>
      <c r="X191" s="42">
        <f>=W191*F191</f>
        <v>300000</v>
      </c>
      <c r="Y191" s="41" t="s"/>
      <c r="Z191" s="41" t="s"/>
      <c r="AA191" s="42" t="s"/>
      <c r="AB191" s="42" t="s"/>
      <c r="AC191" s="582" t="s"/>
      <c r="AD191" s="582" t="s"/>
      <c r="AE191" s="582" t="s"/>
      <c r="AF191" s="582" t="s"/>
      <c r="AG191" s="42" t="s"/>
      <c r="AH191" s="42" t="s"/>
      <c r="AI191" s="42" t="s"/>
      <c r="AJ191" s="42" t="s"/>
    </row>
    <row r="192" spans="1:36" ht="21" customHeight="true">
      <c r="A192" s="43">
        <v>29</v>
      </c>
      <c r="B192" s="42" t="s">
        <v>1256</v>
      </c>
      <c r="C192" s="42" t="s"/>
      <c r="D192" s="42" t="s">
        <v>1257</v>
      </c>
      <c r="E192" s="16" t="s">
        <v>32</v>
      </c>
      <c r="F192" s="16">
        <v>2</v>
      </c>
      <c r="G192" s="57" t="s"/>
      <c r="H192" s="621" t="s"/>
      <c r="I192" s="119">
        <v>2</v>
      </c>
      <c r="J192" s="57" t="s"/>
      <c r="K192" s="620" t="s"/>
      <c r="L192" s="620" t="s"/>
      <c r="M192" s="57" t="s"/>
      <c r="N192" s="57" t="s"/>
      <c r="O192" s="57" t="s"/>
      <c r="P192" s="57" t="s"/>
      <c r="Q192" s="57" t="s"/>
      <c r="R192" s="57" t="s"/>
      <c r="S192" s="23" t="s"/>
      <c r="T192" s="621" t="s"/>
      <c r="U192" s="42" t="s">
        <v>1203</v>
      </c>
      <c r="V192" s="42" t="s">
        <v>1204</v>
      </c>
      <c r="W192" s="42">
        <v>1400000</v>
      </c>
      <c r="X192" s="42">
        <f>=W192*F192</f>
        <v>2800000</v>
      </c>
      <c r="Y192" s="41" t="s"/>
      <c r="Z192" s="41" t="s"/>
      <c r="AA192" s="42" t="s"/>
      <c r="AB192" s="42" t="s"/>
      <c r="AC192" s="582" t="s"/>
      <c r="AD192" s="582" t="s"/>
      <c r="AE192" s="582" t="s"/>
      <c r="AF192" s="582" t="s"/>
      <c r="AG192" s="42" t="s"/>
      <c r="AH192" s="42" t="s"/>
      <c r="AI192" s="42" t="s"/>
      <c r="AJ192" s="42" t="s"/>
    </row>
    <row r="193" spans="1:36" ht="21" customHeight="true">
      <c r="A193" s="43">
        <v>30</v>
      </c>
      <c r="B193" s="42" t="s">
        <v>1258</v>
      </c>
      <c r="C193" s="42" t="s"/>
      <c r="D193" s="42" t="s">
        <v>1259</v>
      </c>
      <c r="E193" s="16" t="s">
        <v>32</v>
      </c>
      <c r="F193" s="16">
        <v>2</v>
      </c>
      <c r="G193" s="57" t="s"/>
      <c r="H193" s="621" t="s"/>
      <c r="I193" s="119">
        <v>2</v>
      </c>
      <c r="J193" s="57" t="s"/>
      <c r="K193" s="620" t="s"/>
      <c r="L193" s="620" t="s"/>
      <c r="M193" s="57" t="s"/>
      <c r="N193" s="57" t="s"/>
      <c r="O193" s="57" t="s"/>
      <c r="P193" s="57" t="s"/>
      <c r="Q193" s="57" t="s"/>
      <c r="R193" s="57" t="s"/>
      <c r="S193" s="23" t="s"/>
      <c r="T193" s="621" t="s"/>
      <c r="U193" s="42" t="s">
        <v>1203</v>
      </c>
      <c r="V193" s="42" t="s">
        <v>1204</v>
      </c>
      <c r="W193" s="42">
        <v>750000</v>
      </c>
      <c r="X193" s="42">
        <f>=W193*F193</f>
        <v>1500000</v>
      </c>
      <c r="Y193" s="41" t="s"/>
      <c r="Z193" s="41" t="s"/>
      <c r="AA193" s="42" t="s"/>
      <c r="AB193" s="42" t="s"/>
      <c r="AC193" s="582" t="s"/>
      <c r="AD193" s="582" t="s"/>
      <c r="AE193" s="582" t="s"/>
      <c r="AF193" s="582" t="s"/>
      <c r="AG193" s="42" t="s"/>
      <c r="AH193" s="42" t="s"/>
      <c r="AI193" s="42" t="s"/>
      <c r="AJ193" s="42" t="s"/>
    </row>
    <row r="194" spans="1:36" ht="21" customHeight="true">
      <c r="A194" s="43">
        <v>31</v>
      </c>
      <c r="B194" s="42" t="s">
        <v>1260</v>
      </c>
      <c r="C194" s="42" t="s"/>
      <c r="D194" s="42" t="s">
        <v>1261</v>
      </c>
      <c r="E194" s="16" t="s">
        <v>32</v>
      </c>
      <c r="F194" s="16">
        <v>2</v>
      </c>
      <c r="G194" s="57" t="s"/>
      <c r="H194" s="621" t="s"/>
      <c r="I194" s="119">
        <v>2</v>
      </c>
      <c r="J194" s="57" t="s"/>
      <c r="K194" s="620" t="s"/>
      <c r="L194" s="620" t="s"/>
      <c r="M194" s="57" t="s"/>
      <c r="N194" s="57" t="s"/>
      <c r="O194" s="57" t="s"/>
      <c r="P194" s="57" t="s"/>
      <c r="Q194" s="57" t="s"/>
      <c r="R194" s="57" t="s"/>
      <c r="S194" s="23" t="s"/>
      <c r="T194" s="621" t="s"/>
      <c r="U194" s="42" t="s">
        <v>1203</v>
      </c>
      <c r="V194" s="42" t="s">
        <v>1204</v>
      </c>
      <c r="W194" s="42">
        <v>700000</v>
      </c>
      <c r="X194" s="42">
        <f>=W194*F194</f>
        <v>1400000</v>
      </c>
      <c r="Y194" s="41" t="s"/>
      <c r="Z194" s="41" t="s"/>
      <c r="AA194" s="42" t="s"/>
      <c r="AB194" s="42" t="s"/>
      <c r="AC194" s="582" t="s"/>
      <c r="AD194" s="582" t="s"/>
      <c r="AE194" s="582" t="s"/>
      <c r="AF194" s="582" t="s"/>
      <c r="AG194" s="42" t="s"/>
      <c r="AH194" s="42" t="s"/>
      <c r="AI194" s="42" t="s"/>
      <c r="AJ194" s="42" t="s"/>
    </row>
    <row r="195" spans="1:36" ht="21" customHeight="true">
      <c r="A195" s="43">
        <v>32</v>
      </c>
      <c r="B195" s="42" t="s">
        <v>611</v>
      </c>
      <c r="C195" s="42" t="s"/>
      <c r="D195" s="42" t="s">
        <v>1262</v>
      </c>
      <c r="E195" s="16" t="s">
        <v>32</v>
      </c>
      <c r="F195" s="16">
        <v>2</v>
      </c>
      <c r="G195" s="57" t="s"/>
      <c r="H195" s="621" t="s"/>
      <c r="I195" s="119">
        <v>2</v>
      </c>
      <c r="J195" s="57" t="s"/>
      <c r="K195" s="620" t="s"/>
      <c r="L195" s="620" t="s"/>
      <c r="M195" s="57" t="s"/>
      <c r="N195" s="57" t="s"/>
      <c r="O195" s="57" t="s"/>
      <c r="P195" s="57" t="s"/>
      <c r="Q195" s="57" t="s"/>
      <c r="R195" s="57" t="s"/>
      <c r="S195" s="23" t="s"/>
      <c r="T195" s="621" t="s"/>
      <c r="U195" s="42" t="s">
        <v>1203</v>
      </c>
      <c r="V195" s="42" t="s">
        <v>1204</v>
      </c>
      <c r="W195" s="42">
        <v>50000</v>
      </c>
      <c r="X195" s="42">
        <f>=W195*F195</f>
        <v>100000</v>
      </c>
      <c r="Y195" s="41" t="s"/>
      <c r="Z195" s="41" t="s"/>
      <c r="AA195" s="42" t="s"/>
      <c r="AB195" s="42" t="s"/>
      <c r="AC195" s="582" t="s"/>
      <c r="AD195" s="582" t="s"/>
      <c r="AE195" s="582" t="s"/>
      <c r="AF195" s="582" t="s"/>
      <c r="AG195" s="42" t="s"/>
      <c r="AH195" s="42" t="s"/>
      <c r="AI195" s="42" t="s"/>
      <c r="AJ195" s="42" t="s"/>
    </row>
    <row r="196" spans="1:36" ht="21" customHeight="true">
      <c r="A196" s="43">
        <v>33</v>
      </c>
      <c r="B196" s="42" t="s">
        <v>611</v>
      </c>
      <c r="C196" s="42" t="s"/>
      <c r="D196" s="42" t="s">
        <v>1263</v>
      </c>
      <c r="E196" s="16" t="s">
        <v>32</v>
      </c>
      <c r="F196" s="16">
        <v>1</v>
      </c>
      <c r="G196" s="57" t="s"/>
      <c r="H196" s="621" t="s"/>
      <c r="I196" s="119">
        <v>1</v>
      </c>
      <c r="J196" s="57" t="s"/>
      <c r="K196" s="620" t="s"/>
      <c r="L196" s="620" t="s"/>
      <c r="M196" s="57" t="s"/>
      <c r="N196" s="57" t="s"/>
      <c r="O196" s="57" t="s"/>
      <c r="P196" s="57" t="s"/>
      <c r="Q196" s="57" t="s"/>
      <c r="R196" s="57" t="s"/>
      <c r="S196" s="23" t="s"/>
      <c r="T196" s="621" t="s"/>
      <c r="U196" s="42" t="s">
        <v>1203</v>
      </c>
      <c r="V196" s="42" t="s">
        <v>1204</v>
      </c>
      <c r="W196" s="42">
        <v>80000</v>
      </c>
      <c r="X196" s="42">
        <f>=W196*F196</f>
        <v>80000</v>
      </c>
      <c r="Y196" s="41" t="s"/>
      <c r="Z196" s="41" t="s"/>
      <c r="AA196" s="42" t="s"/>
      <c r="AB196" s="42" t="s"/>
      <c r="AC196" s="582" t="s"/>
      <c r="AD196" s="582" t="s"/>
      <c r="AE196" s="582" t="s"/>
      <c r="AF196" s="582" t="s"/>
      <c r="AG196" s="42" t="s"/>
      <c r="AH196" s="42" t="s"/>
      <c r="AI196" s="42" t="s"/>
      <c r="AJ196" s="42" t="s"/>
    </row>
    <row r="197" spans="1:36" ht="21" customHeight="true">
      <c r="A197" s="43">
        <v>34</v>
      </c>
      <c r="B197" s="42" t="s">
        <v>1264</v>
      </c>
      <c r="C197" s="42" t="s"/>
      <c r="D197" s="42" t="s">
        <v>1265</v>
      </c>
      <c r="E197" s="16" t="s">
        <v>32</v>
      </c>
      <c r="F197" s="652">
        <v>1</v>
      </c>
      <c r="G197" s="57" t="s"/>
      <c r="H197" s="621" t="s"/>
      <c r="I197" s="119">
        <v>1</v>
      </c>
      <c r="J197" s="57" t="s"/>
      <c r="K197" s="620" t="s"/>
      <c r="L197" s="620" t="s"/>
      <c r="M197" s="57" t="s"/>
      <c r="N197" s="57" t="s"/>
      <c r="O197" s="57" t="s"/>
      <c r="P197" s="57" t="s"/>
      <c r="Q197" s="57" t="s"/>
      <c r="R197" s="57" t="s"/>
      <c r="S197" s="23" t="s"/>
      <c r="T197" s="621" t="s"/>
      <c r="U197" s="42" t="s">
        <v>1203</v>
      </c>
      <c r="V197" s="42" t="s">
        <v>1204</v>
      </c>
      <c r="W197" s="42">
        <v>5500</v>
      </c>
      <c r="X197" s="42">
        <f>=W197*F197</f>
        <v>5500</v>
      </c>
      <c r="Y197" s="41" t="s"/>
      <c r="Z197" s="41" t="s"/>
      <c r="AA197" s="42" t="s"/>
      <c r="AB197" s="42" t="s"/>
      <c r="AC197" s="582" t="s"/>
      <c r="AD197" s="582" t="s"/>
      <c r="AE197" s="582" t="s"/>
      <c r="AF197" s="582" t="s"/>
      <c r="AG197" s="42" t="s"/>
      <c r="AH197" s="42" t="s"/>
      <c r="AI197" s="42" t="s"/>
      <c r="AJ197" s="42" t="s"/>
    </row>
    <row r="198" spans="1:36" ht="21" customHeight="true">
      <c r="A198" s="653">
        <v>35</v>
      </c>
      <c r="B198" s="487" t="s">
        <v>1266</v>
      </c>
      <c r="C198" s="487" t="s"/>
      <c r="D198" s="487" t="s">
        <v>1267</v>
      </c>
      <c r="E198" s="486" t="s">
        <v>32</v>
      </c>
      <c r="F198" s="486">
        <v>2</v>
      </c>
      <c r="G198" s="57" t="s"/>
      <c r="H198" s="621" t="s"/>
      <c r="I198" s="119">
        <v>2</v>
      </c>
      <c r="J198" s="57" t="s"/>
      <c r="K198" s="620" t="s"/>
      <c r="L198" s="620" t="s"/>
      <c r="M198" s="57" t="s"/>
      <c r="N198" s="57" t="s"/>
      <c r="O198" s="57" t="s"/>
      <c r="P198" s="57" t="s"/>
      <c r="Q198" s="57" t="s"/>
      <c r="R198" s="57" t="s"/>
      <c r="S198" s="23" t="s"/>
      <c r="T198" s="621" t="s"/>
      <c r="U198" s="42" t="s">
        <v>1203</v>
      </c>
      <c r="V198" s="42" t="s">
        <v>1204</v>
      </c>
      <c r="W198" s="42" t="s"/>
      <c r="X198" s="42" t="s"/>
      <c r="Y198" s="41" t="s"/>
      <c r="Z198" s="41" t="s"/>
      <c r="AA198" s="42" t="s"/>
      <c r="AB198" s="42" t="s"/>
      <c r="AC198" s="582" t="s"/>
      <c r="AD198" s="582" t="s"/>
      <c r="AE198" s="582" t="s"/>
      <c r="AF198" s="582" t="s"/>
      <c r="AG198" s="42" t="s"/>
      <c r="AH198" s="42" t="s"/>
      <c r="AI198" s="42" t="s"/>
      <c r="AJ198" s="42" t="s"/>
    </row>
    <row r="199" spans="1:36" ht="21" customHeight="true">
      <c r="A199" s="653">
        <v>36</v>
      </c>
      <c r="B199" s="487" t="s">
        <v>1266</v>
      </c>
      <c r="C199" s="487" t="s"/>
      <c r="D199" s="487" t="s">
        <v>1268</v>
      </c>
      <c r="E199" s="486" t="s">
        <v>32</v>
      </c>
      <c r="F199" s="486">
        <v>2</v>
      </c>
      <c r="G199" s="57" t="s"/>
      <c r="H199" s="621" t="s"/>
      <c r="I199" s="119">
        <v>2</v>
      </c>
      <c r="J199" s="57" t="s"/>
      <c r="K199" s="620" t="s"/>
      <c r="L199" s="620" t="s"/>
      <c r="M199" s="57" t="s"/>
      <c r="N199" s="57" t="s"/>
      <c r="O199" s="57" t="s"/>
      <c r="P199" s="57" t="s"/>
      <c r="Q199" s="57" t="s"/>
      <c r="R199" s="57" t="s"/>
      <c r="S199" s="23" t="s"/>
      <c r="T199" s="621" t="s"/>
      <c r="U199" s="42" t="s">
        <v>1203</v>
      </c>
      <c r="V199" s="42" t="s">
        <v>1204</v>
      </c>
      <c r="W199" s="42" t="s"/>
      <c r="X199" s="42" t="s"/>
      <c r="Y199" s="41" t="s"/>
      <c r="Z199" s="41" t="s"/>
      <c r="AA199" s="42" t="s"/>
      <c r="AB199" s="42" t="s"/>
      <c r="AC199" s="582" t="s"/>
      <c r="AD199" s="582" t="s"/>
      <c r="AE199" s="582" t="s"/>
      <c r="AF199" s="582" t="s"/>
      <c r="AG199" s="42" t="s"/>
      <c r="AH199" s="42" t="s"/>
      <c r="AI199" s="42" t="s"/>
      <c r="AJ199" s="42" t="s"/>
    </row>
    <row r="200" spans="1:36" ht="21" customHeight="true">
      <c r="A200" s="653">
        <v>37</v>
      </c>
      <c r="B200" s="487" t="s">
        <v>657</v>
      </c>
      <c r="C200" s="487" t="s"/>
      <c r="D200" s="487" t="s">
        <v>1269</v>
      </c>
      <c r="E200" s="486" t="s">
        <v>32</v>
      </c>
      <c r="F200" s="486">
        <f>=1+6</f>
        <v>7</v>
      </c>
      <c r="G200" s="57" t="s"/>
      <c r="H200" s="621" t="s"/>
      <c r="I200" s="119">
        <v>7</v>
      </c>
      <c r="J200" s="57" t="s"/>
      <c r="K200" s="620" t="s"/>
      <c r="L200" s="620" t="s"/>
      <c r="M200" s="57" t="s"/>
      <c r="N200" s="57" t="s"/>
      <c r="O200" s="57" t="s"/>
      <c r="P200" s="57" t="s"/>
      <c r="Q200" s="57" t="s"/>
      <c r="R200" s="57" t="s"/>
      <c r="S200" s="23" t="s"/>
      <c r="T200" s="621" t="s"/>
      <c r="U200" s="42" t="s">
        <v>1203</v>
      </c>
      <c r="V200" s="42" t="s">
        <v>1204</v>
      </c>
      <c r="W200" s="42" t="s"/>
      <c r="X200" s="42" t="s"/>
      <c r="Y200" s="41" t="s"/>
      <c r="Z200" s="41" t="s"/>
      <c r="AA200" s="42" t="s"/>
      <c r="AB200" s="42" t="s"/>
      <c r="AC200" s="582" t="s"/>
      <c r="AD200" s="582" t="s"/>
      <c r="AE200" s="582" t="s"/>
      <c r="AF200" s="582" t="s"/>
      <c r="AG200" s="42" t="s"/>
      <c r="AH200" s="42" t="s"/>
      <c r="AI200" s="42" t="s"/>
      <c r="AJ200" s="42" t="s"/>
    </row>
    <row r="201" spans="1:36" ht="21" customHeight="true">
      <c r="A201" s="653">
        <v>38</v>
      </c>
      <c r="B201" s="487" t="s">
        <v>632</v>
      </c>
      <c r="C201" s="487" t="s"/>
      <c r="D201" s="487" t="s">
        <v>1268</v>
      </c>
      <c r="E201" s="486" t="s">
        <v>32</v>
      </c>
      <c r="F201" s="486">
        <v>2</v>
      </c>
      <c r="G201" s="57" t="s"/>
      <c r="H201" s="621" t="s"/>
      <c r="I201" s="119">
        <v>2</v>
      </c>
      <c r="J201" s="57" t="s"/>
      <c r="K201" s="620" t="s"/>
      <c r="L201" s="620" t="s"/>
      <c r="M201" s="57" t="s"/>
      <c r="N201" s="57" t="s"/>
      <c r="O201" s="57" t="s"/>
      <c r="P201" s="57" t="s"/>
      <c r="Q201" s="57" t="s"/>
      <c r="R201" s="57" t="s"/>
      <c r="S201" s="23" t="s"/>
      <c r="T201" s="621" t="s"/>
      <c r="U201" s="42" t="s">
        <v>1203</v>
      </c>
      <c r="V201" s="42" t="s">
        <v>1204</v>
      </c>
      <c r="W201" s="42" t="s"/>
      <c r="X201" s="42" t="s"/>
      <c r="Y201" s="41" t="s"/>
      <c r="Z201" s="41" t="s"/>
      <c r="AA201" s="42" t="s"/>
      <c r="AB201" s="42" t="s"/>
      <c r="AC201" s="582" t="s"/>
      <c r="AD201" s="582" t="s"/>
      <c r="AE201" s="582" t="s"/>
      <c r="AF201" s="582" t="s"/>
      <c r="AG201" s="42" t="s"/>
      <c r="AH201" s="42" t="s"/>
      <c r="AI201" s="42" t="s"/>
      <c r="AJ201" s="42" t="s"/>
    </row>
    <row r="202" spans="1:36" ht="21" customHeight="true">
      <c r="A202" s="653">
        <v>39</v>
      </c>
      <c r="B202" s="487" t="s">
        <v>1270</v>
      </c>
      <c r="C202" s="487" t="s"/>
      <c r="D202" s="487" t="s">
        <v>1271</v>
      </c>
      <c r="E202" s="486" t="s">
        <v>32</v>
      </c>
      <c r="F202" s="486">
        <v>2</v>
      </c>
      <c r="G202" s="57" t="s"/>
      <c r="H202" s="621" t="s"/>
      <c r="I202" s="119">
        <v>2</v>
      </c>
      <c r="J202" s="57" t="s"/>
      <c r="K202" s="620" t="s"/>
      <c r="L202" s="620" t="s"/>
      <c r="M202" s="57" t="s"/>
      <c r="N202" s="57" t="s"/>
      <c r="O202" s="57" t="s"/>
      <c r="P202" s="57" t="s"/>
      <c r="Q202" s="57" t="s"/>
      <c r="R202" s="57" t="s"/>
      <c r="S202" s="23" t="s"/>
      <c r="T202" s="621" t="s"/>
      <c r="U202" s="42" t="s">
        <v>1203</v>
      </c>
      <c r="V202" s="42" t="s">
        <v>1204</v>
      </c>
      <c r="W202" s="42" t="s"/>
      <c r="X202" s="42" t="s"/>
      <c r="Y202" s="41" t="s"/>
      <c r="Z202" s="41" t="s"/>
      <c r="AA202" s="42" t="s"/>
      <c r="AB202" s="42" t="s"/>
      <c r="AC202" s="582" t="s"/>
      <c r="AD202" s="582" t="s"/>
      <c r="AE202" s="582" t="s"/>
      <c r="AF202" s="582" t="s"/>
      <c r="AG202" s="42" t="s"/>
      <c r="AH202" s="42" t="s"/>
      <c r="AI202" s="42" t="s"/>
      <c r="AJ202" s="42" t="s"/>
    </row>
    <row r="203" spans="1:36" ht="21" customHeight="true">
      <c r="A203" s="653">
        <v>40</v>
      </c>
      <c r="B203" s="487" t="s">
        <v>635</v>
      </c>
      <c r="C203" s="487" t="s"/>
      <c r="D203" s="487" t="s">
        <v>1272</v>
      </c>
      <c r="E203" s="486" t="s">
        <v>32</v>
      </c>
      <c r="F203" s="486">
        <f>=2+2+2</f>
        <v>6</v>
      </c>
      <c r="G203" s="57" t="s"/>
      <c r="H203" s="621" t="s"/>
      <c r="I203" s="119">
        <v>6</v>
      </c>
      <c r="J203" s="57" t="s"/>
      <c r="K203" s="620" t="s"/>
      <c r="L203" s="620" t="s"/>
      <c r="M203" s="57" t="s"/>
      <c r="N203" s="57" t="s"/>
      <c r="O203" s="57" t="s"/>
      <c r="P203" s="57" t="s"/>
      <c r="Q203" s="57" t="s"/>
      <c r="R203" s="57" t="s"/>
      <c r="S203" s="23" t="s"/>
      <c r="T203" s="621" t="s"/>
      <c r="U203" s="42" t="s">
        <v>1203</v>
      </c>
      <c r="V203" s="42" t="s">
        <v>1204</v>
      </c>
      <c r="W203" s="42" t="s"/>
      <c r="X203" s="42" t="s"/>
      <c r="Y203" s="41" t="s"/>
      <c r="Z203" s="41" t="s"/>
      <c r="AA203" s="42" t="s"/>
      <c r="AB203" s="42" t="s"/>
      <c r="AC203" s="582" t="s"/>
      <c r="AD203" s="582" t="s"/>
      <c r="AE203" s="582" t="s"/>
      <c r="AF203" s="582" t="s"/>
      <c r="AG203" s="42" t="s"/>
      <c r="AH203" s="42" t="s"/>
      <c r="AI203" s="42" t="s"/>
      <c r="AJ203" s="42" t="s"/>
    </row>
    <row r="204" spans="1:36" ht="21" customHeight="true">
      <c r="A204" s="653">
        <v>41</v>
      </c>
      <c r="B204" s="487" t="s">
        <v>646</v>
      </c>
      <c r="C204" s="487" t="s"/>
      <c r="D204" s="487" t="s">
        <v>1268</v>
      </c>
      <c r="E204" s="486" t="s">
        <v>32</v>
      </c>
      <c r="F204" s="486">
        <v>2</v>
      </c>
      <c r="G204" s="57" t="s"/>
      <c r="H204" s="621" t="s"/>
      <c r="I204" s="119">
        <v>2</v>
      </c>
      <c r="J204" s="57" t="s"/>
      <c r="K204" s="620" t="s"/>
      <c r="L204" s="620" t="s"/>
      <c r="M204" s="57" t="s"/>
      <c r="N204" s="57" t="s"/>
      <c r="O204" s="57" t="s"/>
      <c r="P204" s="57" t="s"/>
      <c r="Q204" s="57" t="s"/>
      <c r="R204" s="57" t="s"/>
      <c r="S204" s="23" t="s"/>
      <c r="T204" s="621" t="s"/>
      <c r="U204" s="42" t="s">
        <v>1203</v>
      </c>
      <c r="V204" s="42" t="s">
        <v>1204</v>
      </c>
      <c r="W204" s="42" t="s"/>
      <c r="X204" s="42" t="s"/>
      <c r="Y204" s="41" t="s"/>
      <c r="Z204" s="41" t="s"/>
      <c r="AA204" s="42" t="s"/>
      <c r="AB204" s="42" t="s"/>
      <c r="AC204" s="582" t="s"/>
      <c r="AD204" s="582" t="s"/>
      <c r="AE204" s="582" t="s"/>
      <c r="AF204" s="582" t="s"/>
      <c r="AG204" s="42" t="s"/>
      <c r="AH204" s="42" t="s"/>
      <c r="AI204" s="42" t="s"/>
      <c r="AJ204" s="42" t="s"/>
    </row>
    <row r="205" spans="1:36" ht="21" customHeight="true">
      <c r="A205" s="653">
        <v>42</v>
      </c>
      <c r="B205" s="487" t="s">
        <v>632</v>
      </c>
      <c r="C205" s="487" t="s"/>
      <c r="D205" s="487" t="s">
        <v>1268</v>
      </c>
      <c r="E205" s="486" t="s">
        <v>32</v>
      </c>
      <c r="F205" s="486">
        <v>2</v>
      </c>
      <c r="G205" s="57" t="s"/>
      <c r="H205" s="621" t="s"/>
      <c r="I205" s="119">
        <v>2</v>
      </c>
      <c r="J205" s="57" t="s"/>
      <c r="K205" s="620" t="s"/>
      <c r="L205" s="620" t="s"/>
      <c r="M205" s="57" t="s"/>
      <c r="N205" s="57" t="s"/>
      <c r="O205" s="57" t="s"/>
      <c r="P205" s="57" t="s"/>
      <c r="Q205" s="57" t="s"/>
      <c r="R205" s="57" t="s"/>
      <c r="S205" s="23" t="s"/>
      <c r="T205" s="621" t="s"/>
      <c r="U205" s="42" t="s">
        <v>1203</v>
      </c>
      <c r="V205" s="42" t="s">
        <v>1204</v>
      </c>
      <c r="W205" s="42" t="s"/>
      <c r="X205" s="42" t="s"/>
      <c r="Y205" s="41" t="s"/>
      <c r="Z205" s="41" t="s"/>
      <c r="AA205" s="42" t="s"/>
      <c r="AB205" s="42" t="s"/>
      <c r="AC205" s="582" t="s"/>
      <c r="AD205" s="582" t="s"/>
      <c r="AE205" s="582" t="s"/>
      <c r="AF205" s="582" t="s"/>
      <c r="AG205" s="42" t="s"/>
      <c r="AH205" s="42" t="s"/>
      <c r="AI205" s="42" t="s"/>
      <c r="AJ205" s="42" t="s"/>
    </row>
    <row r="206" spans="1:36" ht="21" customHeight="true">
      <c r="A206" s="653">
        <v>43</v>
      </c>
      <c r="B206" s="487" t="s">
        <v>657</v>
      </c>
      <c r="C206" s="487" t="s"/>
      <c r="D206" s="487" t="s">
        <v>1269</v>
      </c>
      <c r="E206" s="486" t="s">
        <v>32</v>
      </c>
      <c r="F206" s="486">
        <v>6</v>
      </c>
      <c r="G206" s="57" t="s"/>
      <c r="H206" s="621" t="s"/>
      <c r="I206" s="119">
        <v>6</v>
      </c>
      <c r="J206" s="57" t="s"/>
      <c r="K206" s="620" t="s"/>
      <c r="L206" s="620" t="s"/>
      <c r="M206" s="57" t="s"/>
      <c r="N206" s="57" t="s"/>
      <c r="O206" s="57" t="s"/>
      <c r="P206" s="57" t="s"/>
      <c r="Q206" s="57" t="s"/>
      <c r="R206" s="57" t="s"/>
      <c r="S206" s="23" t="s"/>
      <c r="T206" s="621" t="s"/>
      <c r="U206" s="42" t="s">
        <v>1203</v>
      </c>
      <c r="V206" s="42" t="s">
        <v>1204</v>
      </c>
      <c r="W206" s="42" t="s"/>
      <c r="X206" s="42" t="s"/>
      <c r="Y206" s="41" t="s"/>
      <c r="Z206" s="41" t="s"/>
      <c r="AA206" s="42" t="s"/>
      <c r="AB206" s="42" t="s"/>
      <c r="AC206" s="582" t="s"/>
      <c r="AD206" s="582" t="s"/>
      <c r="AE206" s="582" t="s"/>
      <c r="AF206" s="582" t="s"/>
      <c r="AG206" s="42" t="s"/>
      <c r="AH206" s="42" t="s"/>
      <c r="AI206" s="42" t="s"/>
      <c r="AJ206" s="42" t="s"/>
    </row>
    <row r="207" spans="1:36" ht="21" customHeight="true">
      <c r="A207" s="653">
        <v>44</v>
      </c>
      <c r="B207" s="487" t="s">
        <v>657</v>
      </c>
      <c r="C207" s="487" t="s"/>
      <c r="D207" s="487" t="s">
        <v>1273</v>
      </c>
      <c r="E207" s="486" t="s">
        <v>32</v>
      </c>
      <c r="F207" s="486">
        <v>4</v>
      </c>
      <c r="G207" s="57" t="s"/>
      <c r="H207" s="621" t="s"/>
      <c r="I207" s="119">
        <v>4</v>
      </c>
      <c r="J207" s="57" t="s"/>
      <c r="K207" s="620" t="s"/>
      <c r="L207" s="620" t="s"/>
      <c r="M207" s="57" t="s"/>
      <c r="N207" s="57" t="s"/>
      <c r="O207" s="57" t="s"/>
      <c r="P207" s="57" t="s"/>
      <c r="Q207" s="57" t="s"/>
      <c r="R207" s="57" t="s"/>
      <c r="S207" s="23" t="s"/>
      <c r="T207" s="621" t="s"/>
      <c r="U207" s="42" t="s">
        <v>1203</v>
      </c>
      <c r="V207" s="42" t="s">
        <v>1204</v>
      </c>
      <c r="W207" s="42" t="s"/>
      <c r="X207" s="42" t="s"/>
      <c r="Y207" s="41" t="s"/>
      <c r="Z207" s="41" t="s"/>
      <c r="AA207" s="42" t="s"/>
      <c r="AB207" s="42" t="s"/>
      <c r="AC207" s="582" t="s"/>
      <c r="AD207" s="582" t="s"/>
      <c r="AE207" s="582" t="s"/>
      <c r="AF207" s="582" t="s"/>
      <c r="AG207" s="42" t="s"/>
      <c r="AH207" s="42" t="s"/>
      <c r="AI207" s="42" t="s"/>
      <c r="AJ207" s="42" t="s"/>
    </row>
    <row r="208" spans="1:36" ht="21" customHeight="true">
      <c r="A208" s="653">
        <v>45</v>
      </c>
      <c r="B208" s="487" t="s">
        <v>635</v>
      </c>
      <c r="C208" s="487" t="s"/>
      <c r="D208" s="487" t="s">
        <v>1271</v>
      </c>
      <c r="E208" s="486" t="s">
        <v>32</v>
      </c>
      <c r="F208" s="486">
        <v>2</v>
      </c>
      <c r="G208" s="57" t="s"/>
      <c r="H208" s="621" t="s"/>
      <c r="I208" s="119">
        <v>2</v>
      </c>
      <c r="J208" s="57" t="s"/>
      <c r="K208" s="620" t="s"/>
      <c r="L208" s="620" t="s"/>
      <c r="M208" s="57" t="s"/>
      <c r="N208" s="57" t="s"/>
      <c r="O208" s="57" t="s"/>
      <c r="P208" s="57" t="s"/>
      <c r="Q208" s="57" t="s"/>
      <c r="R208" s="57" t="s"/>
      <c r="S208" s="23" t="s"/>
      <c r="T208" s="621" t="s"/>
      <c r="U208" s="42" t="s">
        <v>1203</v>
      </c>
      <c r="V208" s="42" t="s">
        <v>1204</v>
      </c>
      <c r="W208" s="42" t="s"/>
      <c r="X208" s="42" t="s"/>
      <c r="Y208" s="41" t="s"/>
      <c r="Z208" s="41" t="s"/>
      <c r="AA208" s="42" t="s"/>
      <c r="AB208" s="42" t="s"/>
      <c r="AC208" s="582" t="s"/>
      <c r="AD208" s="582" t="s"/>
      <c r="AE208" s="582" t="s"/>
      <c r="AF208" s="582" t="s"/>
      <c r="AG208" s="42" t="s"/>
      <c r="AH208" s="42" t="s"/>
      <c r="AI208" s="42" t="s"/>
      <c r="AJ208" s="42" t="s"/>
    </row>
    <row r="209" spans="1:36" ht="21" customHeight="true">
      <c r="A209" s="653">
        <v>46</v>
      </c>
      <c r="B209" s="487" t="s">
        <v>635</v>
      </c>
      <c r="C209" s="487" t="s"/>
      <c r="D209" s="487" t="s">
        <v>1272</v>
      </c>
      <c r="E209" s="486" t="s">
        <v>32</v>
      </c>
      <c r="F209" s="486">
        <v>2</v>
      </c>
      <c r="G209" s="57" t="s"/>
      <c r="H209" s="621" t="s"/>
      <c r="I209" s="119">
        <v>2</v>
      </c>
      <c r="J209" s="57" t="s"/>
      <c r="K209" s="620" t="s"/>
      <c r="L209" s="620" t="s"/>
      <c r="M209" s="57" t="s"/>
      <c r="N209" s="57" t="s"/>
      <c r="O209" s="57" t="s"/>
      <c r="P209" s="57" t="s"/>
      <c r="Q209" s="57" t="s"/>
      <c r="R209" s="57" t="s"/>
      <c r="S209" s="23" t="s"/>
      <c r="T209" s="621" t="s"/>
      <c r="U209" s="42" t="s">
        <v>1203</v>
      </c>
      <c r="V209" s="42" t="s">
        <v>1204</v>
      </c>
      <c r="W209" s="42" t="s"/>
      <c r="X209" s="42" t="s"/>
      <c r="Y209" s="41" t="s"/>
      <c r="Z209" s="41" t="s"/>
      <c r="AA209" s="42" t="s"/>
      <c r="AB209" s="42" t="s"/>
      <c r="AC209" s="582" t="s"/>
      <c r="AD209" s="582" t="s"/>
      <c r="AE209" s="582" t="s"/>
      <c r="AF209" s="582" t="s"/>
      <c r="AG209" s="42" t="s"/>
      <c r="AH209" s="42" t="s"/>
      <c r="AI209" s="42" t="s"/>
      <c r="AJ209" s="42" t="s"/>
    </row>
    <row r="210" spans="1:36" ht="21" customHeight="true">
      <c r="A210" s="653">
        <v>47</v>
      </c>
      <c r="B210" s="487" t="s">
        <v>1274</v>
      </c>
      <c r="C210" s="487" t="s"/>
      <c r="D210" s="487" t="s">
        <v>1272</v>
      </c>
      <c r="E210" s="486" t="s">
        <v>32</v>
      </c>
      <c r="F210" s="486">
        <v>2</v>
      </c>
      <c r="G210" s="57" t="s"/>
      <c r="H210" s="621" t="s"/>
      <c r="I210" s="119">
        <v>2</v>
      </c>
      <c r="J210" s="57" t="s"/>
      <c r="K210" s="620" t="s"/>
      <c r="L210" s="620" t="s"/>
      <c r="M210" s="57" t="s"/>
      <c r="N210" s="57" t="s"/>
      <c r="O210" s="57" t="s"/>
      <c r="P210" s="57" t="s"/>
      <c r="Q210" s="57" t="s"/>
      <c r="R210" s="57" t="s"/>
      <c r="S210" s="23" t="s"/>
      <c r="T210" s="621" t="s"/>
      <c r="U210" s="42" t="s">
        <v>1203</v>
      </c>
      <c r="V210" s="42" t="s">
        <v>1204</v>
      </c>
      <c r="W210" s="42" t="s"/>
      <c r="X210" s="42" t="s"/>
      <c r="Y210" s="41" t="s"/>
      <c r="Z210" s="41" t="s"/>
      <c r="AA210" s="42" t="s"/>
      <c r="AB210" s="42" t="s"/>
      <c r="AC210" s="582" t="s"/>
      <c r="AD210" s="582" t="s"/>
      <c r="AE210" s="582" t="s"/>
      <c r="AF210" s="582" t="s"/>
      <c r="AG210" s="42" t="s"/>
      <c r="AH210" s="42" t="s"/>
      <c r="AI210" s="42" t="s"/>
      <c r="AJ210" s="42" t="s"/>
    </row>
    <row r="211" spans="1:36" ht="21" customHeight="true">
      <c r="A211" s="653">
        <v>48</v>
      </c>
      <c r="B211" s="487" t="s">
        <v>1275</v>
      </c>
      <c r="C211" s="487" t="s"/>
      <c r="D211" s="487" t="s">
        <v>1068</v>
      </c>
      <c r="E211" s="486" t="s">
        <v>32</v>
      </c>
      <c r="F211" s="486">
        <v>2</v>
      </c>
      <c r="G211" s="57" t="s"/>
      <c r="H211" s="621" t="s"/>
      <c r="I211" s="119">
        <v>2</v>
      </c>
      <c r="J211" s="57" t="s"/>
      <c r="K211" s="620" t="s"/>
      <c r="L211" s="620" t="s"/>
      <c r="M211" s="57" t="s"/>
      <c r="N211" s="57" t="s"/>
      <c r="O211" s="57" t="s"/>
      <c r="P211" s="57" t="s"/>
      <c r="Q211" s="57" t="s"/>
      <c r="R211" s="57" t="s"/>
      <c r="S211" s="23" t="s"/>
      <c r="T211" s="621" t="s"/>
      <c r="U211" s="42" t="s">
        <v>1203</v>
      </c>
      <c r="V211" s="42" t="s">
        <v>1204</v>
      </c>
      <c r="W211" s="42" t="s"/>
      <c r="X211" s="42" t="s"/>
      <c r="Y211" s="41" t="s"/>
      <c r="Z211" s="41" t="s"/>
      <c r="AA211" s="42" t="s"/>
      <c r="AB211" s="42" t="s"/>
      <c r="AC211" s="582" t="s"/>
      <c r="AD211" s="582" t="s"/>
      <c r="AE211" s="582" t="s"/>
      <c r="AF211" s="582" t="s"/>
      <c r="AG211" s="42" t="s"/>
      <c r="AH211" s="42" t="s"/>
      <c r="AI211" s="42" t="s"/>
      <c r="AJ211" s="42" t="s"/>
    </row>
    <row r="212" spans="1:36" ht="21" customHeight="true">
      <c r="A212" s="653">
        <v>49</v>
      </c>
      <c r="B212" s="487" t="s">
        <v>646</v>
      </c>
      <c r="C212" s="487" t="s"/>
      <c r="D212" s="487" t="s">
        <v>1276</v>
      </c>
      <c r="E212" s="486" t="s">
        <v>32</v>
      </c>
      <c r="F212" s="486">
        <v>2</v>
      </c>
      <c r="G212" s="57" t="s"/>
      <c r="H212" s="621" t="s"/>
      <c r="I212" s="119">
        <v>2</v>
      </c>
      <c r="J212" s="57" t="s"/>
      <c r="K212" s="620" t="s"/>
      <c r="L212" s="620" t="s"/>
      <c r="M212" s="57" t="s"/>
      <c r="N212" s="57" t="s"/>
      <c r="O212" s="57" t="s"/>
      <c r="P212" s="57" t="s"/>
      <c r="Q212" s="57" t="s"/>
      <c r="R212" s="57" t="s"/>
      <c r="S212" s="23" t="s"/>
      <c r="T212" s="621" t="s"/>
      <c r="U212" s="42" t="s">
        <v>1203</v>
      </c>
      <c r="V212" s="42" t="s">
        <v>1204</v>
      </c>
      <c r="W212" s="42" t="s"/>
      <c r="X212" s="42" t="s"/>
      <c r="Y212" s="41" t="s"/>
      <c r="Z212" s="41" t="s"/>
      <c r="AA212" s="42" t="s"/>
      <c r="AB212" s="42" t="s"/>
      <c r="AC212" s="582" t="s"/>
      <c r="AD212" s="582" t="s"/>
      <c r="AE212" s="582" t="s"/>
      <c r="AF212" s="582" t="s"/>
      <c r="AG212" s="42" t="s"/>
      <c r="AH212" s="42" t="s"/>
      <c r="AI212" s="42" t="s"/>
      <c r="AJ212" s="42" t="s"/>
    </row>
    <row r="213" spans="1:36" ht="21" customHeight="true">
      <c r="A213" s="653">
        <v>50</v>
      </c>
      <c r="B213" s="487" t="s">
        <v>646</v>
      </c>
      <c r="C213" s="487" t="s"/>
      <c r="D213" s="487" t="s">
        <v>1276</v>
      </c>
      <c r="E213" s="486" t="s">
        <v>32</v>
      </c>
      <c r="F213" s="486">
        <v>2</v>
      </c>
      <c r="G213" s="57" t="s"/>
      <c r="H213" s="621" t="s"/>
      <c r="I213" s="119">
        <v>2</v>
      </c>
      <c r="J213" s="57" t="s"/>
      <c r="K213" s="620" t="s"/>
      <c r="L213" s="620" t="s"/>
      <c r="M213" s="57" t="s"/>
      <c r="N213" s="57" t="s"/>
      <c r="O213" s="57" t="s"/>
      <c r="P213" s="57" t="s"/>
      <c r="Q213" s="57" t="s"/>
      <c r="R213" s="57" t="s"/>
      <c r="S213" s="23" t="s"/>
      <c r="T213" s="621" t="s"/>
      <c r="U213" s="42" t="s">
        <v>1203</v>
      </c>
      <c r="V213" s="42" t="s">
        <v>1204</v>
      </c>
      <c r="W213" s="42" t="s"/>
      <c r="X213" s="42" t="s"/>
      <c r="Y213" s="41" t="s"/>
      <c r="Z213" s="41" t="s"/>
      <c r="AA213" s="42" t="s"/>
      <c r="AB213" s="42" t="s"/>
      <c r="AC213" s="582" t="s"/>
      <c r="AD213" s="582" t="s"/>
      <c r="AE213" s="582" t="s"/>
      <c r="AF213" s="582" t="s"/>
      <c r="AG213" s="42" t="s"/>
      <c r="AH213" s="42" t="s"/>
      <c r="AI213" s="42" t="s"/>
      <c r="AJ213" s="42" t="s"/>
    </row>
    <row r="214" spans="1:36" ht="21" customHeight="true">
      <c r="A214" s="653">
        <v>51</v>
      </c>
      <c r="B214" s="487" t="s">
        <v>632</v>
      </c>
      <c r="C214" s="487" t="s"/>
      <c r="D214" s="487" t="s">
        <v>1276</v>
      </c>
      <c r="E214" s="486" t="s">
        <v>32</v>
      </c>
      <c r="F214" s="486">
        <v>2</v>
      </c>
      <c r="G214" s="57" t="s"/>
      <c r="H214" s="621" t="s"/>
      <c r="I214" s="119">
        <v>2</v>
      </c>
      <c r="J214" s="57" t="s"/>
      <c r="K214" s="620" t="s"/>
      <c r="L214" s="620" t="s"/>
      <c r="M214" s="57" t="s"/>
      <c r="N214" s="57" t="s"/>
      <c r="O214" s="57" t="s"/>
      <c r="P214" s="57" t="s"/>
      <c r="Q214" s="57" t="s"/>
      <c r="R214" s="57" t="s"/>
      <c r="S214" s="23" t="s"/>
      <c r="T214" s="621" t="s"/>
      <c r="U214" s="42" t="s">
        <v>1203</v>
      </c>
      <c r="V214" s="42" t="s">
        <v>1204</v>
      </c>
      <c r="W214" s="42" t="s"/>
      <c r="X214" s="42" t="s"/>
      <c r="Y214" s="41" t="s"/>
      <c r="Z214" s="41" t="s"/>
      <c r="AA214" s="42" t="s"/>
      <c r="AB214" s="42" t="s"/>
      <c r="AC214" s="582" t="s"/>
      <c r="AD214" s="582" t="s"/>
      <c r="AE214" s="582" t="s"/>
      <c r="AF214" s="582" t="s"/>
      <c r="AG214" s="42" t="s"/>
      <c r="AH214" s="42" t="s"/>
      <c r="AI214" s="42" t="s"/>
      <c r="AJ214" s="42" t="s"/>
    </row>
    <row r="215" spans="1:36" ht="21" customHeight="true">
      <c r="A215" s="653">
        <v>52</v>
      </c>
      <c r="B215" s="487" t="s">
        <v>646</v>
      </c>
      <c r="C215" s="487" t="s"/>
      <c r="D215" s="487" t="s">
        <v>1277</v>
      </c>
      <c r="E215" s="486" t="s">
        <v>32</v>
      </c>
      <c r="F215" s="486">
        <v>2</v>
      </c>
      <c r="G215" s="57" t="s"/>
      <c r="H215" s="621" t="s"/>
      <c r="I215" s="119">
        <v>2</v>
      </c>
      <c r="J215" s="57" t="s"/>
      <c r="K215" s="620" t="s"/>
      <c r="L215" s="620" t="s"/>
      <c r="M215" s="57" t="s"/>
      <c r="N215" s="57" t="s"/>
      <c r="O215" s="57" t="s"/>
      <c r="P215" s="57" t="s"/>
      <c r="Q215" s="57" t="s"/>
      <c r="R215" s="57" t="s"/>
      <c r="S215" s="23" t="s"/>
      <c r="T215" s="621" t="s"/>
      <c r="U215" s="42" t="s">
        <v>1203</v>
      </c>
      <c r="V215" s="42" t="s">
        <v>1204</v>
      </c>
      <c r="W215" s="42" t="s"/>
      <c r="X215" s="42" t="s"/>
      <c r="Y215" s="41" t="s"/>
      <c r="Z215" s="41" t="s"/>
      <c r="AA215" s="42" t="s"/>
      <c r="AB215" s="42" t="s"/>
      <c r="AC215" s="582" t="s"/>
      <c r="AD215" s="582" t="s"/>
      <c r="AE215" s="582" t="s"/>
      <c r="AF215" s="582" t="s"/>
      <c r="AG215" s="42" t="s"/>
      <c r="AH215" s="42" t="s"/>
      <c r="AI215" s="42" t="s"/>
      <c r="AJ215" s="42" t="s"/>
    </row>
    <row r="216" spans="1:36" ht="21" customHeight="true">
      <c r="A216" s="653">
        <v>53</v>
      </c>
      <c r="B216" s="487" t="s">
        <v>657</v>
      </c>
      <c r="C216" s="487" t="s"/>
      <c r="D216" s="487" t="s">
        <v>1278</v>
      </c>
      <c r="E216" s="486" t="s">
        <v>32</v>
      </c>
      <c r="F216" s="486">
        <v>8</v>
      </c>
      <c r="G216" s="57" t="s"/>
      <c r="H216" s="621" t="s"/>
      <c r="I216" s="119">
        <v>8</v>
      </c>
      <c r="J216" s="57" t="s"/>
      <c r="K216" s="620" t="s"/>
      <c r="L216" s="620" t="s"/>
      <c r="M216" s="57" t="s"/>
      <c r="N216" s="57" t="s"/>
      <c r="O216" s="57" t="s"/>
      <c r="P216" s="57" t="s"/>
      <c r="Q216" s="57" t="s"/>
      <c r="R216" s="57" t="s"/>
      <c r="S216" s="23" t="s"/>
      <c r="T216" s="621" t="s"/>
      <c r="U216" s="42" t="s">
        <v>1203</v>
      </c>
      <c r="V216" s="42" t="s">
        <v>1204</v>
      </c>
      <c r="W216" s="42" t="s"/>
      <c r="X216" s="42" t="s"/>
      <c r="Y216" s="41" t="s"/>
      <c r="Z216" s="41" t="s"/>
      <c r="AA216" s="42" t="s"/>
      <c r="AB216" s="42" t="s"/>
      <c r="AC216" s="582" t="s"/>
      <c r="AD216" s="582" t="s"/>
      <c r="AE216" s="582" t="s"/>
      <c r="AF216" s="582" t="s"/>
      <c r="AG216" s="42" t="s"/>
      <c r="AH216" s="42" t="s"/>
      <c r="AI216" s="42" t="s"/>
      <c r="AJ216" s="42" t="s"/>
    </row>
    <row r="217" spans="1:36" ht="21" customHeight="true">
      <c r="A217" s="653">
        <v>54</v>
      </c>
      <c r="B217" s="487" t="s">
        <v>632</v>
      </c>
      <c r="C217" s="487" t="s"/>
      <c r="D217" s="487" t="s">
        <v>1279</v>
      </c>
      <c r="E217" s="486" t="s">
        <v>32</v>
      </c>
      <c r="F217" s="486">
        <v>2</v>
      </c>
      <c r="G217" s="57" t="s"/>
      <c r="H217" s="621" t="s"/>
      <c r="I217" s="119">
        <v>2</v>
      </c>
      <c r="J217" s="57" t="s"/>
      <c r="K217" s="620" t="s"/>
      <c r="L217" s="620" t="s"/>
      <c r="M217" s="57" t="s"/>
      <c r="N217" s="57" t="s"/>
      <c r="O217" s="57" t="s"/>
      <c r="P217" s="57" t="s"/>
      <c r="Q217" s="57" t="s"/>
      <c r="R217" s="57" t="s"/>
      <c r="S217" s="23" t="s"/>
      <c r="T217" s="621" t="s"/>
      <c r="U217" s="42" t="s">
        <v>1203</v>
      </c>
      <c r="V217" s="42" t="s">
        <v>1204</v>
      </c>
      <c r="W217" s="42" t="s"/>
      <c r="X217" s="42" t="s"/>
      <c r="Y217" s="41" t="s"/>
      <c r="Z217" s="41" t="s"/>
      <c r="AA217" s="42" t="s"/>
      <c r="AB217" s="42" t="s"/>
      <c r="AC217" s="582" t="s"/>
      <c r="AD217" s="582" t="s"/>
      <c r="AE217" s="582" t="s"/>
      <c r="AF217" s="582" t="s"/>
      <c r="AG217" s="42" t="s"/>
      <c r="AH217" s="42" t="s"/>
      <c r="AI217" s="42" t="s"/>
      <c r="AJ217" s="42" t="s"/>
    </row>
    <row r="218" spans="1:36" ht="21" customHeight="true">
      <c r="A218" s="653">
        <v>55</v>
      </c>
      <c r="B218" s="487" t="s">
        <v>646</v>
      </c>
      <c r="C218" s="487" t="s"/>
      <c r="D218" s="487" t="s">
        <v>1279</v>
      </c>
      <c r="E218" s="486" t="s">
        <v>32</v>
      </c>
      <c r="F218" s="486">
        <v>2</v>
      </c>
      <c r="G218" s="57" t="s"/>
      <c r="H218" s="621" t="s"/>
      <c r="I218" s="119">
        <v>2</v>
      </c>
      <c r="J218" s="57" t="s"/>
      <c r="K218" s="620" t="s"/>
      <c r="L218" s="620" t="s"/>
      <c r="M218" s="57" t="s"/>
      <c r="N218" s="57" t="s"/>
      <c r="O218" s="57" t="s"/>
      <c r="P218" s="57" t="s"/>
      <c r="Q218" s="57" t="s"/>
      <c r="R218" s="57" t="s"/>
      <c r="S218" s="23" t="s"/>
      <c r="T218" s="621" t="s"/>
      <c r="U218" s="42" t="s">
        <v>1203</v>
      </c>
      <c r="V218" s="42" t="s">
        <v>1204</v>
      </c>
      <c r="W218" s="42" t="s"/>
      <c r="X218" s="42" t="s"/>
      <c r="Y218" s="41" t="s"/>
      <c r="Z218" s="41" t="s"/>
      <c r="AA218" s="42" t="s"/>
      <c r="AB218" s="42" t="s"/>
      <c r="AC218" s="582" t="s"/>
      <c r="AD218" s="582" t="s"/>
      <c r="AE218" s="582" t="s"/>
      <c r="AF218" s="582" t="s"/>
      <c r="AG218" s="42" t="s"/>
      <c r="AH218" s="42" t="s"/>
      <c r="AI218" s="42" t="s"/>
      <c r="AJ218" s="42" t="s"/>
    </row>
    <row r="219" spans="1:36" ht="21" customHeight="true">
      <c r="A219" s="653">
        <v>56</v>
      </c>
      <c r="B219" s="487" t="s">
        <v>646</v>
      </c>
      <c r="C219" s="487" t="s"/>
      <c r="D219" s="487" t="s">
        <v>1276</v>
      </c>
      <c r="E219" s="486" t="s">
        <v>32</v>
      </c>
      <c r="F219" s="486">
        <v>2</v>
      </c>
      <c r="G219" s="57" t="s"/>
      <c r="H219" s="621" t="s"/>
      <c r="I219" s="119">
        <v>2</v>
      </c>
      <c r="J219" s="57" t="s"/>
      <c r="K219" s="620" t="s"/>
      <c r="L219" s="620" t="s"/>
      <c r="M219" s="57" t="s"/>
      <c r="N219" s="57" t="s"/>
      <c r="O219" s="57" t="s"/>
      <c r="P219" s="57" t="s"/>
      <c r="Q219" s="57" t="s"/>
      <c r="R219" s="57" t="s"/>
      <c r="S219" s="23" t="s"/>
      <c r="T219" s="621" t="s"/>
      <c r="U219" s="42" t="s">
        <v>1203</v>
      </c>
      <c r="V219" s="42" t="s">
        <v>1204</v>
      </c>
      <c r="W219" s="42" t="s"/>
      <c r="X219" s="42" t="s"/>
      <c r="Y219" s="41" t="s"/>
      <c r="Z219" s="41" t="s"/>
      <c r="AA219" s="42" t="s"/>
      <c r="AB219" s="42" t="s"/>
      <c r="AC219" s="582" t="s"/>
      <c r="AD219" s="582" t="s"/>
      <c r="AE219" s="582" t="s"/>
      <c r="AF219" s="582" t="s"/>
      <c r="AG219" s="42" t="s"/>
      <c r="AH219" s="42" t="s"/>
      <c r="AI219" s="42" t="s"/>
      <c r="AJ219" s="42" t="s"/>
    </row>
    <row r="220" spans="1:36" ht="21" customHeight="true">
      <c r="A220" s="653">
        <v>57</v>
      </c>
      <c r="B220" s="487" t="s">
        <v>632</v>
      </c>
      <c r="C220" s="487" t="s"/>
      <c r="D220" s="487" t="s">
        <v>1276</v>
      </c>
      <c r="E220" s="486" t="s">
        <v>32</v>
      </c>
      <c r="F220" s="486">
        <v>2</v>
      </c>
      <c r="G220" s="57" t="s"/>
      <c r="H220" s="621" t="s"/>
      <c r="I220" s="119">
        <v>2</v>
      </c>
      <c r="J220" s="57" t="s"/>
      <c r="K220" s="620" t="s"/>
      <c r="L220" s="620" t="s"/>
      <c r="M220" s="57" t="s"/>
      <c r="N220" s="57" t="s"/>
      <c r="O220" s="57" t="s"/>
      <c r="P220" s="57" t="s"/>
      <c r="Q220" s="57" t="s"/>
      <c r="R220" s="57" t="s"/>
      <c r="S220" s="23" t="s"/>
      <c r="T220" s="621" t="s"/>
      <c r="U220" s="42" t="s">
        <v>1203</v>
      </c>
      <c r="V220" s="42" t="s">
        <v>1204</v>
      </c>
      <c r="W220" s="42" t="s"/>
      <c r="X220" s="42" t="s"/>
      <c r="Y220" s="41" t="s"/>
      <c r="Z220" s="41" t="s"/>
      <c r="AA220" s="42" t="s"/>
      <c r="AB220" s="42" t="s"/>
      <c r="AC220" s="582" t="s"/>
      <c r="AD220" s="582" t="s"/>
      <c r="AE220" s="582" t="s"/>
      <c r="AF220" s="582" t="s"/>
      <c r="AG220" s="42" t="s"/>
      <c r="AH220" s="42" t="s"/>
      <c r="AI220" s="42" t="s"/>
      <c r="AJ220" s="42" t="s"/>
    </row>
    <row r="221" spans="1:36" ht="21" customHeight="true">
      <c r="A221" s="653">
        <v>58</v>
      </c>
      <c r="B221" s="487" t="s">
        <v>657</v>
      </c>
      <c r="C221" s="487" t="s"/>
      <c r="D221" s="487" t="s">
        <v>1278</v>
      </c>
      <c r="E221" s="486" t="s">
        <v>32</v>
      </c>
      <c r="F221" s="486">
        <v>4</v>
      </c>
      <c r="G221" s="57" t="s"/>
      <c r="H221" s="621" t="s"/>
      <c r="I221" s="119">
        <v>4</v>
      </c>
      <c r="J221" s="57" t="s"/>
      <c r="K221" s="620" t="s"/>
      <c r="L221" s="620" t="s"/>
      <c r="M221" s="57" t="s"/>
      <c r="N221" s="57" t="s"/>
      <c r="O221" s="57" t="s"/>
      <c r="P221" s="57" t="s"/>
      <c r="Q221" s="57" t="s"/>
      <c r="R221" s="57" t="s"/>
      <c r="S221" s="23" t="s"/>
      <c r="T221" s="621" t="s"/>
      <c r="U221" s="42" t="s">
        <v>1203</v>
      </c>
      <c r="V221" s="42" t="s">
        <v>1204</v>
      </c>
      <c r="W221" s="42" t="s"/>
      <c r="X221" s="42" t="s"/>
      <c r="Y221" s="41" t="s"/>
      <c r="Z221" s="41" t="s"/>
      <c r="AA221" s="42" t="s"/>
      <c r="AB221" s="42" t="s"/>
      <c r="AC221" s="582" t="s"/>
      <c r="AD221" s="582" t="s"/>
      <c r="AE221" s="582" t="s"/>
      <c r="AF221" s="582" t="s"/>
      <c r="AG221" s="42" t="s"/>
      <c r="AH221" s="42" t="s"/>
      <c r="AI221" s="42" t="s"/>
      <c r="AJ221" s="42" t="s"/>
    </row>
    <row r="222" spans="1:36" ht="21" customHeight="true">
      <c r="A222" s="653">
        <v>59</v>
      </c>
      <c r="B222" s="487" t="s">
        <v>646</v>
      </c>
      <c r="C222" s="487" t="s"/>
      <c r="D222" s="487" t="s">
        <v>1276</v>
      </c>
      <c r="E222" s="486" t="s">
        <v>32</v>
      </c>
      <c r="F222" s="486">
        <v>2</v>
      </c>
      <c r="G222" s="57" t="s"/>
      <c r="H222" s="621" t="s"/>
      <c r="I222" s="119">
        <v>2</v>
      </c>
      <c r="J222" s="57" t="s"/>
      <c r="K222" s="620" t="s"/>
      <c r="L222" s="620" t="s"/>
      <c r="M222" s="57" t="s"/>
      <c r="N222" s="57" t="s"/>
      <c r="O222" s="57" t="s"/>
      <c r="P222" s="57" t="s"/>
      <c r="Q222" s="57" t="s"/>
      <c r="R222" s="57" t="s"/>
      <c r="S222" s="23" t="s"/>
      <c r="T222" s="621" t="s"/>
      <c r="U222" s="42" t="s">
        <v>1203</v>
      </c>
      <c r="V222" s="42" t="s">
        <v>1204</v>
      </c>
      <c r="W222" s="42" t="s"/>
      <c r="X222" s="42" t="s"/>
      <c r="Y222" s="41" t="s"/>
      <c r="Z222" s="41" t="s"/>
      <c r="AA222" s="42" t="s"/>
      <c r="AB222" s="42" t="s"/>
      <c r="AC222" s="582" t="s"/>
      <c r="AD222" s="582" t="s"/>
      <c r="AE222" s="582" t="s"/>
      <c r="AF222" s="582" t="s"/>
      <c r="AG222" s="42" t="s"/>
      <c r="AH222" s="42" t="s"/>
      <c r="AI222" s="42" t="s"/>
      <c r="AJ222" s="42" t="s"/>
    </row>
    <row r="223" spans="1:36" ht="21" customHeight="true">
      <c r="A223" s="653">
        <v>60</v>
      </c>
      <c r="B223" s="487" t="s">
        <v>632</v>
      </c>
      <c r="C223" s="487" t="s"/>
      <c r="D223" s="487" t="s">
        <v>1268</v>
      </c>
      <c r="E223" s="486" t="s">
        <v>32</v>
      </c>
      <c r="F223" s="486">
        <v>2</v>
      </c>
      <c r="G223" s="57" t="s"/>
      <c r="H223" s="621" t="s"/>
      <c r="I223" s="119">
        <v>2</v>
      </c>
      <c r="J223" s="57" t="s"/>
      <c r="K223" s="620" t="s"/>
      <c r="L223" s="620" t="s"/>
      <c r="M223" s="57" t="s"/>
      <c r="N223" s="57" t="s"/>
      <c r="O223" s="57" t="s"/>
      <c r="P223" s="57" t="s"/>
      <c r="Q223" s="57" t="s"/>
      <c r="R223" s="57" t="s"/>
      <c r="S223" s="23" t="s"/>
      <c r="T223" s="621" t="s"/>
      <c r="U223" s="42" t="s">
        <v>1203</v>
      </c>
      <c r="V223" s="42" t="s">
        <v>1204</v>
      </c>
      <c r="W223" s="42" t="s"/>
      <c r="X223" s="42" t="s"/>
      <c r="Y223" s="41" t="s"/>
      <c r="Z223" s="41" t="s"/>
      <c r="AA223" s="42" t="s"/>
      <c r="AB223" s="42" t="s"/>
      <c r="AC223" s="582" t="s"/>
      <c r="AD223" s="582" t="s"/>
      <c r="AE223" s="582" t="s"/>
      <c r="AF223" s="582" t="s"/>
      <c r="AG223" s="42" t="s"/>
      <c r="AH223" s="42" t="s"/>
      <c r="AI223" s="42" t="s"/>
      <c r="AJ223" s="42" t="s"/>
    </row>
    <row r="224" spans="1:36" ht="21" customHeight="true">
      <c r="A224" s="653">
        <v>61</v>
      </c>
      <c r="B224" s="487" t="s">
        <v>646</v>
      </c>
      <c r="C224" s="487" t="s"/>
      <c r="D224" s="487" t="s">
        <v>1268</v>
      </c>
      <c r="E224" s="486" t="s">
        <v>32</v>
      </c>
      <c r="F224" s="486">
        <v>4</v>
      </c>
      <c r="G224" s="57" t="s"/>
      <c r="H224" s="621" t="s"/>
      <c r="I224" s="119">
        <v>4</v>
      </c>
      <c r="J224" s="57" t="s"/>
      <c r="K224" s="620" t="s"/>
      <c r="L224" s="620" t="s"/>
      <c r="M224" s="57" t="s"/>
      <c r="N224" s="57" t="s"/>
      <c r="O224" s="57" t="s"/>
      <c r="P224" s="57" t="s"/>
      <c r="Q224" s="57" t="s"/>
      <c r="R224" s="57" t="s"/>
      <c r="S224" s="23" t="s"/>
      <c r="T224" s="621" t="s"/>
      <c r="U224" s="42" t="s">
        <v>1203</v>
      </c>
      <c r="V224" s="42" t="s">
        <v>1204</v>
      </c>
      <c r="W224" s="42" t="s"/>
      <c r="X224" s="42" t="s"/>
      <c r="Y224" s="41" t="s"/>
      <c r="Z224" s="41" t="s"/>
      <c r="AA224" s="42" t="s"/>
      <c r="AB224" s="42" t="s"/>
      <c r="AC224" s="582" t="s"/>
      <c r="AD224" s="582" t="s"/>
      <c r="AE224" s="582" t="s"/>
      <c r="AF224" s="582" t="s"/>
      <c r="AG224" s="42" t="s"/>
      <c r="AH224" s="42" t="s"/>
      <c r="AI224" s="42" t="s"/>
      <c r="AJ224" s="42" t="s"/>
    </row>
    <row r="225" spans="1:36" ht="21" customHeight="true">
      <c r="A225" s="653">
        <v>62</v>
      </c>
      <c r="B225" s="487" t="s">
        <v>657</v>
      </c>
      <c r="C225" s="487" t="s"/>
      <c r="D225" s="487" t="s">
        <v>1278</v>
      </c>
      <c r="E225" s="486" t="s">
        <v>32</v>
      </c>
      <c r="F225" s="486">
        <v>4</v>
      </c>
      <c r="G225" s="57" t="s"/>
      <c r="H225" s="621" t="s"/>
      <c r="I225" s="119">
        <v>4</v>
      </c>
      <c r="J225" s="57" t="s"/>
      <c r="K225" s="620" t="s"/>
      <c r="L225" s="620" t="s"/>
      <c r="M225" s="57" t="s"/>
      <c r="N225" s="57" t="s"/>
      <c r="O225" s="57" t="s"/>
      <c r="P225" s="57" t="s"/>
      <c r="Q225" s="57" t="s"/>
      <c r="R225" s="57" t="s"/>
      <c r="S225" s="23" t="s"/>
      <c r="T225" s="621" t="s"/>
      <c r="U225" s="42" t="s">
        <v>1203</v>
      </c>
      <c r="V225" s="42" t="s">
        <v>1204</v>
      </c>
      <c r="W225" s="42" t="s"/>
      <c r="X225" s="42" t="s"/>
      <c r="Y225" s="41" t="s"/>
      <c r="Z225" s="41" t="s"/>
      <c r="AA225" s="42" t="s"/>
      <c r="AB225" s="42" t="s"/>
      <c r="AC225" s="582" t="s"/>
      <c r="AD225" s="582" t="s"/>
      <c r="AE225" s="582" t="s"/>
      <c r="AF225" s="582" t="s"/>
      <c r="AG225" s="42" t="s"/>
      <c r="AH225" s="42" t="s"/>
      <c r="AI225" s="42" t="s"/>
      <c r="AJ225" s="42" t="s"/>
    </row>
    <row r="226" spans="1:36" ht="21" customHeight="true">
      <c r="A226" s="653">
        <v>63</v>
      </c>
      <c r="B226" s="487" t="s">
        <v>657</v>
      </c>
      <c r="C226" s="487" t="s"/>
      <c r="D226" s="487" t="s">
        <v>1280</v>
      </c>
      <c r="E226" s="486" t="s">
        <v>32</v>
      </c>
      <c r="F226" s="486">
        <v>1</v>
      </c>
      <c r="G226" s="57" t="s"/>
      <c r="H226" s="621" t="s"/>
      <c r="I226" s="119">
        <v>1</v>
      </c>
      <c r="J226" s="57" t="s"/>
      <c r="K226" s="620" t="s"/>
      <c r="L226" s="620" t="s"/>
      <c r="M226" s="57" t="s"/>
      <c r="N226" s="57" t="s"/>
      <c r="O226" s="57" t="s"/>
      <c r="P226" s="57" t="s"/>
      <c r="Q226" s="57" t="s"/>
      <c r="R226" s="57" t="s"/>
      <c r="S226" s="23" t="s"/>
      <c r="T226" s="621" t="s"/>
      <c r="U226" s="42" t="s">
        <v>1203</v>
      </c>
      <c r="V226" s="42" t="s">
        <v>1204</v>
      </c>
      <c r="W226" s="42" t="s"/>
      <c r="X226" s="42" t="s"/>
      <c r="Y226" s="41" t="s"/>
      <c r="Z226" s="41" t="s"/>
      <c r="AA226" s="42" t="s"/>
      <c r="AB226" s="42" t="s"/>
      <c r="AC226" s="582" t="s"/>
      <c r="AD226" s="582" t="s"/>
      <c r="AE226" s="582" t="s"/>
      <c r="AF226" s="582" t="s"/>
      <c r="AG226" s="42" t="s"/>
      <c r="AH226" s="42" t="s"/>
      <c r="AI226" s="42" t="s"/>
      <c r="AJ226" s="42" t="s"/>
    </row>
    <row r="227" spans="1:36" ht="21" customHeight="true">
      <c r="A227" s="653">
        <v>64</v>
      </c>
      <c r="B227" s="487" t="s">
        <v>646</v>
      </c>
      <c r="C227" s="487" t="s"/>
      <c r="D227" s="487" t="s">
        <v>1279</v>
      </c>
      <c r="E227" s="486" t="s">
        <v>32</v>
      </c>
      <c r="F227" s="486">
        <v>1</v>
      </c>
      <c r="G227" s="57" t="s"/>
      <c r="H227" s="621" t="s"/>
      <c r="I227" s="119">
        <v>1</v>
      </c>
      <c r="J227" s="57" t="s"/>
      <c r="K227" s="620" t="s"/>
      <c r="L227" s="620" t="s"/>
      <c r="M227" s="57" t="s"/>
      <c r="N227" s="57" t="s"/>
      <c r="O227" s="57" t="s"/>
      <c r="P227" s="57" t="s"/>
      <c r="Q227" s="57" t="s"/>
      <c r="R227" s="57" t="s"/>
      <c r="S227" s="23" t="s"/>
      <c r="T227" s="621" t="s"/>
      <c r="U227" s="42" t="s">
        <v>1203</v>
      </c>
      <c r="V227" s="42" t="s">
        <v>1204</v>
      </c>
      <c r="W227" s="42" t="s"/>
      <c r="X227" s="42" t="s"/>
      <c r="Y227" s="41" t="s"/>
      <c r="Z227" s="41" t="s"/>
      <c r="AA227" s="42" t="s"/>
      <c r="AB227" s="42" t="s"/>
      <c r="AC227" s="582" t="s"/>
      <c r="AD227" s="582" t="s"/>
      <c r="AE227" s="582" t="s"/>
      <c r="AF227" s="582" t="s"/>
      <c r="AG227" s="42" t="s"/>
      <c r="AH227" s="42" t="s"/>
      <c r="AI227" s="42" t="s"/>
      <c r="AJ227" s="42" t="s"/>
    </row>
    <row r="228" spans="1:36" ht="21" customHeight="true">
      <c r="A228" s="653">
        <v>65</v>
      </c>
      <c r="B228" s="487" t="s">
        <v>646</v>
      </c>
      <c r="C228" s="487" t="s"/>
      <c r="D228" s="487" t="s">
        <v>1268</v>
      </c>
      <c r="E228" s="486" t="s">
        <v>32</v>
      </c>
      <c r="F228" s="486">
        <v>2</v>
      </c>
      <c r="G228" s="57" t="s"/>
      <c r="H228" s="621" t="s"/>
      <c r="I228" s="119">
        <v>2</v>
      </c>
      <c r="J228" s="57" t="s"/>
      <c r="K228" s="620" t="s"/>
      <c r="L228" s="620" t="s"/>
      <c r="M228" s="57" t="s"/>
      <c r="N228" s="57" t="s"/>
      <c r="O228" s="57" t="s"/>
      <c r="P228" s="57" t="s"/>
      <c r="Q228" s="57" t="s"/>
      <c r="R228" s="57" t="s"/>
      <c r="S228" s="23" t="s"/>
      <c r="T228" s="621" t="s"/>
      <c r="U228" s="42" t="s">
        <v>1203</v>
      </c>
      <c r="V228" s="42" t="s">
        <v>1204</v>
      </c>
      <c r="W228" s="42" t="s"/>
      <c r="X228" s="42" t="s"/>
      <c r="Y228" s="41" t="s"/>
      <c r="Z228" s="41" t="s"/>
      <c r="AA228" s="42" t="s"/>
      <c r="AB228" s="42" t="s"/>
      <c r="AC228" s="582" t="s"/>
      <c r="AD228" s="582" t="s"/>
      <c r="AE228" s="582" t="s"/>
      <c r="AF228" s="582" t="s"/>
      <c r="AG228" s="42" t="s"/>
      <c r="AH228" s="42" t="s"/>
      <c r="AI228" s="42" t="s"/>
      <c r="AJ228" s="42" t="s"/>
    </row>
    <row r="229" spans="1:36" ht="21" customHeight="true">
      <c r="A229" s="653">
        <v>66</v>
      </c>
      <c r="B229" s="487" t="s">
        <v>646</v>
      </c>
      <c r="C229" s="487" t="s"/>
      <c r="D229" s="487" t="s">
        <v>1276</v>
      </c>
      <c r="E229" s="486" t="s">
        <v>32</v>
      </c>
      <c r="F229" s="486">
        <v>2</v>
      </c>
      <c r="G229" s="57" t="s"/>
      <c r="H229" s="621" t="s"/>
      <c r="I229" s="119">
        <v>2</v>
      </c>
      <c r="J229" s="57" t="s"/>
      <c r="K229" s="620" t="s"/>
      <c r="L229" s="620" t="s"/>
      <c r="M229" s="57" t="s"/>
      <c r="N229" s="57" t="s"/>
      <c r="O229" s="57" t="s"/>
      <c r="P229" s="57" t="s"/>
      <c r="Q229" s="57" t="s"/>
      <c r="R229" s="57" t="s"/>
      <c r="S229" s="23" t="s"/>
      <c r="T229" s="621" t="s"/>
      <c r="U229" s="42" t="s">
        <v>1203</v>
      </c>
      <c r="V229" s="42" t="s">
        <v>1204</v>
      </c>
      <c r="W229" s="42" t="s"/>
      <c r="X229" s="42" t="s"/>
      <c r="Y229" s="41" t="s"/>
      <c r="Z229" s="41" t="s"/>
      <c r="AA229" s="42" t="s"/>
      <c r="AB229" s="42" t="s"/>
      <c r="AC229" s="582" t="s"/>
      <c r="AD229" s="582" t="s"/>
      <c r="AE229" s="582" t="s"/>
      <c r="AF229" s="582" t="s"/>
      <c r="AG229" s="42" t="s"/>
      <c r="AH229" s="42" t="s"/>
      <c r="AI229" s="42" t="s"/>
      <c r="AJ229" s="42" t="s"/>
    </row>
    <row r="230" spans="1:36" ht="21" customHeight="true">
      <c r="A230" s="653">
        <v>67</v>
      </c>
      <c r="B230" s="487" t="s">
        <v>1281</v>
      </c>
      <c r="C230" s="487" t="s"/>
      <c r="D230" s="487" t="s">
        <v>1271</v>
      </c>
      <c r="E230" s="486" t="s">
        <v>32</v>
      </c>
      <c r="F230" s="486">
        <v>2</v>
      </c>
      <c r="G230" s="57" t="s"/>
      <c r="H230" s="621" t="s"/>
      <c r="I230" s="119">
        <v>2</v>
      </c>
      <c r="J230" s="57" t="s"/>
      <c r="K230" s="620" t="s"/>
      <c r="L230" s="620" t="s"/>
      <c r="M230" s="57" t="s"/>
      <c r="N230" s="57" t="s"/>
      <c r="O230" s="57" t="s"/>
      <c r="P230" s="57" t="s"/>
      <c r="Q230" s="57" t="s"/>
      <c r="R230" s="57" t="s"/>
      <c r="S230" s="23" t="s"/>
      <c r="T230" s="621" t="s"/>
      <c r="U230" s="42" t="s">
        <v>1203</v>
      </c>
      <c r="V230" s="42" t="s">
        <v>1204</v>
      </c>
      <c r="W230" s="42" t="s"/>
      <c r="X230" s="42" t="s"/>
      <c r="Y230" s="41" t="s"/>
      <c r="Z230" s="41" t="s"/>
      <c r="AA230" s="42" t="s"/>
      <c r="AB230" s="42" t="s"/>
      <c r="AC230" s="582" t="s"/>
      <c r="AD230" s="582" t="s"/>
      <c r="AE230" s="582" t="s"/>
      <c r="AF230" s="582" t="s"/>
      <c r="AG230" s="42" t="s"/>
      <c r="AH230" s="42" t="s"/>
      <c r="AI230" s="42" t="s"/>
      <c r="AJ230" s="42" t="s"/>
    </row>
    <row r="231" spans="1:36" ht="21" customHeight="true">
      <c r="A231" s="653">
        <v>68</v>
      </c>
      <c r="B231" s="487" t="s">
        <v>1282</v>
      </c>
      <c r="C231" s="487" t="s"/>
      <c r="D231" s="487" t="s">
        <v>1283</v>
      </c>
      <c r="E231" s="486" t="s">
        <v>32</v>
      </c>
      <c r="F231" s="486">
        <v>2</v>
      </c>
      <c r="G231" s="57" t="s"/>
      <c r="H231" s="621" t="s"/>
      <c r="I231" s="119">
        <v>2</v>
      </c>
      <c r="J231" s="57" t="s"/>
      <c r="K231" s="620" t="s"/>
      <c r="L231" s="620" t="s"/>
      <c r="M231" s="57" t="s"/>
      <c r="N231" s="57" t="s"/>
      <c r="O231" s="57" t="s"/>
      <c r="P231" s="57" t="s"/>
      <c r="Q231" s="57" t="s"/>
      <c r="R231" s="57" t="s"/>
      <c r="S231" s="23" t="s"/>
      <c r="T231" s="621" t="s"/>
      <c r="U231" s="42" t="s">
        <v>1203</v>
      </c>
      <c r="V231" s="42" t="s">
        <v>1204</v>
      </c>
      <c r="W231" s="42" t="s"/>
      <c r="X231" s="42" t="s"/>
      <c r="Y231" s="41" t="s"/>
      <c r="Z231" s="41" t="s"/>
      <c r="AA231" s="42" t="s"/>
      <c r="AB231" s="42" t="s"/>
      <c r="AC231" s="582" t="s"/>
      <c r="AD231" s="582" t="s"/>
      <c r="AE231" s="582" t="s"/>
      <c r="AF231" s="582" t="s"/>
      <c r="AG231" s="42" t="s"/>
      <c r="AH231" s="42" t="s"/>
      <c r="AI231" s="42" t="s"/>
      <c r="AJ231" s="42" t="s"/>
    </row>
    <row r="232" spans="1:36" ht="21" customHeight="true">
      <c r="A232" s="653">
        <v>69</v>
      </c>
      <c r="B232" s="487" t="s">
        <v>1282</v>
      </c>
      <c r="C232" s="487" t="s"/>
      <c r="D232" s="487" t="s">
        <v>1284</v>
      </c>
      <c r="E232" s="486" t="s">
        <v>32</v>
      </c>
      <c r="F232" s="486">
        <v>2</v>
      </c>
      <c r="G232" s="57" t="s"/>
      <c r="H232" s="621" t="s"/>
      <c r="I232" s="119">
        <v>2</v>
      </c>
      <c r="J232" s="57" t="s"/>
      <c r="K232" s="620" t="s"/>
      <c r="L232" s="620" t="s"/>
      <c r="M232" s="57" t="s"/>
      <c r="N232" s="57" t="s"/>
      <c r="O232" s="57" t="s"/>
      <c r="P232" s="57" t="s"/>
      <c r="Q232" s="57" t="s"/>
      <c r="R232" s="57" t="s"/>
      <c r="S232" s="23" t="s"/>
      <c r="T232" s="621" t="s"/>
      <c r="U232" s="42" t="s">
        <v>1203</v>
      </c>
      <c r="V232" s="42" t="s">
        <v>1204</v>
      </c>
      <c r="W232" s="42" t="s"/>
      <c r="X232" s="42" t="s"/>
      <c r="Y232" s="41" t="s"/>
      <c r="Z232" s="41" t="s"/>
      <c r="AA232" s="42" t="s"/>
      <c r="AB232" s="42" t="s"/>
      <c r="AC232" s="582" t="s"/>
      <c r="AD232" s="582" t="s"/>
      <c r="AE232" s="582" t="s"/>
      <c r="AF232" s="582" t="s"/>
      <c r="AG232" s="42" t="s"/>
      <c r="AH232" s="42" t="s"/>
      <c r="AI232" s="42" t="s"/>
      <c r="AJ232" s="42" t="s"/>
    </row>
    <row r="233" spans="1:36" ht="21" customHeight="true">
      <c r="A233" s="653">
        <v>70</v>
      </c>
      <c r="B233" s="487" t="s">
        <v>1282</v>
      </c>
      <c r="C233" s="487" t="s"/>
      <c r="D233" s="487" t="s">
        <v>1283</v>
      </c>
      <c r="E233" s="486" t="s">
        <v>32</v>
      </c>
      <c r="F233" s="486">
        <v>2</v>
      </c>
      <c r="G233" s="57" t="s"/>
      <c r="H233" s="621" t="s"/>
      <c r="I233" s="119">
        <v>2</v>
      </c>
      <c r="J233" s="57" t="s"/>
      <c r="K233" s="620" t="s"/>
      <c r="L233" s="620" t="s"/>
      <c r="M233" s="57" t="s"/>
      <c r="N233" s="57" t="s"/>
      <c r="O233" s="57" t="s"/>
      <c r="P233" s="57" t="s"/>
      <c r="Q233" s="57" t="s"/>
      <c r="R233" s="57" t="s"/>
      <c r="S233" s="23" t="s"/>
      <c r="T233" s="621" t="s"/>
      <c r="U233" s="42" t="s">
        <v>1203</v>
      </c>
      <c r="V233" s="42" t="s">
        <v>1204</v>
      </c>
      <c r="W233" s="42" t="s"/>
      <c r="X233" s="42" t="s"/>
      <c r="Y233" s="41" t="s"/>
      <c r="Z233" s="41" t="s"/>
      <c r="AA233" s="42" t="s"/>
      <c r="AB233" s="42" t="s"/>
      <c r="AC233" s="582" t="s"/>
      <c r="AD233" s="582" t="s"/>
      <c r="AE233" s="582" t="s"/>
      <c r="AF233" s="582" t="s"/>
      <c r="AG233" s="42" t="s"/>
      <c r="AH233" s="42" t="s"/>
      <c r="AI233" s="42" t="s"/>
      <c r="AJ233" s="42" t="s"/>
    </row>
    <row r="234" spans="1:36" ht="21" customHeight="true">
      <c r="A234" s="653">
        <v>71</v>
      </c>
      <c r="B234" s="487" t="s">
        <v>1282</v>
      </c>
      <c r="C234" s="487" t="s"/>
      <c r="D234" s="487" t="s">
        <v>1272</v>
      </c>
      <c r="E234" s="486" t="s">
        <v>32</v>
      </c>
      <c r="F234" s="486">
        <v>2</v>
      </c>
      <c r="G234" s="57" t="s"/>
      <c r="H234" s="621" t="s"/>
      <c r="I234" s="119">
        <v>2</v>
      </c>
      <c r="J234" s="57" t="s"/>
      <c r="K234" s="620" t="s"/>
      <c r="L234" s="620" t="s"/>
      <c r="M234" s="57" t="s"/>
      <c r="N234" s="57" t="s"/>
      <c r="O234" s="57" t="s"/>
      <c r="P234" s="57" t="s"/>
      <c r="Q234" s="57" t="s"/>
      <c r="R234" s="57" t="s"/>
      <c r="S234" s="23" t="s"/>
      <c r="T234" s="621" t="s"/>
      <c r="U234" s="42" t="s">
        <v>1203</v>
      </c>
      <c r="V234" s="42" t="s">
        <v>1204</v>
      </c>
      <c r="W234" s="42" t="s"/>
      <c r="X234" s="42" t="s"/>
      <c r="Y234" s="41" t="s"/>
      <c r="Z234" s="41" t="s"/>
      <c r="AA234" s="42" t="s"/>
      <c r="AB234" s="42" t="s"/>
      <c r="AC234" s="582" t="s"/>
      <c r="AD234" s="582" t="s"/>
      <c r="AE234" s="582" t="s"/>
      <c r="AF234" s="582" t="s"/>
      <c r="AG234" s="42" t="s"/>
      <c r="AH234" s="42" t="s"/>
      <c r="AI234" s="42" t="s"/>
      <c r="AJ234" s="42" t="s"/>
    </row>
    <row r="235" spans="1:36" ht="21" customHeight="true">
      <c r="A235" s="653">
        <v>72</v>
      </c>
      <c r="B235" s="487" t="s">
        <v>1285</v>
      </c>
      <c r="C235" s="487" t="s"/>
      <c r="D235" s="487" t="s">
        <v>1286</v>
      </c>
      <c r="E235" s="486" t="s">
        <v>32</v>
      </c>
      <c r="F235" s="486">
        <v>4</v>
      </c>
      <c r="G235" s="57" t="s"/>
      <c r="H235" s="621" t="s"/>
      <c r="I235" s="119">
        <v>4</v>
      </c>
      <c r="J235" s="57" t="s"/>
      <c r="K235" s="620" t="s"/>
      <c r="L235" s="620" t="s"/>
      <c r="M235" s="57" t="s"/>
      <c r="N235" s="57" t="s"/>
      <c r="O235" s="57" t="s"/>
      <c r="P235" s="57" t="s"/>
      <c r="Q235" s="57" t="s"/>
      <c r="R235" s="57" t="s"/>
      <c r="S235" s="23" t="s"/>
      <c r="T235" s="621" t="s"/>
      <c r="U235" s="42" t="s">
        <v>1203</v>
      </c>
      <c r="V235" s="42" t="s">
        <v>1204</v>
      </c>
      <c r="W235" s="42" t="s"/>
      <c r="X235" s="42" t="s"/>
      <c r="Y235" s="41" t="s"/>
      <c r="Z235" s="41" t="s"/>
      <c r="AA235" s="42" t="s"/>
      <c r="AB235" s="42" t="s"/>
      <c r="AC235" s="582" t="s"/>
      <c r="AD235" s="582" t="s"/>
      <c r="AE235" s="582" t="s"/>
      <c r="AF235" s="582" t="s"/>
      <c r="AG235" s="42" t="s"/>
      <c r="AH235" s="42" t="s"/>
      <c r="AI235" s="42" t="s"/>
      <c r="AJ235" s="42" t="s"/>
    </row>
    <row r="236" spans="1:36" ht="21" customHeight="true">
      <c r="A236" s="653">
        <v>73</v>
      </c>
      <c r="B236" s="487" t="s">
        <v>657</v>
      </c>
      <c r="C236" s="487" t="s"/>
      <c r="D236" s="487" t="s">
        <v>1269</v>
      </c>
      <c r="E236" s="487" t="s">
        <v>32</v>
      </c>
      <c r="F236" s="487">
        <v>2</v>
      </c>
      <c r="G236" s="57" t="s"/>
      <c r="H236" s="621" t="s"/>
      <c r="I236" s="119">
        <v>2</v>
      </c>
      <c r="J236" s="57" t="s"/>
      <c r="K236" s="620" t="s"/>
      <c r="L236" s="620" t="s"/>
      <c r="M236" s="57" t="s"/>
      <c r="N236" s="57" t="s"/>
      <c r="O236" s="57" t="s"/>
      <c r="P236" s="57" t="s"/>
      <c r="Q236" s="57" t="s"/>
      <c r="R236" s="57" t="s"/>
      <c r="S236" s="23" t="s"/>
      <c r="T236" s="621" t="s"/>
      <c r="U236" s="42" t="s">
        <v>1203</v>
      </c>
      <c r="V236" s="42" t="s">
        <v>1204</v>
      </c>
      <c r="W236" s="42" t="s"/>
      <c r="X236" s="42" t="s"/>
      <c r="Y236" s="41" t="s"/>
      <c r="Z236" s="41" t="s"/>
      <c r="AA236" s="42" t="s"/>
      <c r="AB236" s="42" t="s"/>
      <c r="AC236" s="582" t="s"/>
      <c r="AD236" s="582" t="s"/>
      <c r="AE236" s="582" t="s"/>
      <c r="AF236" s="582" t="s"/>
      <c r="AG236" s="42" t="s"/>
      <c r="AH236" s="42" t="s"/>
      <c r="AI236" s="42" t="s"/>
      <c r="AJ236" s="42" t="s"/>
    </row>
    <row r="237" spans="1:36" ht="21" customHeight="true">
      <c r="A237" s="653">
        <v>74</v>
      </c>
      <c r="B237" s="487" t="s">
        <v>657</v>
      </c>
      <c r="C237" s="487" t="s"/>
      <c r="D237" s="487" t="s">
        <v>1280</v>
      </c>
      <c r="E237" s="487" t="s">
        <v>32</v>
      </c>
      <c r="F237" s="487">
        <v>2</v>
      </c>
      <c r="G237" s="57" t="s"/>
      <c r="H237" s="621" t="s"/>
      <c r="I237" s="119">
        <v>2</v>
      </c>
      <c r="J237" s="57" t="s"/>
      <c r="K237" s="620" t="s"/>
      <c r="L237" s="620" t="s"/>
      <c r="M237" s="57" t="s"/>
      <c r="N237" s="57" t="s"/>
      <c r="O237" s="57" t="s"/>
      <c r="P237" s="57" t="s"/>
      <c r="Q237" s="57" t="s"/>
      <c r="R237" s="57" t="s"/>
      <c r="S237" s="23" t="s"/>
      <c r="T237" s="621" t="s"/>
      <c r="U237" s="42" t="s">
        <v>1203</v>
      </c>
      <c r="V237" s="42" t="s">
        <v>1204</v>
      </c>
      <c r="W237" s="42" t="s"/>
      <c r="X237" s="42" t="s"/>
      <c r="Y237" s="41" t="s"/>
      <c r="Z237" s="41" t="s"/>
      <c r="AA237" s="42" t="s"/>
      <c r="AB237" s="42" t="s"/>
      <c r="AC237" s="582" t="s"/>
      <c r="AD237" s="582" t="s"/>
      <c r="AE237" s="582" t="s"/>
      <c r="AF237" s="582" t="s"/>
      <c r="AG237" s="42" t="s"/>
      <c r="AH237" s="42" t="s"/>
      <c r="AI237" s="42" t="s"/>
      <c r="AJ237" s="42" t="s"/>
    </row>
    <row r="238" spans="1:36" ht="21" customHeight="true">
      <c r="A238" s="653">
        <v>75</v>
      </c>
      <c r="B238" s="487" t="s">
        <v>646</v>
      </c>
      <c r="C238" s="487" t="s"/>
      <c r="D238" s="487" t="s">
        <v>1287</v>
      </c>
      <c r="E238" s="487" t="s">
        <v>32</v>
      </c>
      <c r="F238" s="487">
        <v>1</v>
      </c>
      <c r="G238" s="57" t="s"/>
      <c r="H238" s="621" t="s"/>
      <c r="I238" s="119">
        <v>1</v>
      </c>
      <c r="J238" s="57" t="s"/>
      <c r="K238" s="620" t="s"/>
      <c r="L238" s="620" t="s"/>
      <c r="M238" s="57" t="s"/>
      <c r="N238" s="57" t="s"/>
      <c r="O238" s="57" t="s"/>
      <c r="P238" s="57" t="s"/>
      <c r="Q238" s="57" t="s"/>
      <c r="R238" s="57" t="s"/>
      <c r="S238" s="23" t="s"/>
      <c r="T238" s="621" t="s"/>
      <c r="U238" s="42" t="s">
        <v>1203</v>
      </c>
      <c r="V238" s="42" t="s">
        <v>1204</v>
      </c>
      <c r="W238" s="42" t="s"/>
      <c r="X238" s="42" t="s"/>
      <c r="Y238" s="41" t="s"/>
      <c r="Z238" s="41" t="s"/>
      <c r="AA238" s="42" t="s"/>
      <c r="AB238" s="42" t="s"/>
      <c r="AC238" s="582" t="s"/>
      <c r="AD238" s="582" t="s"/>
      <c r="AE238" s="582" t="s"/>
      <c r="AF238" s="582" t="s"/>
      <c r="AG238" s="42" t="s"/>
      <c r="AH238" s="42" t="s"/>
      <c r="AI238" s="42" t="s"/>
      <c r="AJ238" s="42" t="s"/>
    </row>
    <row r="239" spans="1:36" ht="21" customHeight="true">
      <c r="A239" s="653">
        <v>76</v>
      </c>
      <c r="B239" s="487" t="s">
        <v>646</v>
      </c>
      <c r="C239" s="487" t="s"/>
      <c r="D239" s="487" t="s">
        <v>1280</v>
      </c>
      <c r="E239" s="487" t="s">
        <v>32</v>
      </c>
      <c r="F239" s="487">
        <v>1</v>
      </c>
      <c r="G239" s="57" t="s"/>
      <c r="H239" s="621" t="s"/>
      <c r="I239" s="119">
        <v>1</v>
      </c>
      <c r="J239" s="57" t="s"/>
      <c r="K239" s="620" t="s"/>
      <c r="L239" s="620" t="s"/>
      <c r="M239" s="57" t="s"/>
      <c r="N239" s="57" t="s"/>
      <c r="O239" s="57" t="s"/>
      <c r="P239" s="57" t="s"/>
      <c r="Q239" s="57" t="s"/>
      <c r="R239" s="57" t="s"/>
      <c r="S239" s="23" t="s"/>
      <c r="T239" s="621" t="s"/>
      <c r="U239" s="42" t="s">
        <v>1203</v>
      </c>
      <c r="V239" s="42" t="s">
        <v>1204</v>
      </c>
      <c r="W239" s="42" t="s"/>
      <c r="X239" s="42" t="s"/>
      <c r="Y239" s="41" t="s"/>
      <c r="Z239" s="41" t="s"/>
      <c r="AA239" s="42" t="s"/>
      <c r="AB239" s="42" t="s"/>
      <c r="AC239" s="582" t="s"/>
      <c r="AD239" s="582" t="s"/>
      <c r="AE239" s="582" t="s"/>
      <c r="AF239" s="582" t="s"/>
      <c r="AG239" s="42" t="s"/>
      <c r="AH239" s="42" t="s"/>
      <c r="AI239" s="42" t="s"/>
      <c r="AJ239" s="42" t="s"/>
    </row>
    <row r="240" spans="1:36" ht="21" customHeight="true">
      <c r="A240" s="653">
        <v>77</v>
      </c>
      <c r="B240" s="487" t="s">
        <v>632</v>
      </c>
      <c r="C240" s="487" t="s"/>
      <c r="D240" s="487" t="s">
        <v>1269</v>
      </c>
      <c r="E240" s="487" t="s">
        <v>32</v>
      </c>
      <c r="F240" s="487">
        <v>2</v>
      </c>
      <c r="G240" s="57" t="s"/>
      <c r="H240" s="621" t="s"/>
      <c r="I240" s="119">
        <v>2</v>
      </c>
      <c r="J240" s="57" t="s"/>
      <c r="K240" s="620" t="s"/>
      <c r="L240" s="620" t="s"/>
      <c r="M240" s="57" t="s"/>
      <c r="N240" s="57" t="s"/>
      <c r="O240" s="57" t="s"/>
      <c r="P240" s="57" t="s"/>
      <c r="Q240" s="57" t="s"/>
      <c r="R240" s="57" t="s"/>
      <c r="S240" s="23" t="s"/>
      <c r="T240" s="621" t="s"/>
      <c r="U240" s="42" t="s">
        <v>1203</v>
      </c>
      <c r="V240" s="42" t="s">
        <v>1204</v>
      </c>
      <c r="W240" s="42" t="s"/>
      <c r="X240" s="42" t="s"/>
      <c r="Y240" s="41" t="s"/>
      <c r="Z240" s="41" t="s"/>
      <c r="AA240" s="42" t="s"/>
      <c r="AB240" s="42" t="s"/>
      <c r="AC240" s="582" t="s"/>
      <c r="AD240" s="582" t="s"/>
      <c r="AE240" s="582" t="s"/>
      <c r="AF240" s="582" t="s"/>
      <c r="AG240" s="42" t="s"/>
      <c r="AH240" s="42" t="s"/>
      <c r="AI240" s="42" t="s"/>
      <c r="AJ240" s="42" t="s"/>
    </row>
    <row r="241" spans="1:36" ht="21" customHeight="true">
      <c r="A241" s="653">
        <v>78</v>
      </c>
      <c r="B241" s="487" t="s">
        <v>657</v>
      </c>
      <c r="C241" s="487" t="s"/>
      <c r="D241" s="487" t="s">
        <v>1278</v>
      </c>
      <c r="E241" s="487" t="s">
        <v>32</v>
      </c>
      <c r="F241" s="487">
        <v>4</v>
      </c>
      <c r="G241" s="57" t="s"/>
      <c r="H241" s="621" t="s"/>
      <c r="I241" s="119">
        <v>4</v>
      </c>
      <c r="J241" s="57" t="s"/>
      <c r="K241" s="620" t="s"/>
      <c r="L241" s="620" t="s"/>
      <c r="M241" s="57" t="s"/>
      <c r="N241" s="57" t="s"/>
      <c r="O241" s="57" t="s"/>
      <c r="P241" s="57" t="s"/>
      <c r="Q241" s="57" t="s"/>
      <c r="R241" s="57" t="s"/>
      <c r="S241" s="23" t="s"/>
      <c r="T241" s="621" t="s"/>
      <c r="U241" s="42" t="s">
        <v>1203</v>
      </c>
      <c r="V241" s="42" t="s">
        <v>1204</v>
      </c>
      <c r="W241" s="42" t="s"/>
      <c r="X241" s="42" t="s"/>
      <c r="Y241" s="41" t="s"/>
      <c r="Z241" s="41" t="s"/>
      <c r="AA241" s="42" t="s"/>
      <c r="AB241" s="42" t="s"/>
      <c r="AC241" s="582" t="s"/>
      <c r="AD241" s="582" t="s"/>
      <c r="AE241" s="582" t="s"/>
      <c r="AF241" s="582" t="s"/>
      <c r="AG241" s="42" t="s"/>
      <c r="AH241" s="42" t="s"/>
      <c r="AI241" s="42" t="s"/>
      <c r="AJ241" s="42" t="s"/>
    </row>
    <row r="242" spans="1:36" ht="21" customHeight="true">
      <c r="A242" s="653">
        <v>79</v>
      </c>
      <c r="B242" s="487" t="s">
        <v>657</v>
      </c>
      <c r="C242" s="487" t="s">
        <v>1271</v>
      </c>
      <c r="D242" s="487" t="s">
        <v>1288</v>
      </c>
      <c r="E242" s="487" t="s">
        <v>32</v>
      </c>
      <c r="F242" s="487">
        <v>2</v>
      </c>
      <c r="G242" s="57" t="s"/>
      <c r="H242" s="621" t="s"/>
      <c r="I242" s="119">
        <v>2</v>
      </c>
      <c r="J242" s="57" t="s"/>
      <c r="K242" s="620" t="s"/>
      <c r="L242" s="620" t="s"/>
      <c r="M242" s="57" t="s"/>
      <c r="N242" s="57" t="s"/>
      <c r="O242" s="57" t="s"/>
      <c r="P242" s="57" t="s"/>
      <c r="Q242" s="57" t="s"/>
      <c r="R242" s="57" t="s"/>
      <c r="S242" s="23" t="s"/>
      <c r="T242" s="621" t="s"/>
      <c r="U242" s="42" t="s">
        <v>1203</v>
      </c>
      <c r="V242" s="42" t="s">
        <v>1204</v>
      </c>
      <c r="W242" s="42" t="s"/>
      <c r="X242" s="42" t="s"/>
      <c r="Y242" s="41" t="s"/>
      <c r="Z242" s="41" t="s"/>
      <c r="AA242" s="42" t="s"/>
      <c r="AB242" s="42" t="s"/>
      <c r="AC242" s="582" t="s"/>
      <c r="AD242" s="582" t="s"/>
      <c r="AE242" s="582" t="s"/>
      <c r="AF242" s="582" t="s"/>
      <c r="AG242" s="42" t="s"/>
      <c r="AH242" s="42" t="s"/>
      <c r="AI242" s="42" t="s"/>
      <c r="AJ242" s="42" t="s"/>
    </row>
    <row r="243" spans="1:36" ht="21" customHeight="true">
      <c r="A243" s="653">
        <v>80</v>
      </c>
      <c r="B243" s="487" t="s">
        <v>657</v>
      </c>
      <c r="C243" s="487" t="s">
        <v>1289</v>
      </c>
      <c r="D243" s="487" t="s">
        <v>1269</v>
      </c>
      <c r="E243" s="487" t="s">
        <v>32</v>
      </c>
      <c r="F243" s="487">
        <v>2</v>
      </c>
      <c r="G243" s="57" t="s"/>
      <c r="H243" s="621" t="s"/>
      <c r="I243" s="119">
        <v>2</v>
      </c>
      <c r="J243" s="57" t="s"/>
      <c r="K243" s="620" t="s"/>
      <c r="L243" s="620" t="s"/>
      <c r="M243" s="57" t="s"/>
      <c r="N243" s="57" t="s"/>
      <c r="O243" s="57" t="s"/>
      <c r="P243" s="57" t="s"/>
      <c r="Q243" s="57" t="s"/>
      <c r="R243" s="57" t="s"/>
      <c r="S243" s="23" t="s"/>
      <c r="T243" s="621" t="s"/>
      <c r="U243" s="42" t="s">
        <v>1203</v>
      </c>
      <c r="V243" s="42" t="s">
        <v>1204</v>
      </c>
      <c r="W243" s="42" t="s"/>
      <c r="X243" s="42" t="s"/>
      <c r="Y243" s="41" t="s"/>
      <c r="Z243" s="41" t="s"/>
      <c r="AA243" s="42" t="s"/>
      <c r="AB243" s="42" t="s"/>
      <c r="AC243" s="582" t="s"/>
      <c r="AD243" s="582" t="s"/>
      <c r="AE243" s="582" t="s"/>
      <c r="AF243" s="582" t="s"/>
      <c r="AG243" s="42" t="s"/>
      <c r="AH243" s="42" t="s"/>
      <c r="AI243" s="42" t="s"/>
      <c r="AJ243" s="42" t="s"/>
    </row>
    <row r="244" spans="1:36" ht="21" customHeight="true">
      <c r="A244" s="653">
        <v>81</v>
      </c>
      <c r="B244" s="487" t="s">
        <v>657</v>
      </c>
      <c r="C244" s="487" t="s">
        <v>1289</v>
      </c>
      <c r="D244" s="487" t="s">
        <v>1269</v>
      </c>
      <c r="E244" s="487" t="s">
        <v>32</v>
      </c>
      <c r="F244" s="487">
        <v>2</v>
      </c>
      <c r="G244" s="57" t="s"/>
      <c r="H244" s="621" t="s"/>
      <c r="I244" s="119">
        <v>2</v>
      </c>
      <c r="J244" s="57" t="s"/>
      <c r="K244" s="620" t="s"/>
      <c r="L244" s="620" t="s"/>
      <c r="M244" s="57" t="s"/>
      <c r="N244" s="57" t="s"/>
      <c r="O244" s="57" t="s"/>
      <c r="P244" s="57" t="s"/>
      <c r="Q244" s="57" t="s"/>
      <c r="R244" s="57" t="s"/>
      <c r="S244" s="23" t="s"/>
      <c r="T244" s="621" t="s"/>
      <c r="U244" s="42" t="s">
        <v>1203</v>
      </c>
      <c r="V244" s="42" t="s">
        <v>1204</v>
      </c>
      <c r="W244" s="42" t="s"/>
      <c r="X244" s="42" t="s"/>
      <c r="Y244" s="41" t="s"/>
      <c r="Z244" s="41" t="s"/>
      <c r="AA244" s="42" t="s"/>
      <c r="AB244" s="42" t="s"/>
      <c r="AC244" s="582" t="s"/>
      <c r="AD244" s="582" t="s"/>
      <c r="AE244" s="582" t="s"/>
      <c r="AF244" s="582" t="s"/>
      <c r="AG244" s="42" t="s"/>
      <c r="AH244" s="42" t="s"/>
      <c r="AI244" s="42" t="s"/>
      <c r="AJ244" s="42" t="s"/>
    </row>
    <row r="245" spans="1:36" ht="21" customHeight="true">
      <c r="A245" s="653">
        <v>82</v>
      </c>
      <c r="B245" s="487" t="s">
        <v>657</v>
      </c>
      <c r="C245" s="487" t="s">
        <v>1290</v>
      </c>
      <c r="D245" s="487" t="s">
        <v>1291</v>
      </c>
      <c r="E245" s="487" t="s">
        <v>32</v>
      </c>
      <c r="F245" s="487">
        <v>2</v>
      </c>
      <c r="G245" s="57" t="s"/>
      <c r="H245" s="621" t="s"/>
      <c r="I245" s="119">
        <v>2</v>
      </c>
      <c r="J245" s="57" t="s"/>
      <c r="K245" s="620" t="s"/>
      <c r="L245" s="620" t="s"/>
      <c r="M245" s="57" t="s"/>
      <c r="N245" s="57" t="s"/>
      <c r="O245" s="57" t="s"/>
      <c r="P245" s="57" t="s"/>
      <c r="Q245" s="57" t="s"/>
      <c r="R245" s="57" t="s"/>
      <c r="S245" s="23" t="s"/>
      <c r="T245" s="621" t="s"/>
      <c r="U245" s="42" t="s">
        <v>1203</v>
      </c>
      <c r="V245" s="42" t="s">
        <v>1204</v>
      </c>
      <c r="W245" s="42" t="s"/>
      <c r="X245" s="42" t="s"/>
      <c r="Y245" s="41" t="s"/>
      <c r="Z245" s="41" t="s"/>
      <c r="AA245" s="42" t="s"/>
      <c r="AB245" s="42" t="s"/>
      <c r="AC245" s="582" t="s"/>
      <c r="AD245" s="582" t="s"/>
      <c r="AE245" s="582" t="s"/>
      <c r="AF245" s="582" t="s"/>
      <c r="AG245" s="42" t="s"/>
      <c r="AH245" s="42" t="s"/>
      <c r="AI245" s="42" t="s"/>
      <c r="AJ245" s="42" t="s"/>
    </row>
    <row r="246" spans="1:36" ht="21" customHeight="true">
      <c r="A246" s="653">
        <v>83</v>
      </c>
      <c r="B246" s="487" t="s">
        <v>657</v>
      </c>
      <c r="C246" s="487" t="s">
        <v>1289</v>
      </c>
      <c r="D246" s="487" t="s">
        <v>1269</v>
      </c>
      <c r="E246" s="487" t="s">
        <v>32</v>
      </c>
      <c r="F246" s="487">
        <v>12</v>
      </c>
      <c r="G246" s="57" t="s"/>
      <c r="H246" s="621" t="s"/>
      <c r="I246" s="119">
        <v>12</v>
      </c>
      <c r="J246" s="57" t="s"/>
      <c r="K246" s="620" t="s"/>
      <c r="L246" s="620" t="s"/>
      <c r="M246" s="57" t="s"/>
      <c r="N246" s="57" t="s"/>
      <c r="O246" s="57" t="s"/>
      <c r="P246" s="57" t="s"/>
      <c r="Q246" s="57" t="s"/>
      <c r="R246" s="57" t="s"/>
      <c r="S246" s="23" t="s"/>
      <c r="T246" s="621" t="s"/>
      <c r="U246" s="42" t="s">
        <v>1203</v>
      </c>
      <c r="V246" s="42" t="s">
        <v>1204</v>
      </c>
      <c r="W246" s="42" t="s"/>
      <c r="X246" s="42" t="s"/>
      <c r="Y246" s="41" t="s"/>
      <c r="Z246" s="41" t="s"/>
      <c r="AA246" s="42" t="s"/>
      <c r="AB246" s="42" t="s"/>
      <c r="AC246" s="582" t="s"/>
      <c r="AD246" s="582" t="s"/>
      <c r="AE246" s="582" t="s"/>
      <c r="AF246" s="582" t="s"/>
      <c r="AG246" s="42" t="s"/>
      <c r="AH246" s="42" t="s"/>
      <c r="AI246" s="42" t="s"/>
      <c r="AJ246" s="42" t="s"/>
    </row>
    <row r="247" spans="1:36" ht="21" customHeight="true">
      <c r="A247" s="653">
        <v>84</v>
      </c>
      <c r="B247" s="487" t="s">
        <v>657</v>
      </c>
      <c r="C247" s="487" t="s">
        <v>1292</v>
      </c>
      <c r="D247" s="487" t="s">
        <v>1293</v>
      </c>
      <c r="E247" s="487" t="s">
        <v>32</v>
      </c>
      <c r="F247" s="487">
        <v>8</v>
      </c>
      <c r="G247" s="57" t="s"/>
      <c r="H247" s="621" t="s"/>
      <c r="I247" s="119">
        <v>8</v>
      </c>
      <c r="J247" s="57" t="s"/>
      <c r="K247" s="620" t="s"/>
      <c r="L247" s="620" t="s"/>
      <c r="M247" s="57" t="s"/>
      <c r="N247" s="57" t="s"/>
      <c r="O247" s="57" t="s"/>
      <c r="P247" s="57" t="s"/>
      <c r="Q247" s="57" t="s"/>
      <c r="R247" s="57" t="s"/>
      <c r="S247" s="23" t="s"/>
      <c r="T247" s="621" t="s"/>
      <c r="U247" s="42" t="s">
        <v>1203</v>
      </c>
      <c r="V247" s="42" t="s">
        <v>1204</v>
      </c>
      <c r="W247" s="42" t="s"/>
      <c r="X247" s="42" t="s"/>
      <c r="Y247" s="41" t="s"/>
      <c r="Z247" s="41" t="s"/>
      <c r="AA247" s="42" t="s"/>
      <c r="AB247" s="42" t="s"/>
      <c r="AC247" s="582" t="s"/>
      <c r="AD247" s="582" t="s"/>
      <c r="AE247" s="582" t="s"/>
      <c r="AF247" s="582" t="s"/>
      <c r="AG247" s="42" t="s"/>
      <c r="AH247" s="42" t="s"/>
      <c r="AI247" s="42" t="s"/>
      <c r="AJ247" s="42" t="s"/>
    </row>
    <row r="248" spans="1:36" ht="21" customHeight="true">
      <c r="A248" s="653">
        <v>85</v>
      </c>
      <c r="B248" s="487" t="s">
        <v>657</v>
      </c>
      <c r="C248" s="487" t="s">
        <v>1294</v>
      </c>
      <c r="D248" s="487" t="s">
        <v>1278</v>
      </c>
      <c r="E248" s="487" t="s">
        <v>32</v>
      </c>
      <c r="F248" s="487">
        <v>25</v>
      </c>
      <c r="G248" s="57" t="s"/>
      <c r="H248" s="621" t="s"/>
      <c r="I248" s="119">
        <v>25</v>
      </c>
      <c r="J248" s="57" t="s"/>
      <c r="K248" s="620" t="s"/>
      <c r="L248" s="620" t="s"/>
      <c r="M248" s="57" t="s"/>
      <c r="N248" s="57" t="s"/>
      <c r="O248" s="57" t="s"/>
      <c r="P248" s="57" t="s"/>
      <c r="Q248" s="57" t="s"/>
      <c r="R248" s="57" t="s"/>
      <c r="S248" s="23" t="s"/>
      <c r="T248" s="621" t="s"/>
      <c r="U248" s="42" t="s">
        <v>1203</v>
      </c>
      <c r="V248" s="42" t="s">
        <v>1204</v>
      </c>
      <c r="W248" s="42" t="s"/>
      <c r="X248" s="42" t="s"/>
      <c r="Y248" s="41" t="s"/>
      <c r="Z248" s="41" t="s"/>
      <c r="AA248" s="42" t="s"/>
      <c r="AB248" s="42" t="s"/>
      <c r="AC248" s="582" t="s"/>
      <c r="AD248" s="582" t="s"/>
      <c r="AE248" s="582" t="s"/>
      <c r="AF248" s="582" t="s"/>
      <c r="AG248" s="42" t="s"/>
      <c r="AH248" s="42" t="s"/>
      <c r="AI248" s="42" t="s"/>
      <c r="AJ248" s="42" t="s"/>
    </row>
    <row r="249" spans="1:36" ht="21" customHeight="true">
      <c r="A249" s="653">
        <v>86</v>
      </c>
      <c r="B249" s="487" t="s">
        <v>632</v>
      </c>
      <c r="C249" s="487" t="s">
        <v>1289</v>
      </c>
      <c r="D249" s="487" t="s">
        <v>1269</v>
      </c>
      <c r="E249" s="487" t="s">
        <v>32</v>
      </c>
      <c r="F249" s="487">
        <v>1</v>
      </c>
      <c r="G249" s="57" t="s"/>
      <c r="H249" s="621" t="s"/>
      <c r="I249" s="119">
        <v>1</v>
      </c>
      <c r="J249" s="57" t="s"/>
      <c r="K249" s="620" t="s"/>
      <c r="L249" s="620" t="s"/>
      <c r="M249" s="57" t="s"/>
      <c r="N249" s="57" t="s"/>
      <c r="O249" s="57" t="s"/>
      <c r="P249" s="57" t="s"/>
      <c r="Q249" s="57" t="s"/>
      <c r="R249" s="57" t="s"/>
      <c r="S249" s="23" t="s"/>
      <c r="T249" s="621" t="s"/>
      <c r="U249" s="42" t="s">
        <v>1203</v>
      </c>
      <c r="V249" s="42" t="s">
        <v>1204</v>
      </c>
      <c r="W249" s="42" t="s"/>
      <c r="X249" s="42" t="s"/>
      <c r="Y249" s="41" t="s"/>
      <c r="Z249" s="41" t="s"/>
      <c r="AA249" s="42" t="s"/>
      <c r="AB249" s="42" t="s"/>
      <c r="AC249" s="582" t="s"/>
      <c r="AD249" s="582" t="s"/>
      <c r="AE249" s="582" t="s"/>
      <c r="AF249" s="582" t="s"/>
      <c r="AG249" s="42" t="s"/>
      <c r="AH249" s="42" t="s"/>
      <c r="AI249" s="42" t="s"/>
      <c r="AJ249" s="42" t="s"/>
    </row>
    <row r="250" spans="1:36" ht="21" customHeight="true">
      <c r="A250" s="653">
        <v>87</v>
      </c>
      <c r="B250" s="487" t="s">
        <v>657</v>
      </c>
      <c r="C250" s="487" t="s">
        <v>1295</v>
      </c>
      <c r="D250" s="487" t="s">
        <v>1273</v>
      </c>
      <c r="E250" s="487" t="s">
        <v>32</v>
      </c>
      <c r="F250" s="487">
        <v>20</v>
      </c>
      <c r="G250" s="57" t="s"/>
      <c r="H250" s="621" t="s"/>
      <c r="I250" s="119">
        <v>20</v>
      </c>
      <c r="J250" s="57" t="s"/>
      <c r="K250" s="620" t="s"/>
      <c r="L250" s="620" t="s"/>
      <c r="M250" s="57" t="s"/>
      <c r="N250" s="57" t="s"/>
      <c r="O250" s="57" t="s"/>
      <c r="P250" s="57" t="s"/>
      <c r="Q250" s="57" t="s"/>
      <c r="R250" s="57" t="s"/>
      <c r="S250" s="23" t="s"/>
      <c r="T250" s="621" t="s"/>
      <c r="U250" s="42" t="s">
        <v>1203</v>
      </c>
      <c r="V250" s="42" t="s">
        <v>1204</v>
      </c>
      <c r="W250" s="42" t="s"/>
      <c r="X250" s="42" t="s"/>
      <c r="Y250" s="41" t="s"/>
      <c r="Z250" s="41" t="s"/>
      <c r="AA250" s="42" t="s"/>
      <c r="AB250" s="42" t="s"/>
      <c r="AC250" s="582" t="s"/>
      <c r="AD250" s="582" t="s"/>
      <c r="AE250" s="582" t="s"/>
      <c r="AF250" s="582" t="s"/>
      <c r="AG250" s="42" t="s"/>
      <c r="AH250" s="42" t="s"/>
      <c r="AI250" s="42" t="s"/>
      <c r="AJ250" s="42" t="s"/>
    </row>
    <row r="251" spans="1:36" ht="21" customHeight="true">
      <c r="A251" s="653">
        <v>88</v>
      </c>
      <c r="B251" s="487" t="s">
        <v>646</v>
      </c>
      <c r="C251" s="487" t="s"/>
      <c r="D251" s="487" t="s">
        <v>1277</v>
      </c>
      <c r="E251" s="487" t="s">
        <v>32</v>
      </c>
      <c r="F251" s="487">
        <v>2</v>
      </c>
      <c r="G251" s="57" t="s"/>
      <c r="H251" s="621" t="s"/>
      <c r="I251" s="119">
        <v>2</v>
      </c>
      <c r="J251" s="57" t="s"/>
      <c r="K251" s="620" t="s"/>
      <c r="L251" s="620" t="s"/>
      <c r="M251" s="57" t="s"/>
      <c r="N251" s="57" t="s"/>
      <c r="O251" s="57" t="s"/>
      <c r="P251" s="57" t="s"/>
      <c r="Q251" s="57" t="s"/>
      <c r="R251" s="57" t="s"/>
      <c r="S251" s="23" t="s"/>
      <c r="T251" s="621" t="s"/>
      <c r="U251" s="42" t="s">
        <v>1203</v>
      </c>
      <c r="V251" s="42" t="s">
        <v>1204</v>
      </c>
      <c r="W251" s="42" t="s"/>
      <c r="X251" s="42" t="s"/>
      <c r="Y251" s="41" t="s"/>
      <c r="Z251" s="41" t="s"/>
      <c r="AA251" s="42" t="s"/>
      <c r="AB251" s="42" t="s"/>
      <c r="AC251" s="582" t="s"/>
      <c r="AD251" s="582" t="s"/>
      <c r="AE251" s="582" t="s"/>
      <c r="AF251" s="582" t="s"/>
      <c r="AG251" s="42" t="s"/>
      <c r="AH251" s="42" t="s"/>
      <c r="AI251" s="42" t="s"/>
      <c r="AJ251" s="42" t="s"/>
    </row>
    <row r="252" spans="1:36" ht="21" customHeight="true">
      <c r="A252" s="653">
        <v>89</v>
      </c>
      <c r="B252" s="487" t="s">
        <v>657</v>
      </c>
      <c r="C252" s="487" t="s"/>
      <c r="D252" s="487" t="s">
        <v>1280</v>
      </c>
      <c r="E252" s="487" t="s">
        <v>32</v>
      </c>
      <c r="F252" s="487">
        <v>2</v>
      </c>
      <c r="G252" s="57" t="s"/>
      <c r="H252" s="621" t="s"/>
      <c r="I252" s="119">
        <v>2</v>
      </c>
      <c r="J252" s="57" t="s"/>
      <c r="K252" s="620" t="s"/>
      <c r="L252" s="620" t="s"/>
      <c r="M252" s="57" t="s"/>
      <c r="N252" s="57" t="s"/>
      <c r="O252" s="57" t="s"/>
      <c r="P252" s="57" t="s"/>
      <c r="Q252" s="57" t="s"/>
      <c r="R252" s="57" t="s"/>
      <c r="S252" s="23" t="s"/>
      <c r="T252" s="621" t="s"/>
      <c r="U252" s="42" t="s">
        <v>1203</v>
      </c>
      <c r="V252" s="42" t="s">
        <v>1204</v>
      </c>
      <c r="W252" s="42" t="s"/>
      <c r="X252" s="42" t="s"/>
      <c r="Y252" s="41" t="s"/>
      <c r="Z252" s="41" t="s"/>
      <c r="AA252" s="42" t="s"/>
      <c r="AB252" s="42" t="s"/>
      <c r="AC252" s="582" t="s"/>
      <c r="AD252" s="582" t="s"/>
      <c r="AE252" s="582" t="s"/>
      <c r="AF252" s="582" t="s"/>
      <c r="AG252" s="42" t="s"/>
      <c r="AH252" s="42" t="s"/>
      <c r="AI252" s="42" t="s"/>
      <c r="AJ252" s="42" t="s"/>
    </row>
    <row r="253" spans="1:36" ht="21" customHeight="true">
      <c r="A253" s="653">
        <v>90</v>
      </c>
      <c r="B253" s="487" t="s">
        <v>632</v>
      </c>
      <c r="C253" s="487" t="s"/>
      <c r="D253" s="487" t="s">
        <v>1280</v>
      </c>
      <c r="E253" s="487" t="s">
        <v>32</v>
      </c>
      <c r="F253" s="487">
        <v>2</v>
      </c>
      <c r="G253" s="57" t="s"/>
      <c r="H253" s="621" t="s"/>
      <c r="I253" s="119">
        <v>2</v>
      </c>
      <c r="J253" s="57" t="s"/>
      <c r="K253" s="620" t="s"/>
      <c r="L253" s="620" t="s"/>
      <c r="M253" s="57" t="s"/>
      <c r="N253" s="57" t="s"/>
      <c r="O253" s="57" t="s"/>
      <c r="P253" s="57" t="s"/>
      <c r="Q253" s="57" t="s"/>
      <c r="R253" s="57" t="s"/>
      <c r="S253" s="23" t="s"/>
      <c r="T253" s="621" t="s"/>
      <c r="U253" s="42" t="s">
        <v>1203</v>
      </c>
      <c r="V253" s="42" t="s">
        <v>1204</v>
      </c>
      <c r="W253" s="42" t="s"/>
      <c r="X253" s="42" t="s"/>
      <c r="Y253" s="41" t="s"/>
      <c r="Z253" s="41" t="s"/>
      <c r="AA253" s="42" t="s"/>
      <c r="AB253" s="42" t="s"/>
      <c r="AC253" s="582" t="s"/>
      <c r="AD253" s="582" t="s"/>
      <c r="AE253" s="582" t="s"/>
      <c r="AF253" s="582" t="s"/>
      <c r="AG253" s="42" t="s"/>
      <c r="AH253" s="42" t="s"/>
      <c r="AI253" s="42" t="s"/>
      <c r="AJ253" s="42" t="s"/>
    </row>
    <row r="254" spans="1:36" ht="21" customHeight="true">
      <c r="A254" s="43">
        <v>35</v>
      </c>
      <c r="B254" s="42" t="s">
        <v>1296</v>
      </c>
      <c r="C254" s="42" t="s"/>
      <c r="D254" s="42" t="s">
        <v>1297</v>
      </c>
      <c r="E254" s="16" t="s">
        <v>36</v>
      </c>
      <c r="F254" s="16">
        <v>1</v>
      </c>
      <c r="G254" s="57" t="s"/>
      <c r="H254" s="621" t="s"/>
      <c r="I254" s="119">
        <v>1</v>
      </c>
      <c r="J254" s="57" t="s"/>
      <c r="K254" s="620" t="s"/>
      <c r="L254" s="620" t="s"/>
      <c r="M254" s="57" t="s"/>
      <c r="N254" s="57" t="s"/>
      <c r="O254" s="57" t="s"/>
      <c r="P254" s="57" t="s"/>
      <c r="Q254" s="57" t="s"/>
      <c r="R254" s="57" t="s"/>
      <c r="S254" s="23" t="s"/>
      <c r="T254" s="621" t="s"/>
      <c r="U254" s="42" t="s">
        <v>1203</v>
      </c>
      <c r="V254" s="42" t="s">
        <v>1204</v>
      </c>
      <c r="W254" s="42">
        <v>1100000</v>
      </c>
      <c r="X254" s="42">
        <f>=W254*F254</f>
        <v>1100000</v>
      </c>
      <c r="Y254" s="41" t="s"/>
      <c r="Z254" s="41" t="s"/>
      <c r="AA254" s="42" t="s"/>
      <c r="AB254" s="42" t="s"/>
      <c r="AC254" s="582" t="s"/>
      <c r="AD254" s="582" t="s"/>
      <c r="AE254" s="582" t="s"/>
      <c r="AF254" s="582" t="s"/>
      <c r="AG254" s="42" t="s"/>
      <c r="AH254" s="42" t="s"/>
      <c r="AI254" s="42" t="s"/>
      <c r="AJ254" s="42" t="s"/>
    </row>
    <row r="255" spans="1:36" ht="21" customHeight="true">
      <c r="A255" s="43">
        <v>36</v>
      </c>
      <c r="B255" s="42" t="s">
        <v>35</v>
      </c>
      <c r="C255" s="42" t="s"/>
      <c r="D255" s="42" t="s"/>
      <c r="E255" s="16" t="s">
        <v>36</v>
      </c>
      <c r="F255" s="16">
        <v>2</v>
      </c>
      <c r="G255" s="57" t="s"/>
      <c r="H255" s="621" t="s"/>
      <c r="I255" s="119">
        <v>2</v>
      </c>
      <c r="J255" s="57" t="s"/>
      <c r="K255" s="620" t="s"/>
      <c r="L255" s="620" t="s"/>
      <c r="M255" s="57" t="s"/>
      <c r="N255" s="57" t="s"/>
      <c r="O255" s="57" t="s"/>
      <c r="P255" s="57" t="s"/>
      <c r="Q255" s="57" t="s"/>
      <c r="R255" s="57" t="s"/>
      <c r="S255" s="23" t="s"/>
      <c r="T255" s="621" t="s"/>
      <c r="U255" s="42" t="s">
        <v>1203</v>
      </c>
      <c r="V255" s="42" t="s">
        <v>1204</v>
      </c>
      <c r="W255" s="42">
        <v>130000</v>
      </c>
      <c r="X255" s="42">
        <f>=W255*F255</f>
        <v>260000</v>
      </c>
      <c r="Y255" s="41" t="s"/>
      <c r="Z255" s="41" t="s"/>
      <c r="AA255" s="42" t="s"/>
      <c r="AB255" s="42" t="s"/>
      <c r="AC255" s="582" t="s"/>
      <c r="AD255" s="582" t="s"/>
      <c r="AE255" s="582" t="s"/>
      <c r="AF255" s="582" t="s"/>
      <c r="AG255" s="42" t="s"/>
      <c r="AH255" s="42" t="s"/>
      <c r="AI255" s="42" t="s"/>
      <c r="AJ255" s="42" t="s"/>
    </row>
    <row r="256" spans="1:36" ht="21" customHeight="true">
      <c r="A256" s="43">
        <v>37</v>
      </c>
      <c r="B256" s="42" t="s">
        <v>1298</v>
      </c>
      <c r="C256" s="42" t="s"/>
      <c r="D256" s="42" t="s"/>
      <c r="E256" s="16" t="s">
        <v>36</v>
      </c>
      <c r="F256" s="16">
        <v>2</v>
      </c>
      <c r="G256" s="57" t="s"/>
      <c r="H256" s="621" t="s"/>
      <c r="I256" s="119">
        <v>2</v>
      </c>
      <c r="J256" s="57" t="s"/>
      <c r="K256" s="620" t="s"/>
      <c r="L256" s="620" t="s"/>
      <c r="M256" s="57" t="s"/>
      <c r="N256" s="57" t="s"/>
      <c r="O256" s="57" t="s"/>
      <c r="P256" s="57" t="s"/>
      <c r="Q256" s="57" t="s"/>
      <c r="R256" s="57" t="s"/>
      <c r="S256" s="23" t="s"/>
      <c r="T256" s="621" t="s"/>
      <c r="U256" s="42" t="s">
        <v>1203</v>
      </c>
      <c r="V256" s="42" t="s">
        <v>1204</v>
      </c>
      <c r="W256" s="42">
        <v>190000</v>
      </c>
      <c r="X256" s="42">
        <f>=W256*F256</f>
        <v>380000</v>
      </c>
      <c r="Y256" s="41" t="s"/>
      <c r="Z256" s="41" t="s"/>
      <c r="AA256" s="42" t="s"/>
      <c r="AB256" s="42" t="s"/>
      <c r="AC256" s="582" t="s"/>
      <c r="AD256" s="582" t="s"/>
      <c r="AE256" s="582" t="s"/>
      <c r="AF256" s="582" t="s"/>
      <c r="AG256" s="42" t="s"/>
      <c r="AH256" s="42" t="s"/>
      <c r="AI256" s="42" t="s"/>
      <c r="AJ256" s="42" t="s"/>
    </row>
    <row r="257" spans="1:36" ht="21" customHeight="true">
      <c r="A257" s="43">
        <v>38</v>
      </c>
      <c r="B257" s="42" t="s">
        <v>1299</v>
      </c>
      <c r="C257" s="42" t="s"/>
      <c r="D257" s="42" t="s"/>
      <c r="E257" s="16" t="s">
        <v>36</v>
      </c>
      <c r="F257" s="16">
        <v>2</v>
      </c>
      <c r="G257" s="57" t="s"/>
      <c r="H257" s="621" t="s"/>
      <c r="I257" s="119">
        <v>2</v>
      </c>
      <c r="J257" s="57" t="s"/>
      <c r="K257" s="620" t="s"/>
      <c r="L257" s="620" t="s"/>
      <c r="M257" s="57" t="s"/>
      <c r="N257" s="57" t="s"/>
      <c r="O257" s="57" t="s"/>
      <c r="P257" s="57" t="s"/>
      <c r="Q257" s="57" t="s"/>
      <c r="R257" s="57" t="s"/>
      <c r="S257" s="23" t="s"/>
      <c r="T257" s="621" t="s"/>
      <c r="U257" s="42" t="s">
        <v>1203</v>
      </c>
      <c r="V257" s="42" t="s">
        <v>1204</v>
      </c>
      <c r="W257" s="42">
        <v>300000</v>
      </c>
      <c r="X257" s="42">
        <f>=W257*F257</f>
        <v>600000</v>
      </c>
      <c r="Y257" s="41" t="s"/>
      <c r="Z257" s="41" t="s"/>
      <c r="AA257" s="42" t="s"/>
      <c r="AB257" s="42" t="s"/>
      <c r="AC257" s="582" t="s"/>
      <c r="AD257" s="582" t="s"/>
      <c r="AE257" s="582" t="s"/>
      <c r="AF257" s="582" t="s"/>
      <c r="AG257" s="42" t="s"/>
      <c r="AH257" s="42" t="s"/>
      <c r="AI257" s="42" t="s"/>
      <c r="AJ257" s="42" t="s"/>
    </row>
    <row r="258" spans="1:36" ht="21" customHeight="true">
      <c r="A258" s="583">
        <v>39</v>
      </c>
      <c r="B258" s="42" t="s">
        <v>1300</v>
      </c>
      <c r="C258" s="42" t="s"/>
      <c r="D258" s="42" t="s"/>
      <c r="E258" s="16" t="s">
        <v>36</v>
      </c>
      <c r="F258" s="16">
        <v>2</v>
      </c>
      <c r="G258" s="57" t="s"/>
      <c r="H258" s="621" t="s"/>
      <c r="I258" s="119">
        <v>2</v>
      </c>
      <c r="J258" s="57" t="s"/>
      <c r="K258" s="620" t="s"/>
      <c r="L258" s="620" t="s"/>
      <c r="M258" s="57" t="s"/>
      <c r="N258" s="57" t="s"/>
      <c r="O258" s="57" t="s"/>
      <c r="P258" s="57" t="s"/>
      <c r="Q258" s="57" t="s"/>
      <c r="R258" s="57" t="s"/>
      <c r="S258" s="23" t="s"/>
      <c r="T258" s="621" t="s"/>
      <c r="U258" s="42" t="s">
        <v>1203</v>
      </c>
      <c r="V258" s="42" t="s">
        <v>1204</v>
      </c>
      <c r="W258" s="42">
        <v>80000</v>
      </c>
      <c r="X258" s="42">
        <f>=W258*F258</f>
        <v>160000</v>
      </c>
      <c r="Y258" s="41" t="s"/>
      <c r="Z258" s="41" t="s"/>
      <c r="AA258" s="42" t="s"/>
      <c r="AB258" s="42" t="s"/>
      <c r="AC258" s="582" t="s"/>
      <c r="AD258" s="582" t="s"/>
      <c r="AE258" s="582" t="s"/>
      <c r="AF258" s="582" t="s"/>
      <c r="AG258" s="42" t="s"/>
      <c r="AH258" s="42" t="s"/>
      <c r="AI258" s="42" t="s"/>
      <c r="AJ258" s="42" t="s"/>
    </row>
    <row r="259" spans="1:36" ht="21" customHeight="true">
      <c r="A259" s="583">
        <v>40</v>
      </c>
      <c r="B259" s="42" t="s">
        <v>1301</v>
      </c>
      <c r="C259" s="42" t="s"/>
      <c r="D259" s="42" t="s"/>
      <c r="E259" s="16" t="s">
        <v>36</v>
      </c>
      <c r="F259" s="16">
        <v>2</v>
      </c>
      <c r="G259" s="57" t="s"/>
      <c r="H259" s="621" t="s"/>
      <c r="I259" s="119">
        <v>2</v>
      </c>
      <c r="J259" s="57" t="s"/>
      <c r="K259" s="620" t="s"/>
      <c r="L259" s="620" t="s"/>
      <c r="M259" s="57" t="s"/>
      <c r="N259" s="57" t="s"/>
      <c r="O259" s="57" t="s"/>
      <c r="P259" s="57" t="s"/>
      <c r="Q259" s="57" t="s"/>
      <c r="R259" s="57" t="s"/>
      <c r="S259" s="23" t="s"/>
      <c r="T259" s="621" t="s"/>
      <c r="U259" s="42" t="s">
        <v>1203</v>
      </c>
      <c r="V259" s="42" t="s">
        <v>1204</v>
      </c>
      <c r="W259" s="42">
        <v>15000</v>
      </c>
      <c r="X259" s="42">
        <f>=W259*F259</f>
        <v>30000</v>
      </c>
      <c r="Y259" s="41" t="s"/>
      <c r="Z259" s="41" t="s"/>
      <c r="AA259" s="42" t="s"/>
      <c r="AB259" s="42" t="s"/>
      <c r="AC259" s="582" t="s"/>
      <c r="AD259" s="582" t="s"/>
      <c r="AE259" s="582" t="s"/>
      <c r="AF259" s="582" t="s"/>
      <c r="AG259" s="42" t="s"/>
      <c r="AH259" s="42" t="s"/>
      <c r="AI259" s="42" t="s"/>
      <c r="AJ259" s="42" t="s"/>
    </row>
    <row r="260" spans="1:36" ht="21" customHeight="true">
      <c r="A260" s="583">
        <v>41</v>
      </c>
      <c r="B260" s="42" t="s">
        <v>1302</v>
      </c>
      <c r="C260" s="42" t="s"/>
      <c r="D260" s="42" t="s">
        <v>1303</v>
      </c>
      <c r="E260" s="16" t="s">
        <v>514</v>
      </c>
      <c r="F260" s="16">
        <v>1</v>
      </c>
      <c r="G260" s="57" t="s"/>
      <c r="H260" s="621" t="s"/>
      <c r="I260" s="119">
        <v>1</v>
      </c>
      <c r="J260" s="57" t="s"/>
      <c r="K260" s="620" t="s"/>
      <c r="L260" s="620" t="s"/>
      <c r="M260" s="57" t="s"/>
      <c r="N260" s="57" t="s"/>
      <c r="O260" s="57" t="s"/>
      <c r="P260" s="57" t="s"/>
      <c r="Q260" s="57" t="s"/>
      <c r="R260" s="57" t="s"/>
      <c r="S260" s="23" t="s"/>
      <c r="T260" s="621" t="s"/>
      <c r="U260" s="42" t="s">
        <v>1203</v>
      </c>
      <c r="V260" s="42" t="s">
        <v>1204</v>
      </c>
      <c r="W260" s="42">
        <v>4300000</v>
      </c>
      <c r="X260" s="42">
        <f>=W260*F260</f>
        <v>4300000</v>
      </c>
      <c r="Y260" s="41" t="s"/>
      <c r="Z260" s="41" t="s"/>
      <c r="AA260" s="42" t="s"/>
      <c r="AB260" s="42" t="s"/>
      <c r="AC260" s="582" t="s"/>
      <c r="AD260" s="582" t="s"/>
      <c r="AE260" s="582" t="s"/>
      <c r="AF260" s="582" t="s"/>
      <c r="AG260" s="42" t="s"/>
      <c r="AH260" s="42" t="s"/>
      <c r="AI260" s="42" t="s"/>
      <c r="AJ260" s="42" t="s"/>
    </row>
    <row r="261" spans="1:36" ht="21" customHeight="true">
      <c r="A261" s="583">
        <v>42</v>
      </c>
      <c r="B261" s="42" t="s">
        <v>1304</v>
      </c>
      <c r="C261" s="42" t="s"/>
      <c r="D261" s="42" t="s">
        <v>1305</v>
      </c>
      <c r="E261" s="16" t="s">
        <v>514</v>
      </c>
      <c r="F261" s="16">
        <v>1</v>
      </c>
      <c r="G261" s="57" t="s"/>
      <c r="H261" s="621" t="s"/>
      <c r="I261" s="119">
        <v>1</v>
      </c>
      <c r="J261" s="57" t="s"/>
      <c r="K261" s="620" t="s"/>
      <c r="L261" s="620" t="s"/>
      <c r="M261" s="57" t="s"/>
      <c r="N261" s="57" t="s"/>
      <c r="O261" s="57" t="s"/>
      <c r="P261" s="57" t="s"/>
      <c r="Q261" s="57" t="s"/>
      <c r="R261" s="57" t="s"/>
      <c r="S261" s="23" t="s"/>
      <c r="T261" s="621" t="s"/>
      <c r="U261" s="42" t="s">
        <v>1203</v>
      </c>
      <c r="V261" s="42" t="s">
        <v>1204</v>
      </c>
      <c r="W261" s="42">
        <f>=500000+580000</f>
        <v>1080000</v>
      </c>
      <c r="X261" s="42">
        <f>=W261*F261</f>
        <v>1080000</v>
      </c>
      <c r="Y261" s="41" t="s"/>
      <c r="Z261" s="41" t="s"/>
      <c r="AA261" s="42" t="s"/>
      <c r="AB261" s="42" t="s"/>
      <c r="AC261" s="582" t="s"/>
      <c r="AD261" s="582" t="s"/>
      <c r="AE261" s="582" t="s"/>
      <c r="AF261" s="582" t="s"/>
      <c r="AG261" s="42" t="s"/>
      <c r="AH261" s="42" t="s"/>
      <c r="AI261" s="42" t="s"/>
      <c r="AJ261" s="42" t="s"/>
    </row>
    <row r="262" spans="1:36" ht="21" customHeight="true">
      <c r="A262" s="43">
        <v>43</v>
      </c>
      <c r="B262" s="42" t="s">
        <v>1306</v>
      </c>
      <c r="C262" s="42" t="s"/>
      <c r="D262" s="42" t="s">
        <v>1307</v>
      </c>
      <c r="E262" s="16" t="s">
        <v>514</v>
      </c>
      <c r="F262" s="16">
        <v>1</v>
      </c>
      <c r="G262" s="61" t="s"/>
      <c r="H262" s="628" t="s"/>
      <c r="I262" s="119">
        <v>1</v>
      </c>
      <c r="J262" s="61" t="s"/>
      <c r="K262" s="636" t="s"/>
      <c r="L262" s="636" t="s"/>
      <c r="M262" s="61" t="s"/>
      <c r="N262" s="61" t="s"/>
      <c r="O262" s="61" t="s"/>
      <c r="P262" s="61" t="s"/>
      <c r="Q262" s="61" t="s"/>
      <c r="R262" s="61" t="s"/>
      <c r="S262" s="143" t="s"/>
      <c r="T262" s="628" t="s"/>
      <c r="U262" s="42" t="s">
        <v>1203</v>
      </c>
      <c r="V262" s="42" t="s">
        <v>1204</v>
      </c>
      <c r="W262" s="42">
        <f>=330000+580000+2250000</f>
        <v>3160000</v>
      </c>
      <c r="X262" s="42">
        <f>=W262*F262</f>
        <v>3160000</v>
      </c>
      <c r="Y262" s="41" t="s"/>
      <c r="Z262" s="41" t="s"/>
      <c r="AA262" s="42" t="s"/>
      <c r="AB262" s="42" t="s"/>
      <c r="AC262" s="582" t="s"/>
      <c r="AD262" s="582" t="s"/>
      <c r="AE262" s="582" t="s"/>
      <c r="AF262" s="582" t="s"/>
      <c r="AG262" s="42" t="s"/>
      <c r="AH262" s="42" t="s"/>
      <c r="AI262" s="42" t="s"/>
      <c r="AJ262" s="42" t="s"/>
    </row>
    <row r="263" spans="1:36" ht="21" customHeight="true">
      <c r="A263" s="637" t="s">
        <v>830</v>
      </c>
      <c r="B263" s="498" t="s">
        <v>1308</v>
      </c>
      <c r="C263" s="654" t="s"/>
      <c r="D263" s="499" t="s"/>
      <c r="E263" s="248" t="s"/>
      <c r="F263" s="248" t="s"/>
      <c r="G263" s="139" t="s"/>
      <c r="H263" s="633" t="s"/>
      <c r="I263" s="655" t="s"/>
      <c r="J263" s="655" t="s"/>
      <c r="K263" s="655" t="s"/>
      <c r="L263" s="656">
        <f>=SUM(L264:L269)</f>
        <v>1208736</v>
      </c>
      <c r="M263" s="657" t="s"/>
      <c r="N263" s="658">
        <f>=SUM(N264:N269)</f>
        <v>1048000</v>
      </c>
      <c r="O263" s="657" t="s"/>
      <c r="P263" s="658">
        <f>=SUM(P264:P269)</f>
        <v>1100000</v>
      </c>
      <c r="Q263" s="657" t="s"/>
      <c r="R263" s="658">
        <f>=SUM(R264:R269)</f>
        <v>1204240</v>
      </c>
      <c r="S263" s="494" t="s"/>
      <c r="T263" s="494" t="s"/>
      <c r="U263" s="74" t="s"/>
      <c r="V263" s="74" t="s"/>
      <c r="W263" s="74" t="s"/>
      <c r="X263" s="74" t="s"/>
      <c r="Y263" s="72" t="s"/>
      <c r="Z263" s="72" t="s"/>
      <c r="AA263" s="74" t="s"/>
      <c r="AB263" s="74" t="s"/>
      <c r="AC263" s="582" t="s"/>
      <c r="AD263" s="582" t="s"/>
      <c r="AE263" s="582" t="s"/>
      <c r="AF263" s="582" t="s"/>
      <c r="AG263" s="74" t="s"/>
      <c r="AH263" s="74" t="s"/>
      <c r="AI263" s="74" t="s"/>
      <c r="AJ263" s="74" t="s"/>
    </row>
    <row r="264" spans="1:36" ht="94.5" customHeight="true">
      <c r="A264" s="43">
        <v>1</v>
      </c>
      <c r="B264" s="42" t="s">
        <v>1309</v>
      </c>
      <c r="C264" s="42" t="s">
        <v>1310</v>
      </c>
      <c r="D264" s="42" t="s">
        <v>1310</v>
      </c>
      <c r="E264" s="16" t="s">
        <v>36</v>
      </c>
      <c r="F264" s="16">
        <v>2</v>
      </c>
      <c r="G264" s="49">
        <v>759038.55</v>
      </c>
      <c r="H264" s="49">
        <v>759038.55</v>
      </c>
      <c r="I264" s="603">
        <v>2</v>
      </c>
      <c r="J264" s="488">
        <v>0</v>
      </c>
      <c r="K264" s="119">
        <f>=ROUND(S264*(1-J264),2)</f>
        <v>21986.67</v>
      </c>
      <c r="L264" s="119">
        <f>=K264*I264</f>
        <v>43973.34</v>
      </c>
      <c r="M264" s="659">
        <v>19500</v>
      </c>
      <c r="N264" s="598">
        <f>=M264*I264</f>
        <v>39000</v>
      </c>
      <c r="O264" s="660">
        <v>25000</v>
      </c>
      <c r="P264" s="586">
        <f>=I264*O264</f>
        <v>50000</v>
      </c>
      <c r="Q264" s="659">
        <v>21350</v>
      </c>
      <c r="R264" s="598">
        <f>=Q264*I264</f>
        <v>42700</v>
      </c>
      <c r="S264" s="661">
        <f>=AVERAGE(W264,AA264,AE264)</f>
        <v>21986.6666666667</v>
      </c>
      <c r="T264" s="41">
        <f>=MIN(W264,AA264,AE264,AI264)</f>
        <v>12800</v>
      </c>
      <c r="U264" s="643" t="s">
        <v>1311</v>
      </c>
      <c r="V264" s="42" t="s">
        <v>1312</v>
      </c>
      <c r="W264" s="42">
        <v>35000</v>
      </c>
      <c r="X264" s="42">
        <f>=W264*F264</f>
        <v>70000</v>
      </c>
      <c r="Y264" s="41" t="s">
        <v>1313</v>
      </c>
      <c r="Z264" s="41" t="s">
        <v>1314</v>
      </c>
      <c r="AA264" s="582">
        <v>12800</v>
      </c>
      <c r="AB264" s="42">
        <f>=AA264*F264</f>
        <v>25600</v>
      </c>
      <c r="AC264" s="582" t="s">
        <v>1315</v>
      </c>
      <c r="AD264" s="582" t="s">
        <v>1316</v>
      </c>
      <c r="AE264" s="582">
        <v>18160</v>
      </c>
      <c r="AF264" s="582">
        <f>=AE264*F264</f>
        <v>36320</v>
      </c>
      <c r="AG264" s="42" t="s"/>
      <c r="AH264" s="42" t="s"/>
      <c r="AI264" s="42" t="s"/>
      <c r="AJ264" s="42" t="s"/>
    </row>
    <row r="265" spans="1:36" ht="94.5" customHeight="true">
      <c r="A265" s="43">
        <v>2</v>
      </c>
      <c r="B265" s="42" t="s">
        <v>1317</v>
      </c>
      <c r="C265" s="42" t="s">
        <v>1318</v>
      </c>
      <c r="D265" s="42" t="s">
        <v>1318</v>
      </c>
      <c r="E265" s="16" t="s">
        <v>36</v>
      </c>
      <c r="F265" s="16">
        <v>2</v>
      </c>
      <c r="G265" s="57" t="s"/>
      <c r="H265" s="621" t="s"/>
      <c r="I265" s="603">
        <v>2</v>
      </c>
      <c r="J265" s="488">
        <v>0</v>
      </c>
      <c r="K265" s="119">
        <f>=ROUND(S265*(1-J265),2)</f>
        <v>38068.33</v>
      </c>
      <c r="L265" s="119">
        <f>=K265*I265</f>
        <v>76136.66</v>
      </c>
      <c r="M265" s="659">
        <v>19500</v>
      </c>
      <c r="N265" s="598">
        <f>=M265*I265</f>
        <v>39000</v>
      </c>
      <c r="O265" s="660">
        <v>39000</v>
      </c>
      <c r="P265" s="586">
        <f>=I265*O265</f>
        <v>78000</v>
      </c>
      <c r="Q265" s="659">
        <v>42000</v>
      </c>
      <c r="R265" s="598">
        <f>=Q265*I265</f>
        <v>84000</v>
      </c>
      <c r="S265" s="661">
        <f>=AVERAGE(W265,AA265,AE265)</f>
        <v>38068.3333333333</v>
      </c>
      <c r="T265" s="41">
        <f>=MIN(W265,AA265,AE265,AI265)</f>
        <v>28156</v>
      </c>
      <c r="U265" s="42" t="s">
        <v>1311</v>
      </c>
      <c r="V265" s="42" t="s">
        <v>1312</v>
      </c>
      <c r="W265" s="42">
        <v>50000</v>
      </c>
      <c r="X265" s="42">
        <f>=W265*F265</f>
        <v>100000</v>
      </c>
      <c r="Y265" s="41" t="s">
        <v>1313</v>
      </c>
      <c r="Z265" s="41" t="s">
        <v>1314</v>
      </c>
      <c r="AA265" s="582">
        <v>28156</v>
      </c>
      <c r="AB265" s="42">
        <f>=AA265*F265</f>
        <v>56312</v>
      </c>
      <c r="AC265" s="582" t="s">
        <v>1315</v>
      </c>
      <c r="AD265" s="582" t="s">
        <v>1316</v>
      </c>
      <c r="AE265" s="582">
        <v>36049</v>
      </c>
      <c r="AF265" s="582">
        <f>=AE265*F265</f>
        <v>72098</v>
      </c>
      <c r="AG265" s="42" t="s"/>
      <c r="AH265" s="42" t="s"/>
      <c r="AI265" s="42" t="s"/>
      <c r="AJ265" s="42" t="s"/>
    </row>
    <row r="266" spans="1:36" ht="52.5" customHeight="true">
      <c r="A266" s="43">
        <v>3</v>
      </c>
      <c r="B266" s="42" t="s">
        <v>1319</v>
      </c>
      <c r="C266" s="42" t="s">
        <v>1320</v>
      </c>
      <c r="D266" s="42" t="s">
        <v>1320</v>
      </c>
      <c r="E266" s="16" t="s">
        <v>36</v>
      </c>
      <c r="F266" s="16">
        <v>2</v>
      </c>
      <c r="G266" s="57" t="s"/>
      <c r="H266" s="621" t="s"/>
      <c r="I266" s="603">
        <v>2</v>
      </c>
      <c r="J266" s="488">
        <v>0</v>
      </c>
      <c r="K266" s="119">
        <f>=ROUND(S266*(1-J266),2)</f>
        <v>156241</v>
      </c>
      <c r="L266" s="119">
        <f>=K266*I266</f>
        <v>312482</v>
      </c>
      <c r="M266" s="659">
        <v>165000</v>
      </c>
      <c r="N266" s="662">
        <f>=M266*I266</f>
        <v>330000</v>
      </c>
      <c r="O266" s="663">
        <v>240000</v>
      </c>
      <c r="P266" s="664">
        <f>=I266*O266</f>
        <v>480000</v>
      </c>
      <c r="Q266" s="665">
        <v>250000</v>
      </c>
      <c r="R266" s="666">
        <f>=Q266*I266</f>
        <v>500000</v>
      </c>
      <c r="S266" s="661">
        <f>=AVERAGE(W266,AA266,AE266)</f>
        <v>156241</v>
      </c>
      <c r="T266" s="41">
        <f>=MIN(W266,AA266,AE266,AI266)</f>
        <v>119123</v>
      </c>
      <c r="U266" s="42" t="s">
        <v>1311</v>
      </c>
      <c r="V266" s="42" t="s">
        <v>1312</v>
      </c>
      <c r="W266" s="42">
        <v>185000</v>
      </c>
      <c r="X266" s="42">
        <f>=W266*F266</f>
        <v>370000</v>
      </c>
      <c r="Y266" s="41" t="s">
        <v>1313</v>
      </c>
      <c r="Z266" s="41" t="s">
        <v>1314</v>
      </c>
      <c r="AA266" s="582">
        <v>164600</v>
      </c>
      <c r="AB266" s="42">
        <f>=AA266*F266</f>
        <v>329200</v>
      </c>
      <c r="AC266" s="582" t="s">
        <v>1315</v>
      </c>
      <c r="AD266" s="582" t="s">
        <v>1316</v>
      </c>
      <c r="AE266" s="582">
        <v>119123</v>
      </c>
      <c r="AF266" s="582">
        <f>=AE266*F266</f>
        <v>238246</v>
      </c>
      <c r="AG266" s="42" t="s"/>
      <c r="AH266" s="42" t="s"/>
      <c r="AI266" s="42" t="s"/>
      <c r="AJ266" s="42" t="s"/>
    </row>
    <row r="267" spans="1:36" ht="63" customHeight="true">
      <c r="A267" s="43">
        <v>4</v>
      </c>
      <c r="B267" s="42" t="s">
        <v>1321</v>
      </c>
      <c r="C267" s="42" t="s">
        <v>1322</v>
      </c>
      <c r="D267" s="42" t="s">
        <v>1322</v>
      </c>
      <c r="E267" s="16" t="s">
        <v>36</v>
      </c>
      <c r="F267" s="16">
        <v>2</v>
      </c>
      <c r="G267" s="57" t="s"/>
      <c r="H267" s="621" t="s"/>
      <c r="I267" s="603">
        <v>2</v>
      </c>
      <c r="J267" s="488">
        <v>0</v>
      </c>
      <c r="K267" s="119">
        <f>=ROUND(S267*(1-J267),2)</f>
        <v>131416.33</v>
      </c>
      <c r="L267" s="119">
        <f>=K267*I267</f>
        <v>262832.66</v>
      </c>
      <c r="M267" s="659">
        <v>100000</v>
      </c>
      <c r="N267" s="662">
        <f>=M267*I267</f>
        <v>200000</v>
      </c>
      <c r="O267" s="381" t="s"/>
      <c r="P267" s="61" t="s"/>
      <c r="Q267" s="87" t="s"/>
      <c r="R267" s="61" t="s"/>
      <c r="S267" s="661">
        <f>=AVERAGE(W267,AA267,AE267)</f>
        <v>131416.333333333</v>
      </c>
      <c r="T267" s="41">
        <f>=MIN(W267,AA267,AE267,AI267)</f>
        <v>108759</v>
      </c>
      <c r="U267" s="42" t="s">
        <v>1311</v>
      </c>
      <c r="V267" s="42" t="s">
        <v>1312</v>
      </c>
      <c r="W267" s="42">
        <v>175000</v>
      </c>
      <c r="X267" s="42">
        <f>=W267*F267</f>
        <v>350000</v>
      </c>
      <c r="Y267" s="41" t="s">
        <v>1313</v>
      </c>
      <c r="Z267" s="41" t="s">
        <v>1314</v>
      </c>
      <c r="AA267" s="582">
        <v>108759</v>
      </c>
      <c r="AB267" s="42">
        <f>=AA267*F267</f>
        <v>217518</v>
      </c>
      <c r="AC267" s="582" t="s">
        <v>1315</v>
      </c>
      <c r="AD267" s="582" t="s">
        <v>1316</v>
      </c>
      <c r="AE267" s="582">
        <v>110490</v>
      </c>
      <c r="AF267" s="582">
        <f>=AE267*F267</f>
        <v>220980</v>
      </c>
      <c r="AG267" s="42" t="s"/>
      <c r="AH267" s="42" t="s"/>
      <c r="AI267" s="42" t="s"/>
      <c r="AJ267" s="42" t="s"/>
    </row>
    <row r="268" spans="1:36" ht="84" customHeight="true">
      <c r="A268" s="43">
        <v>5</v>
      </c>
      <c r="B268" s="42" t="s">
        <v>1323</v>
      </c>
      <c r="C268" s="42" t="s">
        <v>1324</v>
      </c>
      <c r="D268" s="42" t="s">
        <v>1324</v>
      </c>
      <c r="E268" s="16" t="s">
        <v>36</v>
      </c>
      <c r="F268" s="16">
        <v>2</v>
      </c>
      <c r="G268" s="57" t="s"/>
      <c r="H268" s="621" t="s"/>
      <c r="I268" s="603">
        <v>2</v>
      </c>
      <c r="J268" s="488">
        <v>0</v>
      </c>
      <c r="K268" s="119">
        <f>=ROUND(S268*(1-J268),2)</f>
        <v>138056.67</v>
      </c>
      <c r="L268" s="119">
        <f>=K268*I268</f>
        <v>276113.34</v>
      </c>
      <c r="M268" s="659">
        <v>100000</v>
      </c>
      <c r="N268" s="662">
        <f>=M268*I268</f>
        <v>200000</v>
      </c>
      <c r="O268" s="660">
        <v>130000</v>
      </c>
      <c r="P268" s="598">
        <f>=O268*I268</f>
        <v>260000</v>
      </c>
      <c r="Q268" s="659">
        <v>140000</v>
      </c>
      <c r="R268" s="598">
        <f>=Q268*I268</f>
        <v>280000</v>
      </c>
      <c r="S268" s="661">
        <f>=AVERAGE(W268,AA268,AE268)</f>
        <v>138056.666666667</v>
      </c>
      <c r="T268" s="41">
        <f>=MIN(W268,AA268,AE268,AI268)</f>
        <v>111970</v>
      </c>
      <c r="U268" s="42" t="s">
        <v>1311</v>
      </c>
      <c r="V268" s="42" t="s">
        <v>1312</v>
      </c>
      <c r="W268" s="42">
        <v>185000</v>
      </c>
      <c r="X268" s="42">
        <f>=W268*F268</f>
        <v>370000</v>
      </c>
      <c r="Y268" s="41" t="s">
        <v>1313</v>
      </c>
      <c r="Z268" s="41" t="s">
        <v>1314</v>
      </c>
      <c r="AA268" s="582">
        <v>117200</v>
      </c>
      <c r="AB268" s="42">
        <f>=AA268*F268</f>
        <v>234400</v>
      </c>
      <c r="AC268" s="582" t="s">
        <v>1315</v>
      </c>
      <c r="AD268" s="582" t="s">
        <v>1316</v>
      </c>
      <c r="AE268" s="582">
        <v>111970</v>
      </c>
      <c r="AF268" s="582">
        <f>=AE268*F268</f>
        <v>223940</v>
      </c>
      <c r="AG268" s="42" t="s"/>
      <c r="AH268" s="42" t="s"/>
      <c r="AI268" s="42" t="s"/>
      <c r="AJ268" s="42" t="s"/>
    </row>
    <row r="269" spans="1:36" ht="73.5" customHeight="true">
      <c r="A269" s="43">
        <v>6</v>
      </c>
      <c r="B269" s="42" t="s">
        <v>1325</v>
      </c>
      <c r="C269" s="42" t="s">
        <v>1326</v>
      </c>
      <c r="D269" s="42" t="s">
        <v>1326</v>
      </c>
      <c r="E269" s="16" t="s">
        <v>36</v>
      </c>
      <c r="F269" s="16">
        <v>2</v>
      </c>
      <c r="G269" s="61" t="s"/>
      <c r="H269" s="628" t="s"/>
      <c r="I269" s="603">
        <v>2</v>
      </c>
      <c r="J269" s="488">
        <v>0</v>
      </c>
      <c r="K269" s="119">
        <f>=ROUND(S269*(1-J269),2)</f>
        <v>118599</v>
      </c>
      <c r="L269" s="119">
        <f>=K269*I269</f>
        <v>237198</v>
      </c>
      <c r="M269" s="659">
        <v>120000</v>
      </c>
      <c r="N269" s="662">
        <f>=M269*I269</f>
        <v>240000</v>
      </c>
      <c r="O269" s="660">
        <v>116000</v>
      </c>
      <c r="P269" s="598">
        <f>=O269*I269</f>
        <v>232000</v>
      </c>
      <c r="Q269" s="659">
        <v>148770</v>
      </c>
      <c r="R269" s="598">
        <f>=Q269*I269</f>
        <v>297540</v>
      </c>
      <c r="S269" s="661">
        <f>=AVERAGE(W269,AA269,AE269)</f>
        <v>118599</v>
      </c>
      <c r="T269" s="41">
        <f>=MIN(W269,AA269,AE269,AI269)</f>
        <v>89432</v>
      </c>
      <c r="U269" s="42" t="s">
        <v>1311</v>
      </c>
      <c r="V269" s="42" t="s">
        <v>1312</v>
      </c>
      <c r="W269" s="42">
        <v>160000</v>
      </c>
      <c r="X269" s="42">
        <f>=W269*F269</f>
        <v>320000</v>
      </c>
      <c r="Y269" s="41" t="s">
        <v>1313</v>
      </c>
      <c r="Z269" s="41" t="s">
        <v>1314</v>
      </c>
      <c r="AA269" s="582">
        <v>106365</v>
      </c>
      <c r="AB269" s="42">
        <f>=AA269*F269</f>
        <v>212730</v>
      </c>
      <c r="AC269" s="582" t="s">
        <v>1315</v>
      </c>
      <c r="AD269" s="582" t="s">
        <v>1316</v>
      </c>
      <c r="AE269" s="582">
        <v>89432</v>
      </c>
      <c r="AF269" s="582">
        <f>=AE269*F269</f>
        <v>178864</v>
      </c>
      <c r="AG269" s="42" t="s"/>
      <c r="AH269" s="42" t="s"/>
      <c r="AI269" s="42" t="s"/>
      <c r="AJ269" s="42" t="s"/>
    </row>
    <row r="270" spans="1:36" customHeight="false">
      <c r="A270" s="588" t="s">
        <v>850</v>
      </c>
      <c r="B270" s="667" t="s">
        <v>1327</v>
      </c>
      <c r="C270" s="355" t="s"/>
      <c r="D270" s="390" t="s"/>
      <c r="E270" s="16" t="s"/>
      <c r="F270" s="16" t="s"/>
      <c r="G270" s="16" t="s"/>
      <c r="H270" s="35" t="s"/>
      <c r="I270" s="119" t="s"/>
      <c r="J270" s="119" t="s"/>
      <c r="K270" s="119" t="s"/>
      <c r="L270" s="668">
        <f>=L271</f>
        <v>3000000</v>
      </c>
      <c r="M270" s="591" t="s"/>
      <c r="N270" s="669">
        <f>=N271</f>
        <v>3242251</v>
      </c>
      <c r="O270" s="591" t="s"/>
      <c r="P270" s="669" t="s">
        <f>=P271</f>
        <v>654</v>
      </c>
      <c r="Q270" s="591" t="s"/>
      <c r="R270" s="669" t="s">
        <f>=R271</f>
        <v>654</v>
      </c>
      <c r="S270" s="41" t="s"/>
      <c r="T270" s="41" t="s"/>
      <c r="U270" s="42" t="s"/>
      <c r="V270" s="42" t="s"/>
      <c r="W270" s="42" t="s"/>
      <c r="X270" s="42" t="s"/>
      <c r="Y270" s="41" t="s"/>
      <c r="Z270" s="41" t="s"/>
      <c r="AA270" s="42" t="s"/>
      <c r="AB270" s="42" t="s"/>
      <c r="AC270" s="42" t="s"/>
      <c r="AD270" s="42" t="s"/>
      <c r="AE270" s="9" t="s"/>
      <c r="AF270" s="9" t="s"/>
      <c r="AG270" s="42" t="s"/>
      <c r="AH270" s="42" t="s"/>
      <c r="AI270" s="42" t="s"/>
      <c r="AJ270" s="42" t="s"/>
    </row>
    <row r="271" spans="1:36" customHeight="false">
      <c r="A271" s="43">
        <v>1</v>
      </c>
      <c r="B271" s="42" t="s">
        <v>1328</v>
      </c>
      <c r="C271" s="42" t="s"/>
      <c r="D271" s="42" t="s"/>
      <c r="E271" s="16" t="s">
        <v>514</v>
      </c>
      <c r="F271" s="16">
        <v>1</v>
      </c>
      <c r="G271" s="16">
        <v>3000000</v>
      </c>
      <c r="H271" s="35">
        <f>=G271*F271</f>
        <v>3000000</v>
      </c>
      <c r="I271" s="119">
        <v>1</v>
      </c>
      <c r="J271" s="488" t="s"/>
      <c r="K271" s="119">
        <v>3000000</v>
      </c>
      <c r="L271" s="119">
        <f>=K271*I271</f>
        <v>3000000</v>
      </c>
      <c r="M271" s="598">
        <v>3242251</v>
      </c>
      <c r="N271" s="598">
        <f>=M271*I271</f>
        <v>3242251</v>
      </c>
      <c r="O271" s="598" t="s">
        <v>654</v>
      </c>
      <c r="P271" s="598" t="s">
        <v>654</v>
      </c>
      <c r="Q271" s="598" t="s">
        <v>654</v>
      </c>
      <c r="R271" s="598" t="s">
        <v>654</v>
      </c>
      <c r="S271" s="358">
        <f>=AVERAGE(W271,AA271,AE271)</f>
        <v>11060000</v>
      </c>
      <c r="T271" s="358">
        <f>=MIN(W271,AA271,AE271,AI271)</f>
        <v>4800000</v>
      </c>
      <c r="U271" s="42" t="s">
        <v>1329</v>
      </c>
      <c r="V271" s="42" t="s">
        <v>1330</v>
      </c>
      <c r="W271" s="42">
        <v>4800000</v>
      </c>
      <c r="X271" s="42">
        <f>=W271*I271</f>
        <v>4800000</v>
      </c>
      <c r="Y271" s="41" t="s">
        <v>1331</v>
      </c>
      <c r="Z271" s="41" t="s">
        <v>1332</v>
      </c>
      <c r="AA271" s="42">
        <v>17320000</v>
      </c>
      <c r="AB271" s="42">
        <f>=AA271</f>
        <v>17320000</v>
      </c>
      <c r="AC271" s="42" t="s"/>
      <c r="AD271" s="42" t="s"/>
      <c r="AE271" s="9" t="s"/>
      <c r="AF271" s="9" t="s"/>
      <c r="AG271" s="42" t="s"/>
      <c r="AH271" s="42" t="s"/>
      <c r="AI271" s="42" t="s"/>
      <c r="AJ271" s="42" t="s"/>
    </row>
    <row r="272" spans="1:36" customHeight="false">
      <c r="A272" s="43" t="s"/>
      <c r="B272" s="42" t="s"/>
      <c r="C272" s="42" t="s"/>
      <c r="D272" s="42" t="s"/>
      <c r="E272" s="16" t="s"/>
      <c r="F272" s="16" t="s"/>
      <c r="G272" s="16" t="s"/>
      <c r="H272" s="35" t="s"/>
      <c r="I272" s="119" t="s"/>
      <c r="J272" s="119" t="s"/>
      <c r="K272" s="119" t="s"/>
      <c r="L272" s="119" t="s"/>
      <c r="M272" s="591" t="s"/>
      <c r="N272" s="591" t="s"/>
      <c r="O272" s="591" t="s"/>
      <c r="P272" s="591" t="s"/>
      <c r="Q272" s="591" t="s"/>
      <c r="R272" s="591" t="s"/>
      <c r="S272" s="41" t="s"/>
      <c r="T272" s="41" t="s"/>
      <c r="U272" s="42" t="s"/>
      <c r="V272" s="42" t="s"/>
      <c r="W272" s="42" t="s"/>
      <c r="X272" s="42" t="s"/>
      <c r="Y272" s="41" t="s"/>
      <c r="Z272" s="41" t="s"/>
      <c r="AA272" s="42" t="s"/>
      <c r="AB272" s="42" t="s"/>
      <c r="AC272" s="42" t="s"/>
      <c r="AD272" s="42" t="s"/>
      <c r="AE272" s="9" t="s"/>
      <c r="AF272" s="9" t="s"/>
      <c r="AG272" s="42" t="s"/>
      <c r="AH272" s="42" t="s"/>
      <c r="AI272" s="42" t="s"/>
      <c r="AJ272" s="42" t="s"/>
    </row>
    <row r="273" spans="1:36" customHeight="false">
      <c r="A273" s="43" t="s"/>
      <c r="B273" s="42" t="s"/>
      <c r="C273" s="42" t="s"/>
      <c r="D273" s="42" t="s"/>
      <c r="E273" s="16" t="s"/>
      <c r="F273" s="16" t="s"/>
      <c r="G273" s="16" t="s"/>
      <c r="H273" s="35" t="s"/>
      <c r="I273" s="119" t="s"/>
      <c r="J273" s="119" t="s"/>
      <c r="K273" s="119" t="s"/>
      <c r="L273" s="119" t="s"/>
      <c r="M273" s="591" t="s"/>
      <c r="N273" s="591" t="s"/>
      <c r="O273" s="591" t="s"/>
      <c r="P273" s="591" t="s"/>
      <c r="Q273" s="591" t="s"/>
      <c r="R273" s="591" t="s"/>
      <c r="S273" s="41" t="s"/>
      <c r="T273" s="41" t="s"/>
      <c r="U273" s="42" t="s"/>
      <c r="V273" s="42" t="s"/>
      <c r="W273" s="42" t="s"/>
      <c r="X273" s="42" t="s"/>
      <c r="Y273" s="41" t="s"/>
      <c r="Z273" s="41" t="s"/>
      <c r="AA273" s="42" t="s"/>
      <c r="AB273" s="42" t="s"/>
      <c r="AC273" s="42" t="s"/>
      <c r="AD273" s="42" t="s"/>
      <c r="AE273" s="9" t="s"/>
      <c r="AF273" s="9" t="s"/>
      <c r="AG273" s="42" t="s"/>
      <c r="AH273" s="42" t="s"/>
      <c r="AI273" s="42" t="s"/>
      <c r="AJ273" s="42" t="s"/>
    </row>
    <row r="274" spans="1:36" customHeight="false">
      <c r="A274" s="43" t="s"/>
      <c r="B274" s="42" t="s"/>
      <c r="C274" s="42" t="s"/>
      <c r="D274" s="42" t="s"/>
      <c r="E274" s="16" t="s"/>
      <c r="F274" s="16" t="s"/>
      <c r="G274" s="16" t="s"/>
      <c r="H274" s="35" t="s"/>
      <c r="I274" s="119" t="s"/>
      <c r="J274" s="119" t="s"/>
      <c r="K274" s="119" t="s"/>
      <c r="L274" s="119" t="s"/>
      <c r="M274" s="591" t="s"/>
      <c r="N274" s="591" t="s"/>
      <c r="O274" s="591" t="s"/>
      <c r="P274" s="591" t="s"/>
      <c r="Q274" s="591" t="s"/>
      <c r="R274" s="591" t="s"/>
      <c r="S274" s="41" t="s"/>
      <c r="T274" s="41" t="s"/>
      <c r="U274" s="42" t="s"/>
      <c r="V274" s="42" t="s"/>
      <c r="W274" s="42" t="s"/>
      <c r="X274" s="42" t="s"/>
      <c r="Y274" s="41" t="s"/>
      <c r="Z274" s="41" t="s"/>
      <c r="AA274" s="42" t="s"/>
      <c r="AB274" s="42" t="s"/>
      <c r="AC274" s="42" t="s"/>
      <c r="AD274" s="42" t="s"/>
      <c r="AE274" s="9" t="s"/>
      <c r="AF274" s="9" t="s"/>
      <c r="AG274" s="42" t="s"/>
      <c r="AH274" s="42" t="s"/>
      <c r="AI274" s="42" t="s"/>
      <c r="AJ274" s="42" t="s"/>
    </row>
    <row r="275" spans="1:36" customHeight="false">
      <c r="A275" s="43" t="s"/>
      <c r="B275" s="42" t="s"/>
      <c r="C275" s="42" t="s"/>
      <c r="D275" s="42" t="s"/>
      <c r="E275" s="16" t="s"/>
      <c r="F275" s="16" t="s"/>
      <c r="G275" s="16" t="s"/>
      <c r="H275" s="35" t="s"/>
      <c r="I275" s="119" t="s"/>
      <c r="J275" s="119" t="s"/>
      <c r="K275" s="119" t="s"/>
      <c r="L275" s="119" t="s"/>
      <c r="M275" s="591" t="s"/>
      <c r="N275" s="591" t="s"/>
      <c r="O275" s="591" t="s"/>
      <c r="P275" s="591" t="s"/>
      <c r="Q275" s="591" t="s"/>
      <c r="R275" s="591" t="s"/>
      <c r="S275" s="41" t="s"/>
      <c r="T275" s="41" t="s"/>
      <c r="U275" s="42" t="s"/>
      <c r="V275" s="42" t="s"/>
      <c r="W275" s="42" t="s"/>
      <c r="X275" s="42" t="s"/>
      <c r="Y275" s="41" t="s"/>
      <c r="Z275" s="41" t="s"/>
      <c r="AA275" s="42" t="s"/>
      <c r="AB275" s="42" t="s"/>
      <c r="AC275" s="42" t="s"/>
      <c r="AD275" s="42" t="s"/>
      <c r="AE275" s="9" t="s"/>
      <c r="AF275" s="9" t="s"/>
      <c r="AG275" s="42" t="s"/>
      <c r="AH275" s="42" t="s"/>
      <c r="AI275" s="42" t="s"/>
      <c r="AJ275" s="42" t="s"/>
    </row>
    <row r="276" spans="1:36" customHeight="false">
      <c r="A276" s="43" t="s"/>
      <c r="B276" s="42" t="s"/>
      <c r="C276" s="42" t="s"/>
      <c r="D276" s="42" t="s"/>
      <c r="E276" s="16" t="s"/>
      <c r="F276" s="16" t="s"/>
      <c r="G276" s="16" t="s"/>
      <c r="H276" s="35" t="s"/>
      <c r="I276" s="119" t="s"/>
      <c r="J276" s="119" t="s"/>
      <c r="K276" s="119" t="s"/>
      <c r="L276" s="119" t="s"/>
      <c r="M276" s="591" t="s"/>
      <c r="N276" s="591" t="s"/>
      <c r="O276" s="591" t="s"/>
      <c r="P276" s="591" t="s"/>
      <c r="Q276" s="591" t="s"/>
      <c r="R276" s="591" t="s"/>
      <c r="S276" s="41" t="s"/>
      <c r="T276" s="41" t="s"/>
      <c r="U276" s="42" t="s"/>
      <c r="V276" s="42" t="s"/>
      <c r="W276" s="42" t="s"/>
      <c r="X276" s="42" t="s"/>
      <c r="Y276" s="41" t="s"/>
      <c r="Z276" s="41" t="s"/>
      <c r="AA276" s="42" t="s"/>
      <c r="AB276" s="42" t="s"/>
      <c r="AC276" s="42" t="s"/>
      <c r="AD276" s="42" t="s"/>
      <c r="AE276" s="9" t="s"/>
      <c r="AF276" s="9" t="s"/>
      <c r="AG276" s="42" t="s"/>
      <c r="AH276" s="42" t="s"/>
      <c r="AI276" s="42" t="s"/>
      <c r="AJ276" s="42" t="s"/>
    </row>
    <row r="277" spans="1:36" customHeight="false">
      <c r="A277" s="43" t="s"/>
      <c r="B277" s="42" t="s"/>
      <c r="C277" s="42" t="s"/>
      <c r="D277" s="42" t="s"/>
      <c r="E277" s="16" t="s"/>
      <c r="F277" s="16" t="s"/>
      <c r="G277" s="16" t="s"/>
      <c r="H277" s="35" t="s"/>
      <c r="I277" s="119" t="s"/>
      <c r="J277" s="119" t="s"/>
      <c r="K277" s="119" t="s"/>
      <c r="L277" s="119" t="s"/>
      <c r="M277" s="591" t="s"/>
      <c r="N277" s="591" t="s"/>
      <c r="O277" s="591" t="s"/>
      <c r="P277" s="591" t="s"/>
      <c r="Q277" s="591" t="s"/>
      <c r="R277" s="591" t="s"/>
      <c r="S277" s="41" t="s"/>
      <c r="T277" s="41" t="s"/>
      <c r="U277" s="42" t="s"/>
      <c r="V277" s="42" t="s"/>
      <c r="W277" s="42" t="s"/>
      <c r="X277" s="42" t="s"/>
      <c r="Y277" s="41" t="s"/>
      <c r="Z277" s="41" t="s"/>
      <c r="AA277" s="42" t="s"/>
      <c r="AB277" s="42" t="s"/>
      <c r="AC277" s="42" t="s"/>
      <c r="AD277" s="42" t="s"/>
      <c r="AE277" s="9" t="s"/>
      <c r="AF277" s="9" t="s"/>
      <c r="AG277" s="42" t="s"/>
      <c r="AH277" s="42" t="s"/>
      <c r="AI277" s="42" t="s"/>
      <c r="AJ277" s="42" t="s"/>
    </row>
    <row r="278" spans="1:36" customHeight="false">
      <c r="A278" s="43" t="s"/>
      <c r="B278" s="42" t="s"/>
      <c r="C278" s="42" t="s"/>
      <c r="D278" s="42" t="s"/>
      <c r="E278" s="16" t="s"/>
      <c r="F278" s="16" t="s"/>
      <c r="G278" s="16" t="s"/>
      <c r="H278" s="35" t="s"/>
      <c r="I278" s="119" t="s"/>
      <c r="J278" s="119" t="s"/>
      <c r="K278" s="119" t="s"/>
      <c r="L278" s="119" t="s"/>
      <c r="M278" s="591" t="s"/>
      <c r="N278" s="591" t="s"/>
      <c r="O278" s="591" t="s"/>
      <c r="P278" s="591" t="s"/>
      <c r="Q278" s="591" t="s"/>
      <c r="R278" s="591" t="s"/>
      <c r="S278" s="41" t="s"/>
      <c r="T278" s="41" t="s"/>
      <c r="U278" s="42" t="s"/>
      <c r="V278" s="42" t="s"/>
      <c r="W278" s="42" t="s"/>
      <c r="X278" s="42" t="s"/>
      <c r="Y278" s="41" t="s"/>
      <c r="Z278" s="41" t="s"/>
      <c r="AA278" s="42" t="s"/>
      <c r="AB278" s="42" t="s"/>
      <c r="AC278" s="42" t="s"/>
      <c r="AD278" s="42" t="s"/>
      <c r="AE278" s="9" t="s"/>
      <c r="AF278" s="9" t="s"/>
      <c r="AG278" s="42" t="s"/>
      <c r="AH278" s="42" t="s"/>
      <c r="AI278" s="42" t="s"/>
      <c r="AJ278" s="42" t="s"/>
    </row>
    <row r="279" spans="1:36" customHeight="false">
      <c r="A279" s="43" t="s"/>
      <c r="B279" s="42" t="s"/>
      <c r="C279" s="42" t="s"/>
      <c r="D279" s="42" t="s"/>
      <c r="E279" s="16" t="s"/>
      <c r="F279" s="16" t="s"/>
      <c r="G279" s="16" t="s"/>
      <c r="H279" s="35" t="s"/>
      <c r="I279" s="119" t="s"/>
      <c r="J279" s="119" t="s"/>
      <c r="K279" s="119" t="s"/>
      <c r="L279" s="119" t="s"/>
      <c r="M279" s="591" t="s"/>
      <c r="N279" s="591" t="s"/>
      <c r="O279" s="591" t="s"/>
      <c r="P279" s="591" t="s"/>
      <c r="Q279" s="591" t="s"/>
      <c r="R279" s="591" t="s"/>
      <c r="S279" s="41" t="s"/>
      <c r="T279" s="41" t="s"/>
      <c r="U279" s="42" t="s"/>
      <c r="V279" s="42" t="s"/>
      <c r="W279" s="42" t="s"/>
      <c r="X279" s="42" t="s"/>
      <c r="Y279" s="41" t="s"/>
      <c r="Z279" s="41" t="s"/>
      <c r="AA279" s="42" t="s"/>
      <c r="AB279" s="42" t="s"/>
      <c r="AC279" s="42" t="s"/>
      <c r="AD279" s="42" t="s"/>
      <c r="AE279" s="9" t="s"/>
      <c r="AF279" s="9" t="s"/>
      <c r="AG279" s="42" t="s"/>
      <c r="AH279" s="42" t="s"/>
      <c r="AI279" s="42" t="s"/>
      <c r="AJ279" s="42" t="s"/>
    </row>
    <row r="280" spans="1:36" customHeight="false">
      <c r="A280" s="43" t="s"/>
      <c r="B280" s="42" t="s"/>
      <c r="C280" s="42" t="s"/>
      <c r="D280" s="42" t="s"/>
      <c r="E280" s="16" t="s"/>
      <c r="F280" s="16" t="s"/>
      <c r="G280" s="16" t="s"/>
      <c r="H280" s="35" t="s"/>
      <c r="I280" s="119" t="s"/>
      <c r="J280" s="119" t="s"/>
      <c r="K280" s="119" t="s"/>
      <c r="L280" s="119" t="s"/>
      <c r="M280" s="591" t="s"/>
      <c r="N280" s="591" t="s"/>
      <c r="O280" s="591" t="s"/>
      <c r="P280" s="591" t="s"/>
      <c r="Q280" s="591" t="s"/>
      <c r="R280" s="591" t="s"/>
      <c r="S280" s="41" t="s"/>
      <c r="T280" s="41" t="s"/>
      <c r="U280" s="42" t="s"/>
      <c r="V280" s="42" t="s"/>
      <c r="W280" s="42" t="s"/>
      <c r="X280" s="42" t="s"/>
      <c r="Y280" s="41" t="s"/>
      <c r="Z280" s="41" t="s"/>
      <c r="AA280" s="42" t="s"/>
      <c r="AB280" s="42" t="s"/>
      <c r="AC280" s="42" t="s"/>
      <c r="AD280" s="42" t="s"/>
      <c r="AE280" s="9" t="s"/>
      <c r="AF280" s="9" t="s"/>
      <c r="AG280" s="42" t="s"/>
      <c r="AH280" s="42" t="s"/>
      <c r="AI280" s="42" t="s"/>
      <c r="AJ280" s="42" t="s"/>
    </row>
    <row r="281" spans="1:36" customHeight="false">
      <c r="A281" s="43" t="s"/>
      <c r="B281" s="42" t="s"/>
      <c r="C281" s="42" t="s"/>
      <c r="D281" s="42" t="s"/>
      <c r="E281" s="16" t="s"/>
      <c r="F281" s="16" t="s"/>
      <c r="G281" s="16" t="s"/>
      <c r="H281" s="35" t="s"/>
      <c r="I281" s="119" t="s"/>
      <c r="J281" s="119" t="s"/>
      <c r="K281" s="119" t="s"/>
      <c r="L281" s="119" t="s"/>
      <c r="M281" s="591" t="s"/>
      <c r="N281" s="591" t="s"/>
      <c r="O281" s="591" t="s"/>
      <c r="P281" s="591" t="s"/>
      <c r="Q281" s="591" t="s"/>
      <c r="R281" s="591" t="s"/>
      <c r="S281" s="41" t="s"/>
      <c r="T281" s="41" t="s"/>
      <c r="U281" s="42" t="s"/>
      <c r="V281" s="42" t="s"/>
      <c r="W281" s="42" t="s"/>
      <c r="X281" s="42" t="s"/>
      <c r="Y281" s="41" t="s"/>
      <c r="Z281" s="41" t="s"/>
      <c r="AA281" s="42" t="s"/>
      <c r="AB281" s="42" t="s"/>
      <c r="AC281" s="42" t="s"/>
      <c r="AD281" s="42" t="s"/>
      <c r="AE281" s="9" t="s"/>
      <c r="AF281" s="9" t="s"/>
      <c r="AG281" s="42" t="s"/>
      <c r="AH281" s="42" t="s"/>
      <c r="AI281" s="42" t="s"/>
      <c r="AJ281" s="42" t="s"/>
    </row>
    <row r="282" spans="1:36" customHeight="false">
      <c r="A282" s="43" t="s"/>
      <c r="B282" s="42" t="s"/>
      <c r="C282" s="42" t="s"/>
      <c r="D282" s="42" t="s"/>
      <c r="E282" s="16" t="s"/>
      <c r="F282" s="16" t="s"/>
      <c r="G282" s="16" t="s"/>
      <c r="H282" s="35" t="s"/>
      <c r="I282" s="119" t="s"/>
      <c r="J282" s="119" t="s"/>
      <c r="K282" s="119" t="s"/>
      <c r="L282" s="119" t="s"/>
      <c r="M282" s="591" t="s"/>
      <c r="N282" s="591" t="s"/>
      <c r="O282" s="591" t="s"/>
      <c r="P282" s="591" t="s"/>
      <c r="Q282" s="591" t="s"/>
      <c r="R282" s="591" t="s"/>
      <c r="S282" s="41" t="s"/>
      <c r="T282" s="41" t="s"/>
      <c r="U282" s="42" t="s"/>
      <c r="V282" s="42" t="s"/>
      <c r="W282" s="42" t="s"/>
      <c r="X282" s="670" t="s"/>
      <c r="Y282" s="41" t="s"/>
      <c r="Z282" s="41" t="s"/>
      <c r="AA282" s="42" t="s"/>
      <c r="AB282" s="42" t="s"/>
      <c r="AC282" s="42" t="s"/>
      <c r="AD282" s="42" t="s"/>
      <c r="AE282" s="9" t="s"/>
      <c r="AF282" s="9" t="s"/>
      <c r="AG282" s="42" t="s"/>
      <c r="AH282" s="42" t="s"/>
      <c r="AI282" s="42" t="s"/>
      <c r="AJ282" s="42" t="s"/>
    </row>
    <row r="283" spans="1:36" customHeight="false">
      <c r="A283" s="43" t="s"/>
      <c r="B283" s="42" t="s"/>
      <c r="C283" s="42" t="s"/>
      <c r="D283" s="42" t="s"/>
      <c r="E283" s="16" t="s"/>
      <c r="F283" s="16" t="s"/>
      <c r="G283" s="16" t="s"/>
      <c r="H283" s="35" t="s"/>
      <c r="I283" s="119" t="s"/>
      <c r="J283" s="119" t="s"/>
      <c r="K283" s="119" t="s"/>
      <c r="L283" s="119" t="s"/>
      <c r="M283" s="591" t="s"/>
      <c r="N283" s="591" t="s"/>
      <c r="O283" s="591" t="s"/>
      <c r="P283" s="591" t="s"/>
      <c r="Q283" s="591" t="s"/>
      <c r="R283" s="591" t="s"/>
      <c r="S283" s="41" t="s"/>
      <c r="T283" s="41" t="s"/>
      <c r="U283" s="42" t="s"/>
      <c r="V283" s="42" t="s"/>
      <c r="W283" s="42" t="s"/>
      <c r="X283" s="42" t="s"/>
      <c r="Y283" s="41" t="s"/>
      <c r="Z283" s="41" t="s"/>
      <c r="AA283" s="42" t="s"/>
      <c r="AB283" s="42" t="s"/>
      <c r="AC283" s="42" t="s"/>
      <c r="AD283" s="42" t="s"/>
      <c r="AE283" s="9" t="s"/>
      <c r="AF283" s="9" t="s"/>
      <c r="AG283" s="42" t="s"/>
      <c r="AH283" s="42" t="s"/>
      <c r="AI283" s="42" t="s"/>
      <c r="AJ283" s="42" t="s"/>
    </row>
    <row r="284" spans="1:36" customHeight="false">
      <c r="A284" s="43" t="s"/>
      <c r="B284" s="42" t="s"/>
      <c r="C284" s="42" t="s"/>
      <c r="D284" s="42" t="s"/>
      <c r="E284" s="16" t="s"/>
      <c r="F284" s="16" t="s"/>
      <c r="G284" s="16" t="s"/>
      <c r="H284" s="35" t="s"/>
      <c r="I284" s="119" t="s"/>
      <c r="J284" s="119" t="s"/>
      <c r="K284" s="119" t="s"/>
      <c r="L284" s="119" t="s"/>
      <c r="M284" s="591" t="s"/>
      <c r="N284" s="591" t="s"/>
      <c r="O284" s="591" t="s"/>
      <c r="P284" s="591" t="s"/>
      <c r="Q284" s="591" t="s"/>
      <c r="R284" s="591" t="s"/>
      <c r="S284" s="41" t="s"/>
      <c r="T284" s="41" t="s"/>
      <c r="U284" s="42" t="s"/>
      <c r="V284" s="42" t="s"/>
      <c r="W284" s="42" t="s"/>
      <c r="X284" s="42" t="s"/>
      <c r="Y284" s="41" t="s"/>
      <c r="Z284" s="41" t="s"/>
      <c r="AA284" s="42" t="s"/>
      <c r="AB284" s="42" t="s"/>
      <c r="AC284" s="42" t="s"/>
      <c r="AD284" s="42" t="s"/>
      <c r="AE284" s="9" t="s"/>
      <c r="AF284" s="9" t="s"/>
      <c r="AG284" s="42" t="s"/>
      <c r="AH284" s="42" t="s"/>
      <c r="AI284" s="42" t="s"/>
      <c r="AJ284" s="42" t="s"/>
    </row>
    <row r="285" spans="1:36" customHeight="false">
      <c r="A285" s="43" t="s"/>
      <c r="B285" s="42" t="s"/>
      <c r="C285" s="42" t="s"/>
      <c r="D285" s="42" t="s"/>
      <c r="E285" s="16" t="s"/>
      <c r="F285" s="16" t="s"/>
      <c r="G285" s="16" t="s"/>
      <c r="H285" s="35" t="s"/>
      <c r="I285" s="119" t="s"/>
      <c r="J285" s="119" t="s"/>
      <c r="K285" s="119" t="s"/>
      <c r="L285" s="119" t="s"/>
      <c r="M285" s="591" t="s"/>
      <c r="N285" s="591" t="s"/>
      <c r="O285" s="591" t="s"/>
      <c r="P285" s="591" t="s"/>
      <c r="Q285" s="591" t="s"/>
      <c r="R285" s="591" t="s"/>
      <c r="S285" s="41" t="s"/>
      <c r="T285" s="41" t="s"/>
      <c r="U285" s="42" t="s"/>
      <c r="V285" s="42" t="s"/>
      <c r="W285" s="42" t="s"/>
      <c r="X285" s="42" t="s"/>
      <c r="Y285" s="41" t="s"/>
      <c r="Z285" s="41" t="s"/>
      <c r="AA285" s="42" t="s"/>
      <c r="AB285" s="42" t="s"/>
      <c r="AC285" s="42" t="s"/>
      <c r="AD285" s="42" t="s"/>
      <c r="AE285" s="9" t="s"/>
      <c r="AF285" s="9" t="s"/>
      <c r="AG285" s="42" t="s"/>
      <c r="AH285" s="42" t="s"/>
      <c r="AI285" s="42" t="s"/>
      <c r="AJ285" s="42" t="s"/>
    </row>
    <row r="286" spans="1:36" customHeight="false">
      <c r="A286" s="43" t="s"/>
      <c r="B286" s="42" t="s"/>
      <c r="C286" s="42" t="s"/>
      <c r="D286" s="42" t="s"/>
      <c r="E286" s="16" t="s"/>
      <c r="F286" s="16" t="s"/>
      <c r="G286" s="16" t="s"/>
      <c r="H286" s="35" t="s"/>
      <c r="I286" s="119" t="s"/>
      <c r="J286" s="119" t="s"/>
      <c r="K286" s="119" t="s"/>
      <c r="L286" s="119" t="s"/>
      <c r="M286" s="591" t="s"/>
      <c r="N286" s="591" t="s"/>
      <c r="O286" s="591" t="s"/>
      <c r="P286" s="591" t="s"/>
      <c r="Q286" s="591" t="s"/>
      <c r="R286" s="591" t="s"/>
      <c r="S286" s="41" t="s"/>
      <c r="T286" s="41" t="s"/>
      <c r="U286" s="42" t="s"/>
      <c r="V286" s="42" t="s"/>
      <c r="W286" s="42" t="s"/>
      <c r="X286" s="42" t="s"/>
      <c r="Y286" s="41" t="s"/>
      <c r="Z286" s="41" t="s"/>
      <c r="AA286" s="42" t="s"/>
      <c r="AB286" s="42" t="s"/>
      <c r="AC286" s="42" t="s"/>
      <c r="AD286" s="42" t="s"/>
      <c r="AE286" s="9" t="s"/>
      <c r="AF286" s="9" t="s"/>
      <c r="AG286" s="42" t="s"/>
      <c r="AH286" s="42" t="s"/>
      <c r="AI286" s="42" t="s"/>
      <c r="AJ286" s="42" t="s"/>
    </row>
    <row r="287" spans="1:36" customHeight="false">
      <c r="A287" s="43" t="s"/>
      <c r="B287" s="42" t="s"/>
      <c r="C287" s="42" t="s"/>
      <c r="D287" s="42" t="s"/>
      <c r="E287" s="16" t="s"/>
      <c r="F287" s="16" t="s"/>
      <c r="G287" s="16" t="s"/>
      <c r="H287" s="35" t="s"/>
      <c r="I287" s="119" t="s"/>
      <c r="J287" s="119" t="s"/>
      <c r="K287" s="119" t="s"/>
      <c r="L287" s="119" t="s"/>
      <c r="M287" s="591" t="s"/>
      <c r="N287" s="591" t="s"/>
      <c r="O287" s="591" t="s"/>
      <c r="P287" s="591" t="s"/>
      <c r="Q287" s="591" t="s"/>
      <c r="R287" s="591" t="s"/>
      <c r="S287" s="41" t="s"/>
      <c r="T287" s="41" t="s"/>
      <c r="U287" s="42" t="s"/>
      <c r="V287" s="42" t="s"/>
      <c r="W287" s="42" t="s"/>
      <c r="X287" s="42" t="s"/>
      <c r="Y287" s="41" t="s"/>
      <c r="Z287" s="41" t="s"/>
      <c r="AA287" s="42" t="s"/>
      <c r="AB287" s="42" t="s"/>
      <c r="AC287" s="42" t="s"/>
      <c r="AD287" s="42" t="s"/>
      <c r="AE287" s="9" t="s"/>
      <c r="AF287" s="9" t="s"/>
      <c r="AG287" s="42" t="s"/>
      <c r="AH287" s="42" t="s"/>
      <c r="AI287" s="42" t="s"/>
      <c r="AJ287" s="42" t="s"/>
    </row>
    <row r="288" spans="1:36" customHeight="false">
      <c r="A288" s="43" t="s"/>
      <c r="B288" s="42" t="s"/>
      <c r="C288" s="42" t="s"/>
      <c r="D288" s="42" t="s"/>
      <c r="E288" s="16" t="s"/>
      <c r="F288" s="16" t="s"/>
      <c r="G288" s="16" t="s"/>
      <c r="H288" s="35" t="s"/>
      <c r="I288" s="119" t="s"/>
      <c r="J288" s="119" t="s"/>
      <c r="K288" s="119" t="s"/>
      <c r="L288" s="119" t="s"/>
      <c r="M288" s="591" t="s"/>
      <c r="N288" s="591" t="s"/>
      <c r="O288" s="591" t="s"/>
      <c r="P288" s="591" t="s"/>
      <c r="Q288" s="591" t="s"/>
      <c r="R288" s="591" t="s"/>
      <c r="S288" s="41" t="s"/>
      <c r="T288" s="41" t="s"/>
      <c r="U288" s="42" t="s"/>
      <c r="V288" s="42" t="s"/>
      <c r="W288" s="42" t="s"/>
      <c r="X288" s="42" t="s"/>
      <c r="Y288" s="41" t="s"/>
      <c r="Z288" s="41" t="s"/>
      <c r="AA288" s="42" t="s"/>
      <c r="AB288" s="42" t="s"/>
      <c r="AC288" s="42" t="s"/>
      <c r="AD288" s="42" t="s"/>
      <c r="AE288" s="9" t="s"/>
      <c r="AF288" s="9" t="s"/>
      <c r="AG288" s="42" t="s"/>
      <c r="AH288" s="42" t="s"/>
      <c r="AI288" s="42" t="s"/>
      <c r="AJ288" s="42" t="s"/>
    </row>
    <row r="289" spans="1:36" customHeight="false">
      <c r="A289" s="43" t="s"/>
      <c r="B289" s="42" t="s"/>
      <c r="C289" s="42" t="s"/>
      <c r="D289" s="42" t="s"/>
      <c r="E289" s="16" t="s"/>
      <c r="F289" s="16" t="s"/>
      <c r="G289" s="16" t="s"/>
      <c r="H289" s="35" t="s"/>
      <c r="I289" s="119" t="s"/>
      <c r="J289" s="119" t="s"/>
      <c r="K289" s="119" t="s"/>
      <c r="L289" s="119" t="s"/>
      <c r="M289" s="591" t="s"/>
      <c r="N289" s="591" t="s"/>
      <c r="O289" s="591" t="s"/>
      <c r="P289" s="591" t="s"/>
      <c r="Q289" s="591" t="s"/>
      <c r="R289" s="591" t="s"/>
      <c r="S289" s="41" t="s"/>
      <c r="T289" s="41" t="s"/>
      <c r="U289" s="42" t="s"/>
      <c r="V289" s="42" t="s"/>
      <c r="W289" s="42" t="s"/>
      <c r="X289" s="42" t="s"/>
      <c r="Y289" s="41" t="s"/>
      <c r="Z289" s="41" t="s"/>
      <c r="AA289" s="42" t="s"/>
      <c r="AB289" s="42" t="s"/>
      <c r="AC289" s="42" t="s"/>
      <c r="AD289" s="42" t="s"/>
      <c r="AE289" s="9" t="s"/>
      <c r="AF289" s="9" t="s"/>
      <c r="AG289" s="42" t="s"/>
      <c r="AH289" s="42" t="s"/>
      <c r="AI289" s="42" t="s"/>
      <c r="AJ289" s="42" t="s"/>
    </row>
    <row r="290" spans="1:36" customHeight="false">
      <c r="A290" s="43" t="s"/>
      <c r="B290" s="42" t="s"/>
      <c r="C290" s="42" t="s"/>
      <c r="D290" s="42" t="s"/>
      <c r="E290" s="16" t="s"/>
      <c r="F290" s="16" t="s"/>
      <c r="G290" s="16" t="s"/>
      <c r="H290" s="35" t="s"/>
      <c r="I290" s="119" t="s"/>
      <c r="J290" s="119" t="s"/>
      <c r="K290" s="119" t="s"/>
      <c r="L290" s="119" t="s"/>
      <c r="M290" s="591" t="s"/>
      <c r="N290" s="591" t="s"/>
      <c r="O290" s="591" t="s"/>
      <c r="P290" s="591" t="s"/>
      <c r="Q290" s="591" t="s"/>
      <c r="R290" s="591" t="s"/>
      <c r="S290" s="41" t="s"/>
      <c r="T290" s="41" t="s"/>
      <c r="U290" s="42" t="s"/>
      <c r="V290" s="42" t="s"/>
      <c r="W290" s="42" t="s"/>
      <c r="X290" s="42" t="s"/>
      <c r="Y290" s="41" t="s"/>
      <c r="Z290" s="41" t="s"/>
      <c r="AA290" s="42" t="s"/>
      <c r="AB290" s="42" t="s"/>
      <c r="AC290" s="42" t="s"/>
      <c r="AD290" s="42" t="s"/>
      <c r="AE290" s="9" t="s"/>
      <c r="AF290" s="9" t="s"/>
      <c r="AG290" s="42" t="s"/>
      <c r="AH290" s="42" t="s"/>
      <c r="AI290" s="42" t="s"/>
      <c r="AJ290" s="42" t="s"/>
    </row>
    <row r="291" spans="1:36" customHeight="false">
      <c r="A291" s="43" t="s"/>
      <c r="B291" s="42" t="s"/>
      <c r="C291" s="42" t="s"/>
      <c r="D291" s="42" t="s"/>
      <c r="E291" s="16" t="s"/>
      <c r="F291" s="16" t="s"/>
      <c r="G291" s="16" t="s"/>
      <c r="H291" s="35" t="s"/>
      <c r="I291" s="119" t="s"/>
      <c r="J291" s="119" t="s"/>
      <c r="K291" s="119" t="s"/>
      <c r="L291" s="119" t="s"/>
      <c r="M291" s="591" t="s"/>
      <c r="N291" s="591" t="s"/>
      <c r="O291" s="591" t="s"/>
      <c r="P291" s="591" t="s"/>
      <c r="Q291" s="591" t="s"/>
      <c r="R291" s="591" t="s"/>
      <c r="S291" s="41" t="s"/>
      <c r="T291" s="41" t="s"/>
      <c r="U291" s="42" t="s"/>
      <c r="V291" s="42" t="s"/>
      <c r="W291" s="42" t="s"/>
      <c r="X291" s="42" t="s"/>
      <c r="Y291" s="41" t="s"/>
      <c r="Z291" s="41" t="s"/>
      <c r="AA291" s="42" t="s"/>
      <c r="AB291" s="42" t="s"/>
      <c r="AC291" s="42" t="s"/>
      <c r="AD291" s="42" t="s"/>
      <c r="AE291" s="9" t="s"/>
      <c r="AF291" s="9" t="s"/>
      <c r="AG291" s="42" t="s"/>
      <c r="AH291" s="42" t="s"/>
      <c r="AI291" s="42" t="s"/>
      <c r="AJ291" s="42" t="s"/>
    </row>
    <row r="292" spans="1:36" customHeight="false">
      <c r="A292" s="43" t="s"/>
      <c r="B292" s="42" t="s"/>
      <c r="C292" s="42" t="s"/>
      <c r="D292" s="42" t="s"/>
      <c r="E292" s="16" t="s"/>
      <c r="F292" s="16" t="s"/>
      <c r="G292" s="16" t="s"/>
      <c r="H292" s="35" t="s"/>
      <c r="I292" s="119" t="s"/>
      <c r="J292" s="119" t="s"/>
      <c r="K292" s="119" t="s"/>
      <c r="L292" s="119" t="s"/>
      <c r="M292" s="591" t="s"/>
      <c r="N292" s="591" t="s"/>
      <c r="O292" s="591" t="s"/>
      <c r="P292" s="591" t="s"/>
      <c r="Q292" s="591" t="s"/>
      <c r="R292" s="591" t="s"/>
      <c r="S292" s="41" t="s"/>
      <c r="T292" s="41" t="s"/>
      <c r="U292" s="42" t="s"/>
      <c r="V292" s="42" t="s"/>
      <c r="W292" s="42" t="s"/>
      <c r="X292" s="42" t="s"/>
      <c r="Y292" s="41" t="s"/>
      <c r="Z292" s="41" t="s"/>
      <c r="AA292" s="42" t="s"/>
      <c r="AB292" s="42" t="s"/>
      <c r="AC292" s="42" t="s"/>
      <c r="AD292" s="42" t="s"/>
      <c r="AE292" s="9" t="s"/>
      <c r="AF292" s="9" t="s"/>
      <c r="AG292" s="42" t="s"/>
      <c r="AH292" s="42" t="s"/>
      <c r="AI292" s="42" t="s"/>
      <c r="AJ292" s="42" t="s"/>
    </row>
    <row r="293" spans="1:36" customHeight="false">
      <c r="A293" s="43" t="s"/>
      <c r="B293" s="42" t="s"/>
      <c r="C293" s="42" t="s"/>
      <c r="D293" s="42" t="s"/>
      <c r="E293" s="16" t="s"/>
      <c r="F293" s="16" t="s"/>
      <c r="G293" s="16" t="s"/>
      <c r="H293" s="35" t="s"/>
      <c r="I293" s="119" t="s"/>
      <c r="J293" s="119" t="s"/>
      <c r="K293" s="119" t="s"/>
      <c r="L293" s="119" t="s"/>
      <c r="M293" s="591" t="s"/>
      <c r="N293" s="591" t="s"/>
      <c r="O293" s="591" t="s"/>
      <c r="P293" s="591" t="s"/>
      <c r="Q293" s="591" t="s"/>
      <c r="R293" s="591" t="s"/>
      <c r="S293" s="41" t="s"/>
      <c r="T293" s="41" t="s"/>
      <c r="U293" s="42" t="s"/>
      <c r="V293" s="42" t="s"/>
      <c r="W293" s="42" t="s"/>
      <c r="X293" s="42" t="s"/>
      <c r="Y293" s="41" t="s"/>
      <c r="Z293" s="41" t="s"/>
      <c r="AA293" s="42" t="s"/>
      <c r="AB293" s="42" t="s"/>
      <c r="AC293" s="42" t="s"/>
      <c r="AD293" s="42" t="s"/>
      <c r="AE293" s="9" t="s"/>
      <c r="AF293" s="9" t="s"/>
      <c r="AG293" s="42" t="s"/>
      <c r="AH293" s="42" t="s"/>
      <c r="AI293" s="42" t="s"/>
      <c r="AJ293" s="42" t="s"/>
    </row>
    <row r="294" spans="1:36" customHeight="false">
      <c r="A294" s="43" t="s"/>
      <c r="B294" s="42" t="s"/>
      <c r="C294" s="42" t="s"/>
      <c r="D294" s="42" t="s"/>
      <c r="E294" s="16" t="s"/>
      <c r="F294" s="16" t="s"/>
      <c r="G294" s="16" t="s"/>
      <c r="H294" s="35" t="s"/>
      <c r="I294" s="119" t="s"/>
      <c r="J294" s="119" t="s"/>
      <c r="K294" s="119" t="s"/>
      <c r="L294" s="119" t="s"/>
      <c r="M294" s="591" t="s"/>
      <c r="N294" s="591" t="s"/>
      <c r="O294" s="591" t="s"/>
      <c r="P294" s="591" t="s"/>
      <c r="Q294" s="591" t="s"/>
      <c r="R294" s="591" t="s"/>
      <c r="S294" s="41" t="s"/>
      <c r="T294" s="41" t="s"/>
      <c r="U294" s="42" t="s"/>
      <c r="V294" s="42" t="s"/>
      <c r="W294" s="42" t="s"/>
      <c r="X294" s="42" t="s"/>
      <c r="Y294" s="41" t="s"/>
      <c r="Z294" s="41" t="s"/>
      <c r="AA294" s="42" t="s"/>
      <c r="AB294" s="42" t="s"/>
      <c r="AC294" s="42" t="s"/>
      <c r="AD294" s="42" t="s"/>
      <c r="AE294" s="9" t="s"/>
      <c r="AF294" s="9" t="s"/>
      <c r="AG294" s="42" t="s"/>
      <c r="AH294" s="42" t="s"/>
      <c r="AI294" s="42" t="s"/>
      <c r="AJ294" s="42" t="s"/>
    </row>
    <row r="295" spans="1:36" customHeight="false">
      <c r="A295" s="43" t="s"/>
      <c r="B295" s="42" t="s"/>
      <c r="C295" s="42" t="s"/>
      <c r="D295" s="16" t="s"/>
      <c r="E295" s="16" t="s"/>
      <c r="F295" s="16" t="s"/>
      <c r="G295" s="16" t="s"/>
      <c r="H295" s="35" t="s"/>
      <c r="I295" s="120" t="s"/>
      <c r="J295" s="120" t="s"/>
      <c r="K295" s="120" t="s"/>
      <c r="L295" s="120" t="s"/>
      <c r="M295" s="671" t="s"/>
      <c r="N295" s="671" t="s"/>
      <c r="O295" s="671" t="s"/>
      <c r="P295" s="671" t="s"/>
      <c r="Q295" s="671" t="s"/>
      <c r="R295" s="671" t="s"/>
      <c r="S295" s="453" t="s"/>
      <c r="T295" s="453" t="s"/>
      <c r="U295" s="9" t="s"/>
      <c r="V295" s="9" t="s"/>
      <c r="W295" s="9" t="s"/>
      <c r="X295" s="35" t="s"/>
      <c r="Y295" s="41" t="s"/>
      <c r="Z295" s="41" t="s"/>
      <c r="AA295" s="9" t="s"/>
      <c r="AB295" s="35" t="s"/>
      <c r="AC295" s="9" t="s"/>
      <c r="AD295" s="9" t="s"/>
      <c r="AE295" s="9" t="s"/>
      <c r="AF295" s="9" t="s"/>
      <c r="AG295" s="9" t="s"/>
      <c r="AH295" s="9" t="s"/>
      <c r="AI295" s="9" t="s"/>
      <c r="AJ295" s="9" t="s"/>
    </row>
    <row r="296" spans="1:34" customHeight="false">
      <c r="A296" s="121" t="s"/>
      <c r="B296" s="166" t="s"/>
      <c r="C296" s="166" t="s"/>
      <c r="D296" s="166" t="s"/>
      <c r="E296" s="123" t="s"/>
      <c r="F296" s="123" t="s"/>
      <c r="G296" s="123" t="s"/>
      <c r="H296" s="123" t="s"/>
      <c r="I296" s="125" t="s"/>
      <c r="J296" s="125" t="s"/>
      <c r="K296" s="125" t="s"/>
      <c r="L296" s="125" t="s"/>
      <c r="M296" s="672" t="s"/>
      <c r="N296" s="672" t="s"/>
      <c r="O296" s="672" t="s"/>
      <c r="P296" s="672" t="s"/>
      <c r="Q296" s="672" t="s"/>
      <c r="R296" s="672" t="s"/>
      <c r="S296" s="673" t="s"/>
      <c r="T296" s="673" t="s"/>
      <c r="U296" s="124" t="s"/>
      <c r="V296" s="124" t="s"/>
      <c r="W296" s="124" t="s"/>
      <c r="X296" s="124" t="s"/>
      <c r="Y296" s="124" t="s"/>
      <c r="Z296" s="124" t="s"/>
      <c r="AA296" s="124" t="s"/>
      <c r="AB296" s="124" t="s"/>
      <c r="AC296" s="124" t="s"/>
      <c r="AD296" s="124" t="s"/>
      <c r="AE296" s="124" t="s"/>
      <c r="AF296" s="124" t="s"/>
      <c r="AG296" s="124" t="s"/>
      <c r="AH296" s="124" t="s"/>
    </row>
    <row r="297" spans="1:34" customHeight="false">
      <c r="A297" s="121" t="s"/>
      <c r="B297" s="166" t="s"/>
      <c r="C297" s="166" t="s"/>
      <c r="D297" s="166" t="s"/>
      <c r="E297" s="123" t="s"/>
      <c r="F297" s="123" t="s"/>
      <c r="G297" s="123" t="s"/>
      <c r="H297" s="123" t="s"/>
      <c r="I297" s="125" t="s"/>
      <c r="J297" s="125" t="s"/>
      <c r="K297" s="125" t="s"/>
      <c r="L297" s="125" t="s"/>
      <c r="M297" s="672" t="s"/>
      <c r="N297" s="672" t="s"/>
      <c r="O297" s="672" t="s"/>
      <c r="P297" s="672" t="s"/>
      <c r="Q297" s="672" t="s"/>
      <c r="R297" s="672" t="s"/>
      <c r="S297" s="673" t="s"/>
      <c r="T297" s="673" t="s"/>
      <c r="U297" s="124" t="s"/>
      <c r="V297" s="124" t="s"/>
      <c r="W297" s="124" t="s"/>
      <c r="X297" s="124" t="s"/>
      <c r="Y297" s="124" t="s"/>
      <c r="Z297" s="124" t="s"/>
      <c r="AA297" s="124" t="s"/>
      <c r="AB297" s="124" t="s"/>
      <c r="AC297" s="124" t="s"/>
      <c r="AD297" s="124" t="s"/>
      <c r="AE297" s="124" t="s"/>
      <c r="AF297" s="124" t="s"/>
      <c r="AG297" s="124" t="s"/>
      <c r="AH297" s="124" t="s"/>
    </row>
    <row r="298" spans="1:34" customHeight="false">
      <c r="A298" s="121" t="s"/>
      <c r="B298" s="166" t="s"/>
      <c r="C298" s="166" t="s"/>
      <c r="D298" s="166" t="s"/>
      <c r="E298" s="123" t="s"/>
      <c r="F298" s="123" t="s"/>
      <c r="G298" s="123" t="s"/>
      <c r="H298" s="123" t="s"/>
      <c r="I298" s="125" t="s"/>
      <c r="J298" s="125" t="s"/>
      <c r="K298" s="125" t="s"/>
      <c r="L298" s="125" t="s"/>
      <c r="M298" s="672" t="s"/>
      <c r="N298" s="672" t="s"/>
      <c r="O298" s="672" t="s"/>
      <c r="P298" s="672" t="s"/>
      <c r="Q298" s="672" t="s"/>
      <c r="R298" s="672" t="s"/>
      <c r="S298" s="673" t="s"/>
      <c r="T298" s="673" t="s"/>
      <c r="U298" s="124" t="s"/>
      <c r="V298" s="124" t="s"/>
      <c r="W298" s="124" t="s"/>
      <c r="X298" s="124" t="s"/>
      <c r="Y298" s="124" t="s"/>
      <c r="Z298" s="124" t="s"/>
      <c r="AA298" s="124" t="s"/>
      <c r="AB298" s="124" t="s"/>
      <c r="AC298" s="124" t="s"/>
      <c r="AD298" s="124" t="s"/>
      <c r="AE298" s="124" t="s"/>
      <c r="AF298" s="124" t="s"/>
      <c r="AG298" s="124" t="s"/>
      <c r="AH298" s="124" t="s"/>
    </row>
    <row r="299" spans="1:34" customHeight="false">
      <c r="A299" s="121" t="s"/>
      <c r="B299" s="166" t="s"/>
      <c r="C299" s="166" t="s"/>
      <c r="D299" s="674" t="s">
        <v>1333</v>
      </c>
      <c r="E299" s="123" t="s"/>
      <c r="F299" s="123" t="s"/>
      <c r="G299" s="123" t="s"/>
      <c r="H299" s="123" t="s"/>
      <c r="I299" s="125" t="s"/>
      <c r="J299" s="125" t="s"/>
      <c r="K299" s="125" t="s"/>
      <c r="L299" s="125" t="s"/>
      <c r="M299" s="672" t="s"/>
      <c r="N299" s="672" t="s"/>
      <c r="O299" s="672" t="s"/>
      <c r="P299" s="672" t="s"/>
      <c r="Q299" s="672" t="s"/>
      <c r="R299" s="672" t="s"/>
      <c r="S299" s="673" t="s"/>
      <c r="T299" s="673" t="s"/>
      <c r="U299" s="124" t="s"/>
      <c r="V299" s="124" t="s"/>
      <c r="W299" s="124" t="s"/>
      <c r="X299" s="124" t="s"/>
      <c r="Y299" s="124" t="s"/>
      <c r="Z299" s="124" t="s"/>
      <c r="AA299" s="124" t="s"/>
      <c r="AB299" s="124" t="s"/>
      <c r="AC299" s="124" t="s"/>
      <c r="AD299" s="124" t="s"/>
      <c r="AE299" s="124" t="s"/>
      <c r="AF299" s="124" t="s"/>
      <c r="AG299" s="124" t="s"/>
      <c r="AH299" s="124" t="s"/>
    </row>
    <row r="300" spans="1:34" customHeight="false">
      <c r="A300" s="121" t="s"/>
      <c r="B300" s="166" t="s"/>
      <c r="C300" s="166" t="s"/>
      <c r="D300" s="675" t="s">
        <v>1334</v>
      </c>
      <c r="E300" s="123" t="s"/>
      <c r="F300" s="123" t="s"/>
      <c r="G300" s="123" t="s"/>
      <c r="H300" s="123" t="s"/>
      <c r="I300" s="125" t="s"/>
      <c r="J300" s="125" t="s"/>
      <c r="K300" s="125" t="s"/>
      <c r="L300" s="125" t="s"/>
      <c r="M300" s="672" t="s"/>
      <c r="N300" s="672" t="s"/>
      <c r="O300" s="672" t="s"/>
      <c r="P300" s="672" t="s"/>
      <c r="Q300" s="672" t="s"/>
      <c r="R300" s="672" t="s"/>
      <c r="S300" s="673" t="s"/>
      <c r="T300" s="673" t="s"/>
      <c r="U300" s="124" t="s"/>
      <c r="V300" s="124" t="s"/>
      <c r="W300" s="124" t="s"/>
      <c r="X300" s="124" t="s"/>
      <c r="Y300" s="124" t="s"/>
      <c r="Z300" s="124" t="s"/>
      <c r="AA300" s="124" t="s"/>
      <c r="AB300" s="124" t="s"/>
      <c r="AC300" s="124" t="s"/>
      <c r="AD300" s="124" t="s"/>
      <c r="AE300" s="124" t="s"/>
      <c r="AF300" s="124" t="s"/>
      <c r="AG300" s="124" t="s"/>
      <c r="AH300" s="124" t="s"/>
    </row>
    <row r="301" spans="1:34" customHeight="false">
      <c r="A301" s="121" t="s"/>
      <c r="B301" s="166" t="s"/>
      <c r="C301" s="166" t="s"/>
      <c r="D301" s="166" t="s"/>
      <c r="E301" s="123" t="s"/>
      <c r="F301" s="123" t="s"/>
      <c r="G301" s="123" t="s"/>
      <c r="H301" s="123" t="s"/>
      <c r="I301" s="125" t="s"/>
      <c r="J301" s="125" t="s"/>
      <c r="K301" s="125" t="s"/>
      <c r="L301" s="125" t="s"/>
      <c r="M301" s="672" t="s"/>
      <c r="N301" s="672" t="s"/>
      <c r="O301" s="672" t="s"/>
      <c r="P301" s="672" t="s"/>
      <c r="Q301" s="672" t="s"/>
      <c r="R301" s="672" t="s"/>
      <c r="S301" s="673" t="s"/>
      <c r="T301" s="673" t="s"/>
      <c r="U301" s="124" t="s"/>
      <c r="V301" s="124" t="s"/>
      <c r="W301" s="124" t="s"/>
      <c r="X301" s="124" t="s"/>
      <c r="Y301" s="124" t="s"/>
      <c r="Z301" s="124" t="s"/>
      <c r="AA301" s="124" t="s"/>
      <c r="AB301" s="124" t="s"/>
      <c r="AC301" s="124" t="s"/>
      <c r="AD301" s="124" t="s"/>
      <c r="AE301" s="124" t="s"/>
      <c r="AF301" s="124" t="s"/>
      <c r="AG301" s="124" t="s"/>
      <c r="AH301" s="124" t="s"/>
    </row>
    <row r="302" spans="1:34" customHeight="false">
      <c r="A302" s="121" t="s"/>
      <c r="B302" s="166" t="s"/>
      <c r="C302" s="166" t="s"/>
      <c r="D302" s="166" t="s"/>
      <c r="E302" s="123" t="s"/>
      <c r="F302" s="123" t="s"/>
      <c r="G302" s="123" t="s"/>
      <c r="H302" s="123" t="s"/>
      <c r="I302" s="125" t="s"/>
      <c r="J302" s="125" t="s"/>
      <c r="K302" s="125" t="s"/>
      <c r="L302" s="125" t="s"/>
      <c r="M302" s="672" t="s"/>
      <c r="N302" s="672" t="s"/>
      <c r="O302" s="672" t="s"/>
      <c r="P302" s="672" t="s"/>
      <c r="Q302" s="672" t="s"/>
      <c r="R302" s="672" t="s"/>
      <c r="S302" s="673" t="s"/>
      <c r="T302" s="673" t="s"/>
      <c r="U302" s="124" t="s"/>
      <c r="V302" s="124" t="s"/>
      <c r="W302" s="124" t="s"/>
      <c r="X302" s="124" t="s"/>
      <c r="Y302" s="124" t="s"/>
      <c r="Z302" s="124" t="s"/>
      <c r="AA302" s="124" t="s"/>
      <c r="AB302" s="124" t="s"/>
      <c r="AC302" s="124" t="s"/>
      <c r="AD302" s="124" t="s"/>
      <c r="AE302" s="124" t="s"/>
      <c r="AF302" s="124" t="s"/>
      <c r="AG302" s="124" t="s"/>
      <c r="AH302" s="124" t="s"/>
    </row>
    <row r="303" spans="1:34" customHeight="false">
      <c r="A303" s="121" t="s"/>
      <c r="B303" s="166" t="s"/>
      <c r="C303" s="166" t="s"/>
      <c r="D303" s="166" t="s"/>
      <c r="E303" s="123" t="s"/>
      <c r="F303" s="123" t="s"/>
      <c r="G303" s="123" t="s"/>
      <c r="H303" s="123" t="s"/>
      <c r="I303" s="125" t="s"/>
      <c r="J303" s="125" t="s"/>
      <c r="K303" s="125" t="s"/>
      <c r="L303" s="125" t="s"/>
      <c r="M303" s="672" t="s"/>
      <c r="N303" s="672" t="s"/>
      <c r="O303" s="672" t="s"/>
      <c r="P303" s="672" t="s"/>
      <c r="Q303" s="672" t="s"/>
      <c r="R303" s="672" t="s"/>
      <c r="S303" s="673" t="s"/>
      <c r="T303" s="673" t="s"/>
      <c r="U303" s="124" t="s"/>
      <c r="V303" s="124" t="s"/>
      <c r="W303" s="124" t="s"/>
      <c r="X303" s="124" t="s"/>
      <c r="Y303" s="124" t="s"/>
      <c r="Z303" s="124" t="s"/>
      <c r="AA303" s="124" t="s"/>
      <c r="AB303" s="124" t="s"/>
      <c r="AC303" s="124" t="s"/>
      <c r="AD303" s="124" t="s"/>
      <c r="AE303" s="124" t="s"/>
      <c r="AF303" s="124" t="s"/>
      <c r="AG303" s="124" t="s"/>
      <c r="AH303" s="124" t="s"/>
    </row>
    <row r="304" spans="1:34" customHeight="false">
      <c r="A304" s="121" t="s"/>
      <c r="B304" s="166" t="s"/>
      <c r="C304" s="166" t="s"/>
      <c r="D304" s="166" t="s"/>
      <c r="E304" s="123" t="s"/>
      <c r="F304" s="123" t="s"/>
      <c r="G304" s="123" t="s"/>
      <c r="H304" s="123" t="s"/>
      <c r="I304" s="125" t="s"/>
      <c r="J304" s="125" t="s"/>
      <c r="K304" s="125" t="s"/>
      <c r="L304" s="125" t="s"/>
      <c r="M304" s="672" t="s"/>
      <c r="N304" s="672" t="s"/>
      <c r="O304" s="672" t="s"/>
      <c r="P304" s="672" t="s"/>
      <c r="Q304" s="672" t="s"/>
      <c r="R304" s="672" t="s"/>
      <c r="S304" s="673" t="s"/>
      <c r="T304" s="673" t="s"/>
      <c r="U304" s="124" t="s"/>
      <c r="V304" s="124" t="s"/>
      <c r="W304" s="124" t="s"/>
      <c r="X304" s="124" t="s"/>
      <c r="Y304" s="124" t="s"/>
      <c r="Z304" s="124" t="s"/>
      <c r="AA304" s="124" t="s"/>
      <c r="AB304" s="124" t="s"/>
      <c r="AC304" s="124" t="s"/>
      <c r="AD304" s="124" t="s"/>
      <c r="AE304" s="124" t="s"/>
      <c r="AF304" s="124" t="s"/>
      <c r="AG304" s="124" t="s"/>
      <c r="AH304" s="124" t="s"/>
    </row>
    <row r="305" spans="1:34" customHeight="false">
      <c r="A305" s="121" t="s"/>
      <c r="B305" s="166" t="s"/>
      <c r="C305" s="166" t="s"/>
      <c r="D305" s="166" t="s"/>
      <c r="E305" s="123" t="s"/>
      <c r="F305" s="123" t="s"/>
      <c r="G305" s="123" t="s"/>
      <c r="H305" s="123" t="s"/>
      <c r="I305" s="125" t="s"/>
      <c r="J305" s="125" t="s"/>
      <c r="K305" s="125" t="s"/>
      <c r="L305" s="125" t="s"/>
      <c r="M305" s="672" t="s"/>
      <c r="N305" s="672" t="s"/>
      <c r="O305" s="672" t="s"/>
      <c r="P305" s="672" t="s"/>
      <c r="Q305" s="672" t="s"/>
      <c r="R305" s="672" t="s"/>
      <c r="S305" s="673" t="s"/>
      <c r="T305" s="673" t="s"/>
      <c r="U305" s="124" t="s"/>
      <c r="V305" s="124" t="s"/>
      <c r="W305" s="124" t="s"/>
      <c r="X305" s="124" t="s"/>
      <c r="Y305" s="124" t="s"/>
      <c r="Z305" s="124" t="s"/>
      <c r="AA305" s="124" t="s"/>
      <c r="AB305" s="124" t="s"/>
      <c r="AC305" s="124" t="s"/>
      <c r="AD305" s="124" t="s"/>
      <c r="AE305" s="124" t="s"/>
      <c r="AF305" s="124" t="s"/>
      <c r="AG305" s="124" t="s"/>
      <c r="AH305" s="124" t="s"/>
    </row>
    <row r="306" spans="1:34" customHeight="false">
      <c r="A306" s="121" t="s"/>
      <c r="B306" s="166" t="s"/>
      <c r="C306" s="166" t="s"/>
      <c r="D306" s="166" t="s"/>
      <c r="E306" s="123" t="s"/>
      <c r="F306" s="123" t="s"/>
      <c r="G306" s="123" t="s"/>
      <c r="H306" s="123" t="s"/>
      <c r="I306" s="125" t="s"/>
      <c r="J306" s="125" t="s"/>
      <c r="K306" s="125" t="s"/>
      <c r="L306" s="125" t="s"/>
      <c r="M306" s="672" t="s"/>
      <c r="N306" s="672" t="s"/>
      <c r="O306" s="672" t="s"/>
      <c r="P306" s="672" t="s"/>
      <c r="Q306" s="672" t="s"/>
      <c r="R306" s="672" t="s"/>
      <c r="S306" s="673" t="s"/>
      <c r="T306" s="673" t="s"/>
      <c r="U306" s="124" t="s"/>
      <c r="V306" s="124" t="s"/>
      <c r="W306" s="124" t="s"/>
      <c r="X306" s="124" t="s"/>
      <c r="Y306" s="124" t="s"/>
      <c r="Z306" s="124" t="s"/>
      <c r="AA306" s="124" t="s"/>
      <c r="AB306" s="124" t="s"/>
      <c r="AC306" s="124" t="s"/>
      <c r="AD306" s="124" t="s"/>
      <c r="AE306" s="124" t="s"/>
      <c r="AF306" s="124" t="s"/>
      <c r="AG306" s="124" t="s"/>
      <c r="AH306" s="124" t="s"/>
    </row>
    <row r="307" spans="1:34" customHeight="false">
      <c r="A307" s="121" t="s"/>
      <c r="B307" s="166" t="s"/>
      <c r="C307" s="166" t="s"/>
      <c r="D307" s="166" t="s"/>
      <c r="E307" s="123" t="s"/>
      <c r="F307" s="123" t="s"/>
      <c r="G307" s="123" t="s"/>
      <c r="H307" s="123" t="s"/>
      <c r="I307" s="125" t="s"/>
      <c r="J307" s="125" t="s"/>
      <c r="K307" s="125" t="s"/>
      <c r="L307" s="125" t="s"/>
      <c r="M307" s="672" t="s"/>
      <c r="N307" s="672" t="s"/>
      <c r="O307" s="672" t="s"/>
      <c r="P307" s="672" t="s"/>
      <c r="Q307" s="672" t="s"/>
      <c r="R307" s="672" t="s"/>
      <c r="S307" s="673" t="s"/>
      <c r="T307" s="673" t="s"/>
      <c r="U307" s="124" t="s"/>
      <c r="V307" s="124" t="s"/>
      <c r="W307" s="124" t="s"/>
      <c r="X307" s="124" t="s"/>
      <c r="Y307" s="124" t="s"/>
      <c r="Z307" s="124" t="s"/>
      <c r="AA307" s="124" t="s"/>
      <c r="AB307" s="124" t="s"/>
      <c r="AC307" s="124" t="s"/>
      <c r="AD307" s="124" t="s"/>
      <c r="AE307" s="124" t="s"/>
      <c r="AF307" s="124" t="s"/>
      <c r="AG307" s="124" t="s"/>
      <c r="AH307" s="124" t="s"/>
    </row>
    <row r="308" spans="1:34" customHeight="false">
      <c r="A308" s="121" t="s"/>
      <c r="B308" s="166" t="s"/>
      <c r="C308" s="166" t="s"/>
      <c r="D308" s="166" t="s"/>
      <c r="E308" s="123" t="s"/>
      <c r="F308" s="123" t="s"/>
      <c r="G308" s="123" t="s"/>
      <c r="H308" s="123" t="s"/>
      <c r="I308" s="125" t="s"/>
      <c r="J308" s="125" t="s"/>
      <c r="K308" s="125" t="s"/>
      <c r="L308" s="125" t="s"/>
      <c r="M308" s="672" t="s"/>
      <c r="N308" s="672" t="s"/>
      <c r="O308" s="672" t="s"/>
      <c r="P308" s="672" t="s"/>
      <c r="Q308" s="672" t="s"/>
      <c r="R308" s="672" t="s"/>
      <c r="S308" s="673" t="s"/>
      <c r="T308" s="673" t="s"/>
      <c r="U308" s="124" t="s"/>
      <c r="V308" s="124" t="s"/>
      <c r="W308" s="124" t="s"/>
      <c r="X308" s="124" t="s"/>
      <c r="Y308" s="124" t="s"/>
      <c r="Z308" s="124" t="s"/>
      <c r="AA308" s="124" t="s"/>
      <c r="AB308" s="124" t="s"/>
      <c r="AC308" s="124" t="s"/>
      <c r="AD308" s="124" t="s"/>
      <c r="AE308" s="124" t="s"/>
      <c r="AF308" s="124" t="s"/>
      <c r="AG308" s="124" t="s"/>
      <c r="AH308" s="124" t="s"/>
    </row>
    <row r="309" spans="1:34" customHeight="false">
      <c r="A309" s="121" t="s"/>
      <c r="B309" s="166" t="s"/>
      <c r="C309" s="166" t="s"/>
      <c r="D309" s="166" t="s"/>
      <c r="E309" s="123" t="s"/>
      <c r="F309" s="123" t="s"/>
      <c r="G309" s="123" t="s"/>
      <c r="H309" s="123" t="s"/>
      <c r="I309" s="125" t="s"/>
      <c r="J309" s="125" t="s"/>
      <c r="K309" s="125" t="s"/>
      <c r="L309" s="125" t="s"/>
      <c r="M309" s="672" t="s"/>
      <c r="N309" s="672" t="s"/>
      <c r="O309" s="672" t="s"/>
      <c r="P309" s="672" t="s"/>
      <c r="Q309" s="672" t="s"/>
      <c r="R309" s="672" t="s"/>
      <c r="S309" s="673" t="s"/>
      <c r="T309" s="673" t="s"/>
      <c r="U309" s="124" t="s"/>
      <c r="V309" s="124" t="s"/>
      <c r="W309" s="124" t="s"/>
      <c r="X309" s="124" t="s"/>
      <c r="Y309" s="124" t="s"/>
      <c r="Z309" s="124" t="s"/>
      <c r="AA309" s="124" t="s"/>
      <c r="AB309" s="124" t="s"/>
      <c r="AC309" s="124" t="s"/>
      <c r="AD309" s="124" t="s"/>
      <c r="AE309" s="124" t="s"/>
      <c r="AF309" s="124" t="s"/>
      <c r="AG309" s="124" t="s"/>
      <c r="AH309" s="124" t="s"/>
    </row>
    <row r="310" spans="1:34" customHeight="false">
      <c r="A310" s="121" t="s"/>
      <c r="B310" s="166" t="s"/>
      <c r="C310" s="166" t="s"/>
      <c r="D310" s="166" t="s"/>
      <c r="E310" s="123" t="s"/>
      <c r="F310" s="123" t="s"/>
      <c r="G310" s="123" t="s"/>
      <c r="H310" s="123" t="s"/>
      <c r="I310" s="124" t="s"/>
      <c r="J310" s="125" t="s"/>
      <c r="K310" s="125" t="s"/>
      <c r="L310" s="125" t="s"/>
      <c r="M310" s="672" t="s"/>
      <c r="N310" s="672" t="s"/>
      <c r="O310" s="672" t="s"/>
      <c r="P310" s="672" t="s"/>
      <c r="Q310" s="672" t="s"/>
      <c r="R310" s="672" t="s"/>
      <c r="S310" s="673" t="s"/>
      <c r="T310" s="673" t="s"/>
      <c r="U310" s="124" t="s"/>
      <c r="V310" s="124" t="s"/>
      <c r="W310" s="124" t="s"/>
      <c r="X310" s="124" t="s"/>
      <c r="Y310" s="124" t="s"/>
      <c r="Z310" s="124" t="s"/>
      <c r="AA310" s="124" t="s"/>
      <c r="AB310" s="124" t="s"/>
      <c r="AC310" s="124" t="s"/>
      <c r="AD310" s="124" t="s"/>
      <c r="AE310" s="124" t="s"/>
      <c r="AF310" s="124" t="s"/>
      <c r="AG310" s="124" t="s"/>
      <c r="AH310" s="124" t="s"/>
    </row>
    <row r="311" spans="1:34" customHeight="false">
      <c r="A311" s="121" t="s"/>
      <c r="B311" s="166" t="s"/>
      <c r="C311" s="166" t="s"/>
      <c r="D311" s="166" t="s"/>
      <c r="E311" s="123" t="s"/>
      <c r="F311" s="123" t="s"/>
      <c r="G311" s="123" t="s"/>
      <c r="H311" s="123" t="s"/>
      <c r="I311" s="124" t="s"/>
      <c r="J311" s="125" t="s"/>
      <c r="K311" s="125" t="s"/>
      <c r="L311" s="125" t="s"/>
      <c r="M311" s="672" t="s"/>
      <c r="N311" s="672" t="s"/>
      <c r="O311" s="672" t="s"/>
      <c r="P311" s="672" t="s"/>
      <c r="Q311" s="672" t="s"/>
      <c r="R311" s="672" t="s"/>
      <c r="S311" s="673" t="s"/>
      <c r="T311" s="673" t="s"/>
      <c r="U311" s="124" t="s"/>
      <c r="V311" s="124" t="s"/>
      <c r="W311" s="124" t="s"/>
      <c r="X311" s="124" t="s"/>
      <c r="Y311" s="124" t="s"/>
      <c r="Z311" s="124" t="s"/>
      <c r="AA311" s="124" t="s"/>
      <c r="AB311" s="124" t="s"/>
      <c r="AC311" s="124" t="s"/>
      <c r="AD311" s="124" t="s"/>
      <c r="AE311" s="124" t="s"/>
      <c r="AF311" s="124" t="s"/>
      <c r="AG311" s="124" t="s"/>
      <c r="AH311" s="124" t="s"/>
    </row>
    <row r="312" spans="1:34" customHeight="false">
      <c r="A312" s="121" t="s"/>
      <c r="B312" s="166" t="s"/>
      <c r="C312" s="166" t="s"/>
      <c r="D312" s="166" t="s"/>
      <c r="E312" s="123" t="s"/>
      <c r="F312" s="123" t="s"/>
      <c r="G312" s="123" t="s"/>
      <c r="H312" s="123" t="s"/>
      <c r="I312" s="124" t="s"/>
      <c r="J312" s="125" t="s"/>
      <c r="K312" s="125" t="s"/>
      <c r="L312" s="125" t="s"/>
      <c r="M312" s="672" t="s"/>
      <c r="N312" s="672" t="s"/>
      <c r="O312" s="672" t="s"/>
      <c r="P312" s="672" t="s"/>
      <c r="Q312" s="672" t="s"/>
      <c r="R312" s="672" t="s"/>
      <c r="S312" s="673" t="s"/>
      <c r="T312" s="673" t="s"/>
      <c r="U312" s="124" t="s"/>
      <c r="V312" s="124" t="s"/>
      <c r="W312" s="124" t="s"/>
      <c r="X312" s="124" t="s"/>
      <c r="Y312" s="124" t="s"/>
      <c r="Z312" s="124" t="s"/>
      <c r="AA312" s="124" t="s"/>
      <c r="AB312" s="124" t="s"/>
      <c r="AC312" s="124" t="s"/>
      <c r="AD312" s="124" t="s"/>
      <c r="AE312" s="124" t="s"/>
      <c r="AF312" s="124" t="s"/>
      <c r="AG312" s="124" t="s"/>
      <c r="AH312" s="124" t="s"/>
    </row>
    <row r="313" spans="1:34" customHeight="false">
      <c r="A313" s="121" t="s"/>
      <c r="B313" s="166" t="s"/>
      <c r="C313" s="166" t="s"/>
      <c r="D313" s="166" t="s"/>
      <c r="E313" s="123" t="s"/>
      <c r="F313" s="123" t="s"/>
      <c r="G313" s="123" t="s"/>
      <c r="H313" s="123" t="s"/>
      <c r="I313" s="124" t="s"/>
      <c r="J313" s="125" t="s"/>
      <c r="K313" s="125" t="s"/>
      <c r="L313" s="125" t="s"/>
      <c r="M313" s="672" t="s"/>
      <c r="N313" s="672" t="s"/>
      <c r="O313" s="672" t="s"/>
      <c r="P313" s="672" t="s"/>
      <c r="Q313" s="672" t="s"/>
      <c r="R313" s="672" t="s"/>
      <c r="S313" s="673" t="s"/>
      <c r="T313" s="673" t="s"/>
      <c r="U313" s="124" t="s"/>
      <c r="V313" s="124" t="s"/>
      <c r="W313" s="124" t="s"/>
      <c r="X313" s="124" t="s"/>
      <c r="Y313" s="124" t="s"/>
      <c r="Z313" s="124" t="s"/>
      <c r="AA313" s="124" t="s"/>
      <c r="AB313" s="124" t="s"/>
      <c r="AC313" s="124" t="s"/>
      <c r="AD313" s="124" t="s"/>
      <c r="AE313" s="124" t="s"/>
      <c r="AF313" s="124" t="s"/>
      <c r="AG313" s="124" t="s"/>
      <c r="AH313" s="124" t="s"/>
    </row>
    <row r="314" spans="1:34" customHeight="false">
      <c r="A314" s="121" t="s"/>
      <c r="B314" s="166" t="s"/>
      <c r="C314" s="166" t="s"/>
      <c r="D314" s="166" t="s"/>
      <c r="E314" s="123" t="s"/>
      <c r="F314" s="123" t="s"/>
      <c r="G314" s="123" t="s"/>
      <c r="H314" s="123" t="s"/>
      <c r="I314" s="124" t="s"/>
      <c r="J314" s="125" t="s"/>
      <c r="K314" s="125" t="s"/>
      <c r="L314" s="125" t="s"/>
      <c r="M314" s="672" t="s"/>
      <c r="N314" s="672" t="s"/>
      <c r="O314" s="672" t="s"/>
      <c r="P314" s="672" t="s"/>
      <c r="Q314" s="672" t="s"/>
      <c r="R314" s="672" t="s"/>
      <c r="S314" s="673" t="s"/>
      <c r="T314" s="673" t="s"/>
      <c r="U314" s="124" t="s"/>
      <c r="V314" s="124" t="s"/>
      <c r="W314" s="124" t="s"/>
      <c r="X314" s="124" t="s"/>
      <c r="Y314" s="124" t="s"/>
      <c r="Z314" s="124" t="s"/>
      <c r="AA314" s="124" t="s"/>
      <c r="AB314" s="124" t="s"/>
      <c r="AC314" s="124" t="s"/>
      <c r="AD314" s="124" t="s"/>
      <c r="AE314" s="124" t="s"/>
      <c r="AF314" s="124" t="s"/>
      <c r="AG314" s="124" t="s"/>
      <c r="AH314" s="124" t="s"/>
    </row>
    <row r="315" spans="1:34" customHeight="false">
      <c r="A315" s="121" t="s"/>
      <c r="B315" s="166" t="s"/>
      <c r="C315" s="166" t="s"/>
      <c r="D315" s="166" t="s"/>
      <c r="E315" s="123" t="s"/>
      <c r="F315" s="123" t="s"/>
      <c r="G315" s="123" t="s"/>
      <c r="H315" s="123" t="s"/>
      <c r="I315" s="124" t="s"/>
      <c r="J315" s="125" t="s"/>
      <c r="K315" s="125" t="s"/>
      <c r="L315" s="125" t="s"/>
      <c r="M315" s="672" t="s"/>
      <c r="N315" s="672" t="s"/>
      <c r="O315" s="672" t="s"/>
      <c r="P315" s="672" t="s"/>
      <c r="Q315" s="672" t="s"/>
      <c r="R315" s="672" t="s"/>
      <c r="S315" s="673" t="s"/>
      <c r="T315" s="673" t="s"/>
      <c r="U315" s="124" t="s"/>
      <c r="V315" s="124" t="s"/>
      <c r="W315" s="124" t="s"/>
      <c r="X315" s="124" t="s"/>
      <c r="Y315" s="124" t="s"/>
      <c r="Z315" s="124" t="s"/>
      <c r="AA315" s="124" t="s"/>
      <c r="AB315" s="124" t="s"/>
      <c r="AC315" s="124" t="s"/>
      <c r="AD315" s="124" t="s"/>
      <c r="AE315" s="124" t="s"/>
      <c r="AF315" s="124" t="s"/>
      <c r="AG315" s="124" t="s"/>
      <c r="AH315" s="124" t="s"/>
    </row>
    <row r="316" spans="1:34" customHeight="false">
      <c r="A316" s="121" t="s"/>
      <c r="B316" s="166" t="s"/>
      <c r="C316" s="166" t="s"/>
      <c r="D316" s="166" t="s"/>
      <c r="E316" s="123" t="s"/>
      <c r="F316" s="123" t="s"/>
      <c r="G316" s="123" t="s"/>
      <c r="H316" s="123" t="s"/>
      <c r="I316" s="124" t="s"/>
      <c r="J316" s="125" t="s"/>
      <c r="K316" s="125" t="s"/>
      <c r="L316" s="125" t="s"/>
      <c r="M316" s="672" t="s"/>
      <c r="N316" s="672" t="s"/>
      <c r="O316" s="672" t="s"/>
      <c r="P316" s="672" t="s"/>
      <c r="Q316" s="672" t="s"/>
      <c r="R316" s="672" t="s"/>
      <c r="S316" s="673" t="s"/>
      <c r="T316" s="673" t="s"/>
      <c r="U316" s="124" t="s"/>
      <c r="V316" s="124" t="s"/>
      <c r="W316" s="124" t="s"/>
      <c r="X316" s="124" t="s"/>
      <c r="Y316" s="124" t="s"/>
      <c r="Z316" s="124" t="s"/>
      <c r="AA316" s="124" t="s"/>
      <c r="AB316" s="124" t="s"/>
      <c r="AC316" s="124" t="s"/>
      <c r="AD316" s="124" t="s"/>
      <c r="AE316" s="124" t="s"/>
      <c r="AF316" s="124" t="s"/>
      <c r="AG316" s="124" t="s"/>
      <c r="AH316" s="124" t="s"/>
    </row>
    <row r="317" spans="1:34" customHeight="false">
      <c r="A317" s="121" t="s"/>
      <c r="B317" s="166" t="s"/>
      <c r="C317" s="166" t="s"/>
      <c r="D317" s="166" t="s"/>
      <c r="E317" s="123" t="s"/>
      <c r="F317" s="123" t="s"/>
      <c r="G317" s="123" t="s"/>
      <c r="H317" s="123" t="s"/>
      <c r="I317" s="124" t="s"/>
      <c r="J317" s="125" t="s"/>
      <c r="K317" s="125" t="s"/>
      <c r="L317" s="125" t="s"/>
      <c r="M317" s="672" t="s"/>
      <c r="N317" s="672" t="s"/>
      <c r="O317" s="672" t="s"/>
      <c r="P317" s="672" t="s"/>
      <c r="Q317" s="672" t="s"/>
      <c r="R317" s="672" t="s"/>
      <c r="S317" s="673" t="s"/>
      <c r="T317" s="673" t="s"/>
      <c r="U317" s="124" t="s"/>
      <c r="V317" s="124" t="s"/>
      <c r="W317" s="124" t="s"/>
      <c r="X317" s="124" t="s"/>
      <c r="Y317" s="124" t="s"/>
      <c r="Z317" s="124" t="s"/>
      <c r="AA317" s="124" t="s"/>
      <c r="AB317" s="124" t="s"/>
      <c r="AC317" s="124" t="s"/>
      <c r="AD317" s="124" t="s"/>
      <c r="AE317" s="124" t="s"/>
      <c r="AF317" s="124" t="s"/>
      <c r="AG317" s="124" t="s"/>
      <c r="AH317" s="124" t="s"/>
    </row>
    <row r="318" spans="1:34" customHeight="false">
      <c r="A318" s="121" t="s"/>
      <c r="B318" s="166" t="s"/>
      <c r="C318" s="166" t="s"/>
      <c r="D318" s="166" t="s"/>
      <c r="E318" s="123" t="s"/>
      <c r="F318" s="123" t="s"/>
      <c r="G318" s="123" t="s"/>
      <c r="H318" s="123" t="s"/>
      <c r="I318" s="124" t="s"/>
      <c r="J318" s="125" t="s"/>
      <c r="K318" s="125" t="s"/>
      <c r="L318" s="125" t="s"/>
      <c r="M318" s="672" t="s"/>
      <c r="N318" s="672" t="s"/>
      <c r="O318" s="672" t="s"/>
      <c r="P318" s="672" t="s"/>
      <c r="Q318" s="672" t="s"/>
      <c r="R318" s="672" t="s"/>
      <c r="S318" s="673" t="s"/>
      <c r="T318" s="673" t="s"/>
      <c r="U318" s="124" t="s"/>
      <c r="V318" s="124" t="s"/>
      <c r="W318" s="124" t="s"/>
      <c r="X318" s="124" t="s"/>
      <c r="Y318" s="124" t="s"/>
      <c r="Z318" s="124" t="s"/>
      <c r="AA318" s="124" t="s"/>
      <c r="AB318" s="124" t="s"/>
      <c r="AC318" s="124" t="s"/>
      <c r="AD318" s="124" t="s"/>
      <c r="AE318" s="124" t="s"/>
      <c r="AF318" s="124" t="s"/>
      <c r="AG318" s="124" t="s"/>
      <c r="AH318" s="124" t="s"/>
    </row>
    <row r="319" spans="1:34" customHeight="false">
      <c r="A319" s="121" t="s"/>
      <c r="B319" s="166" t="s"/>
      <c r="C319" s="166" t="s"/>
      <c r="D319" s="166" t="s"/>
      <c r="E319" s="123" t="s"/>
      <c r="F319" s="123" t="s"/>
      <c r="G319" s="123" t="s"/>
      <c r="H319" s="123" t="s"/>
      <c r="I319" s="124" t="s"/>
      <c r="J319" s="125" t="s"/>
      <c r="K319" s="125" t="s"/>
      <c r="L319" s="125" t="s"/>
      <c r="M319" s="672" t="s"/>
      <c r="N319" s="672" t="s"/>
      <c r="O319" s="672" t="s"/>
      <c r="P319" s="672" t="s"/>
      <c r="Q319" s="672" t="s"/>
      <c r="R319" s="672" t="s"/>
      <c r="S319" s="673" t="s"/>
      <c r="T319" s="673" t="s"/>
      <c r="U319" s="124" t="s"/>
      <c r="V319" s="124" t="s"/>
      <c r="W319" s="124" t="s"/>
      <c r="X319" s="124" t="s"/>
      <c r="Y319" s="124" t="s"/>
      <c r="Z319" s="124" t="s"/>
      <c r="AA319" s="124" t="s"/>
      <c r="AB319" s="124" t="s"/>
      <c r="AC319" s="124" t="s"/>
      <c r="AD319" s="124" t="s"/>
      <c r="AE319" s="124" t="s"/>
      <c r="AF319" s="124" t="s"/>
      <c r="AG319" s="124" t="s"/>
      <c r="AH319" s="124" t="s"/>
    </row>
    <row r="320" spans="1:34" customHeight="false">
      <c r="A320" s="121" t="s"/>
      <c r="B320" s="166" t="s"/>
      <c r="C320" s="166" t="s"/>
      <c r="D320" s="166" t="s"/>
      <c r="E320" s="123" t="s"/>
      <c r="F320" s="123" t="s"/>
      <c r="G320" s="123" t="s"/>
      <c r="H320" s="123" t="s"/>
      <c r="I320" s="124" t="s"/>
      <c r="J320" s="125" t="s"/>
      <c r="K320" s="125" t="s"/>
      <c r="L320" s="125" t="s"/>
      <c r="M320" s="672" t="s"/>
      <c r="N320" s="672" t="s"/>
      <c r="O320" s="672" t="s"/>
      <c r="P320" s="672" t="s"/>
      <c r="Q320" s="672" t="s"/>
      <c r="R320" s="672" t="s"/>
      <c r="S320" s="673" t="s"/>
      <c r="T320" s="673" t="s"/>
      <c r="U320" s="124" t="s"/>
      <c r="V320" s="124" t="s"/>
      <c r="W320" s="124" t="s"/>
      <c r="X320" s="124" t="s"/>
      <c r="Y320" s="124" t="s"/>
      <c r="Z320" s="124" t="s"/>
      <c r="AA320" s="124" t="s"/>
      <c r="AB320" s="124" t="s"/>
      <c r="AC320" s="124" t="s"/>
      <c r="AD320" s="124" t="s"/>
      <c r="AE320" s="124" t="s"/>
      <c r="AF320" s="124" t="s"/>
      <c r="AG320" s="124" t="s"/>
      <c r="AH320" s="124" t="s"/>
    </row>
    <row r="321" spans="1:34" customHeight="false">
      <c r="A321" s="121" t="s"/>
      <c r="B321" s="166" t="s"/>
      <c r="C321" s="166" t="s"/>
      <c r="D321" s="166" t="s"/>
      <c r="E321" s="123" t="s"/>
      <c r="F321" s="123" t="s"/>
      <c r="G321" s="123" t="s"/>
      <c r="H321" s="123" t="s"/>
      <c r="I321" s="124" t="s"/>
      <c r="J321" s="125" t="s"/>
      <c r="K321" s="125" t="s"/>
      <c r="L321" s="125" t="s"/>
      <c r="M321" s="672" t="s"/>
      <c r="N321" s="672" t="s"/>
      <c r="O321" s="672" t="s"/>
      <c r="P321" s="672" t="s"/>
      <c r="Q321" s="672" t="s"/>
      <c r="R321" s="672" t="s"/>
      <c r="S321" s="673" t="s"/>
      <c r="T321" s="673" t="s"/>
      <c r="U321" s="124" t="s"/>
      <c r="V321" s="124" t="s"/>
      <c r="W321" s="124" t="s"/>
      <c r="X321" s="124" t="s"/>
      <c r="Y321" s="124" t="s"/>
      <c r="Z321" s="124" t="s"/>
      <c r="AA321" s="124" t="s"/>
      <c r="AB321" s="124" t="s"/>
      <c r="AC321" s="124" t="s"/>
      <c r="AD321" s="124" t="s"/>
      <c r="AE321" s="124" t="s"/>
      <c r="AF321" s="124" t="s"/>
      <c r="AG321" s="124" t="s"/>
      <c r="AH321" s="124" t="s"/>
    </row>
    <row r="322" spans="1:34" customHeight="false">
      <c r="A322" s="121" t="s"/>
      <c r="B322" s="166" t="s"/>
      <c r="C322" s="166" t="s"/>
      <c r="D322" s="166" t="s"/>
      <c r="E322" s="123" t="s"/>
      <c r="F322" s="123" t="s"/>
      <c r="G322" s="123" t="s"/>
      <c r="H322" s="123" t="s"/>
      <c r="I322" s="124" t="s"/>
      <c r="J322" s="125" t="s"/>
      <c r="K322" s="125" t="s"/>
      <c r="L322" s="125" t="s"/>
      <c r="M322" s="672" t="s"/>
      <c r="N322" s="672" t="s"/>
      <c r="O322" s="672" t="s"/>
      <c r="P322" s="672" t="s"/>
      <c r="Q322" s="672" t="s"/>
      <c r="R322" s="672" t="s"/>
      <c r="S322" s="673" t="s"/>
      <c r="T322" s="673" t="s"/>
      <c r="U322" s="124" t="s"/>
      <c r="V322" s="124" t="s"/>
      <c r="W322" s="124" t="s"/>
      <c r="X322" s="124" t="s"/>
      <c r="Y322" s="124" t="s"/>
      <c r="Z322" s="124" t="s"/>
      <c r="AA322" s="124" t="s"/>
      <c r="AB322" s="124" t="s"/>
      <c r="AC322" s="124" t="s"/>
      <c r="AD322" s="124" t="s"/>
      <c r="AE322" s="124" t="s"/>
      <c r="AF322" s="124" t="s"/>
      <c r="AG322" s="124" t="s"/>
      <c r="AH322" s="124" t="s"/>
    </row>
    <row r="323" spans="1:34" customHeight="false">
      <c r="A323" s="121" t="s"/>
      <c r="B323" s="166" t="s"/>
      <c r="C323" s="166" t="s"/>
      <c r="D323" s="166" t="s"/>
      <c r="E323" s="123" t="s"/>
      <c r="F323" s="123" t="s"/>
      <c r="G323" s="123" t="s"/>
      <c r="H323" s="123" t="s"/>
      <c r="I323" s="124" t="s"/>
      <c r="J323" s="125" t="s"/>
      <c r="K323" s="125" t="s"/>
      <c r="L323" s="125" t="s"/>
      <c r="M323" s="672" t="s"/>
      <c r="N323" s="672" t="s"/>
      <c r="O323" s="672" t="s"/>
      <c r="P323" s="672" t="s"/>
      <c r="Q323" s="672" t="s"/>
      <c r="R323" s="672" t="s"/>
      <c r="S323" s="673" t="s"/>
      <c r="T323" s="673" t="s"/>
      <c r="U323" s="124" t="s"/>
      <c r="V323" s="124" t="s"/>
      <c r="W323" s="124" t="s"/>
      <c r="X323" s="124" t="s"/>
      <c r="Y323" s="124" t="s"/>
      <c r="Z323" s="124" t="s"/>
      <c r="AA323" s="124" t="s"/>
      <c r="AB323" s="124" t="s"/>
      <c r="AC323" s="124" t="s"/>
      <c r="AD323" s="124" t="s"/>
      <c r="AE323" s="124" t="s"/>
      <c r="AF323" s="124" t="s"/>
      <c r="AG323" s="124" t="s"/>
      <c r="AH323" s="124" t="s"/>
    </row>
    <row r="324" spans="1:34" customHeight="false">
      <c r="A324" s="121" t="s"/>
      <c r="B324" s="166" t="s"/>
      <c r="C324" s="166" t="s"/>
      <c r="D324" s="166" t="s"/>
      <c r="E324" s="123" t="s"/>
      <c r="F324" s="123" t="s"/>
      <c r="G324" s="123" t="s"/>
      <c r="H324" s="123" t="s"/>
      <c r="I324" s="124" t="s"/>
      <c r="J324" s="125" t="s"/>
      <c r="K324" s="125" t="s"/>
      <c r="L324" s="125" t="s"/>
      <c r="M324" s="672" t="s"/>
      <c r="N324" s="672" t="s"/>
      <c r="O324" s="672" t="s"/>
      <c r="P324" s="672" t="s"/>
      <c r="Q324" s="672" t="s"/>
      <c r="R324" s="672" t="s"/>
      <c r="S324" s="673" t="s"/>
      <c r="T324" s="673" t="s"/>
      <c r="U324" s="124" t="s"/>
      <c r="V324" s="124" t="s"/>
      <c r="W324" s="124" t="s"/>
      <c r="X324" s="124" t="s"/>
      <c r="Y324" s="124" t="s"/>
      <c r="Z324" s="124" t="s"/>
      <c r="AA324" s="124" t="s"/>
      <c r="AB324" s="124" t="s"/>
      <c r="AC324" s="124" t="s"/>
      <c r="AD324" s="124" t="s"/>
      <c r="AE324" s="124" t="s"/>
      <c r="AF324" s="124" t="s"/>
      <c r="AG324" s="124" t="s"/>
      <c r="AH324" s="124" t="s"/>
    </row>
    <row r="325" spans="1:34" customHeight="false">
      <c r="A325" s="121" t="s"/>
      <c r="B325" s="166" t="s"/>
      <c r="C325" s="166" t="s"/>
      <c r="D325" s="166" t="s"/>
      <c r="E325" s="123" t="s"/>
      <c r="F325" s="123" t="s"/>
      <c r="G325" s="123" t="s"/>
      <c r="H325" s="123" t="s"/>
      <c r="I325" s="124" t="s"/>
      <c r="J325" s="125" t="s"/>
      <c r="K325" s="125" t="s"/>
      <c r="L325" s="125" t="s"/>
      <c r="M325" s="672" t="s"/>
      <c r="N325" s="672" t="s"/>
      <c r="O325" s="672" t="s"/>
      <c r="P325" s="672" t="s"/>
      <c r="Q325" s="672" t="s"/>
      <c r="R325" s="672" t="s"/>
      <c r="S325" s="673" t="s"/>
      <c r="T325" s="673" t="s"/>
      <c r="U325" s="124" t="s"/>
      <c r="V325" s="124" t="s"/>
      <c r="W325" s="124" t="s"/>
      <c r="X325" s="124" t="s"/>
      <c r="Y325" s="124" t="s"/>
      <c r="Z325" s="124" t="s"/>
      <c r="AA325" s="124" t="s"/>
      <c r="AB325" s="124" t="s"/>
      <c r="AC325" s="124" t="s"/>
      <c r="AD325" s="124" t="s"/>
      <c r="AE325" s="124" t="s"/>
      <c r="AF325" s="124" t="s"/>
      <c r="AG325" s="124" t="s"/>
      <c r="AH325" s="124" t="s"/>
    </row>
    <row r="326" spans="1:34" customHeight="false">
      <c r="A326" s="121" t="s"/>
      <c r="B326" s="166" t="s"/>
      <c r="C326" s="166" t="s"/>
      <c r="D326" s="166" t="s"/>
      <c r="E326" s="123" t="s"/>
      <c r="F326" s="123" t="s"/>
      <c r="G326" s="123" t="s"/>
      <c r="H326" s="123" t="s"/>
      <c r="I326" s="124" t="s"/>
      <c r="J326" s="125" t="s"/>
      <c r="K326" s="125" t="s"/>
      <c r="L326" s="125" t="s"/>
      <c r="M326" s="672" t="s"/>
      <c r="N326" s="672" t="s"/>
      <c r="O326" s="672" t="s"/>
      <c r="P326" s="672" t="s"/>
      <c r="Q326" s="672" t="s"/>
      <c r="R326" s="672" t="s"/>
      <c r="S326" s="673" t="s"/>
      <c r="T326" s="673" t="s"/>
      <c r="U326" s="124" t="s"/>
      <c r="V326" s="124" t="s"/>
      <c r="W326" s="124" t="s"/>
      <c r="X326" s="124" t="s"/>
      <c r="Y326" s="124" t="s"/>
      <c r="Z326" s="124" t="s"/>
      <c r="AA326" s="124" t="s"/>
      <c r="AB326" s="124" t="s"/>
      <c r="AC326" s="124" t="s"/>
      <c r="AD326" s="124" t="s"/>
      <c r="AE326" s="124" t="s"/>
      <c r="AF326" s="124" t="s"/>
      <c r="AG326" s="124" t="s"/>
      <c r="AH326" s="124" t="s"/>
    </row>
    <row r="327" spans="1:34" customHeight="false">
      <c r="A327" s="121" t="s"/>
      <c r="B327" s="166" t="s"/>
      <c r="C327" s="166" t="s"/>
      <c r="D327" s="166" t="s"/>
      <c r="E327" s="123" t="s"/>
      <c r="F327" s="123" t="s"/>
      <c r="G327" s="123" t="s"/>
      <c r="H327" s="123" t="s"/>
      <c r="I327" s="124" t="s"/>
      <c r="J327" s="125" t="s"/>
      <c r="K327" s="125" t="s"/>
      <c r="L327" s="125" t="s"/>
      <c r="M327" s="672" t="s"/>
      <c r="N327" s="672" t="s"/>
      <c r="O327" s="672" t="s"/>
      <c r="P327" s="672" t="s"/>
      <c r="Q327" s="672" t="s"/>
      <c r="R327" s="672" t="s"/>
      <c r="S327" s="673" t="s"/>
      <c r="T327" s="673" t="s"/>
      <c r="U327" s="124" t="s"/>
      <c r="V327" s="124" t="s"/>
      <c r="W327" s="124" t="s"/>
      <c r="X327" s="124" t="s"/>
      <c r="Y327" s="124" t="s"/>
      <c r="Z327" s="124" t="s"/>
      <c r="AA327" s="124" t="s"/>
      <c r="AB327" s="124" t="s"/>
      <c r="AC327" s="124" t="s"/>
      <c r="AD327" s="124" t="s"/>
      <c r="AE327" s="124" t="s"/>
      <c r="AF327" s="124" t="s"/>
      <c r="AG327" s="124" t="s"/>
      <c r="AH327" s="124" t="s"/>
    </row>
    <row r="328" spans="1:34" customHeight="false">
      <c r="A328" s="121" t="s"/>
      <c r="B328" s="166" t="s"/>
      <c r="C328" s="166" t="s"/>
      <c r="D328" s="166" t="s"/>
      <c r="E328" s="123" t="s"/>
      <c r="F328" s="123" t="s"/>
      <c r="G328" s="123" t="s"/>
      <c r="H328" s="123" t="s"/>
      <c r="I328" s="124" t="s"/>
      <c r="J328" s="125" t="s"/>
      <c r="K328" s="125" t="s"/>
      <c r="L328" s="125" t="s"/>
      <c r="M328" s="672" t="s"/>
      <c r="N328" s="672" t="s"/>
      <c r="O328" s="672" t="s"/>
      <c r="P328" s="672" t="s"/>
      <c r="Q328" s="672" t="s"/>
      <c r="R328" s="672" t="s"/>
      <c r="S328" s="673" t="s"/>
      <c r="T328" s="673" t="s"/>
      <c r="U328" s="124" t="s"/>
      <c r="V328" s="124" t="s"/>
      <c r="W328" s="124" t="s"/>
      <c r="X328" s="124" t="s"/>
      <c r="Y328" s="124" t="s"/>
      <c r="Z328" s="124" t="s"/>
      <c r="AA328" s="124" t="s"/>
      <c r="AB328" s="124" t="s"/>
      <c r="AC328" s="124" t="s"/>
      <c r="AD328" s="124" t="s"/>
      <c r="AE328" s="124" t="s"/>
      <c r="AF328" s="124" t="s"/>
      <c r="AG328" s="124" t="s"/>
      <c r="AH328" s="124" t="s"/>
    </row>
    <row r="329" spans="1:34" customHeight="false">
      <c r="A329" s="121" t="s"/>
      <c r="B329" s="166" t="s"/>
      <c r="C329" s="166" t="s"/>
      <c r="D329" s="166" t="s"/>
      <c r="E329" s="123" t="s"/>
      <c r="F329" s="123" t="s"/>
      <c r="G329" s="123" t="s"/>
      <c r="H329" s="123" t="s"/>
      <c r="I329" s="124" t="s"/>
      <c r="J329" s="125" t="s"/>
      <c r="K329" s="125" t="s"/>
      <c r="L329" s="125" t="s"/>
      <c r="M329" s="672" t="s"/>
      <c r="N329" s="672" t="s"/>
      <c r="O329" s="672" t="s"/>
      <c r="P329" s="672" t="s"/>
      <c r="Q329" s="672" t="s"/>
      <c r="R329" s="672" t="s"/>
      <c r="S329" s="673" t="s"/>
      <c r="T329" s="673" t="s"/>
      <c r="U329" s="124" t="s"/>
      <c r="V329" s="124" t="s"/>
      <c r="W329" s="124" t="s"/>
      <c r="X329" s="124" t="s"/>
      <c r="Y329" s="124" t="s"/>
      <c r="Z329" s="124" t="s"/>
      <c r="AA329" s="124" t="s"/>
      <c r="AB329" s="124" t="s"/>
      <c r="AC329" s="124" t="s"/>
      <c r="AD329" s="124" t="s"/>
      <c r="AE329" s="124" t="s"/>
      <c r="AF329" s="124" t="s"/>
      <c r="AG329" s="124" t="s"/>
      <c r="AH329" s="124" t="s"/>
    </row>
    <row r="330" spans="1:34" customHeight="false">
      <c r="A330" s="121" t="s"/>
      <c r="B330" s="166" t="s"/>
      <c r="C330" s="166" t="s"/>
      <c r="D330" s="166" t="s"/>
      <c r="E330" s="123" t="s"/>
      <c r="F330" s="123" t="s"/>
      <c r="G330" s="123" t="s"/>
      <c r="H330" s="123" t="s"/>
      <c r="I330" s="124" t="s"/>
      <c r="J330" s="125" t="s"/>
      <c r="K330" s="125" t="s"/>
      <c r="L330" s="125" t="s"/>
      <c r="M330" s="672" t="s"/>
      <c r="N330" s="672" t="s"/>
      <c r="O330" s="672" t="s"/>
      <c r="P330" s="672" t="s"/>
      <c r="Q330" s="672" t="s"/>
      <c r="R330" s="672" t="s"/>
      <c r="S330" s="673" t="s"/>
      <c r="T330" s="673" t="s"/>
      <c r="U330" s="124" t="s"/>
      <c r="V330" s="124" t="s"/>
      <c r="W330" s="124" t="s"/>
      <c r="X330" s="124" t="s"/>
      <c r="Y330" s="124" t="s"/>
      <c r="Z330" s="124" t="s"/>
      <c r="AA330" s="124" t="s"/>
      <c r="AB330" s="124" t="s"/>
      <c r="AC330" s="124" t="s"/>
      <c r="AD330" s="124" t="s"/>
      <c r="AE330" s="124" t="s"/>
      <c r="AF330" s="124" t="s"/>
      <c r="AG330" s="124" t="s"/>
      <c r="AH330" s="124" t="s"/>
    </row>
    <row r="331" spans="1:34" customHeight="false">
      <c r="A331" s="121" t="s"/>
      <c r="B331" s="166" t="s"/>
      <c r="C331" s="166" t="s"/>
      <c r="D331" s="166" t="s"/>
      <c r="E331" s="123" t="s"/>
      <c r="F331" s="123" t="s"/>
      <c r="G331" s="123" t="s"/>
      <c r="H331" s="123" t="s"/>
      <c r="I331" s="124" t="s"/>
      <c r="J331" s="125" t="s"/>
      <c r="K331" s="125" t="s"/>
      <c r="L331" s="125" t="s"/>
      <c r="M331" s="672" t="s"/>
      <c r="N331" s="672" t="s"/>
      <c r="O331" s="672" t="s"/>
      <c r="P331" s="672" t="s"/>
      <c r="Q331" s="672" t="s"/>
      <c r="R331" s="672" t="s"/>
      <c r="S331" s="673" t="s"/>
      <c r="T331" s="673" t="s"/>
      <c r="U331" s="124" t="s"/>
      <c r="V331" s="124" t="s"/>
      <c r="W331" s="124" t="s"/>
      <c r="X331" s="124" t="s"/>
      <c r="Y331" s="124" t="s"/>
      <c r="Z331" s="124" t="s"/>
      <c r="AA331" s="124" t="s"/>
      <c r="AB331" s="124" t="s"/>
      <c r="AC331" s="124" t="s"/>
      <c r="AD331" s="124" t="s"/>
      <c r="AE331" s="124" t="s"/>
      <c r="AF331" s="124" t="s"/>
      <c r="AG331" s="124" t="s"/>
      <c r="AH331" s="124" t="s"/>
    </row>
    <row r="332" spans="1:34" customHeight="false">
      <c r="A332" s="121" t="s"/>
      <c r="B332" s="166" t="s"/>
      <c r="C332" s="166" t="s"/>
      <c r="D332" s="166" t="s"/>
      <c r="E332" s="123" t="s"/>
      <c r="F332" s="123" t="s"/>
      <c r="G332" s="123" t="s"/>
      <c r="H332" s="123" t="s"/>
      <c r="I332" s="124" t="s"/>
      <c r="J332" s="125" t="s"/>
      <c r="K332" s="125" t="s"/>
      <c r="L332" s="125" t="s"/>
      <c r="M332" s="672" t="s"/>
      <c r="N332" s="672" t="s"/>
      <c r="O332" s="672" t="s"/>
      <c r="P332" s="672" t="s"/>
      <c r="Q332" s="672" t="s"/>
      <c r="R332" s="672" t="s"/>
      <c r="S332" s="673" t="s"/>
      <c r="T332" s="673" t="s"/>
      <c r="U332" s="124" t="s"/>
      <c r="V332" s="124" t="s"/>
      <c r="W332" s="124" t="s"/>
      <c r="X332" s="124" t="s"/>
      <c r="Y332" s="124" t="s"/>
      <c r="Z332" s="124" t="s"/>
      <c r="AA332" s="124" t="s"/>
      <c r="AB332" s="124" t="s"/>
      <c r="AC332" s="124" t="s"/>
      <c r="AD332" s="124" t="s"/>
      <c r="AE332" s="124" t="s"/>
      <c r="AF332" s="124" t="s"/>
      <c r="AG332" s="124" t="s"/>
      <c r="AH332" s="124" t="s"/>
    </row>
    <row r="333" spans="1:34" customHeight="false">
      <c r="A333" s="121" t="s"/>
      <c r="B333" s="166" t="s"/>
      <c r="C333" s="166" t="s"/>
      <c r="D333" s="166" t="s"/>
      <c r="E333" s="123" t="s"/>
      <c r="F333" s="123" t="s"/>
      <c r="G333" s="123" t="s"/>
      <c r="H333" s="123" t="s"/>
      <c r="I333" s="124" t="s"/>
      <c r="J333" s="125" t="s"/>
      <c r="K333" s="125" t="s"/>
      <c r="L333" s="125" t="s"/>
      <c r="M333" s="672" t="s"/>
      <c r="N333" s="672" t="s"/>
      <c r="O333" s="672" t="s"/>
      <c r="P333" s="672" t="s"/>
      <c r="Q333" s="672" t="s"/>
      <c r="R333" s="672" t="s"/>
      <c r="S333" s="673" t="s"/>
      <c r="T333" s="673" t="s"/>
      <c r="U333" s="124" t="s"/>
      <c r="V333" s="124" t="s"/>
      <c r="W333" s="124" t="s"/>
      <c r="X333" s="124" t="s"/>
      <c r="Y333" s="124" t="s"/>
      <c r="Z333" s="124" t="s"/>
      <c r="AA333" s="124" t="s"/>
      <c r="AB333" s="124" t="s"/>
      <c r="AC333" s="124" t="s"/>
      <c r="AD333" s="124" t="s"/>
      <c r="AE333" s="124" t="s"/>
      <c r="AF333" s="124" t="s"/>
      <c r="AG333" s="124" t="s"/>
      <c r="AH333" s="124" t="s"/>
    </row>
    <row r="334" spans="1:34" customHeight="false">
      <c r="A334" s="121" t="s"/>
      <c r="B334" s="166" t="s"/>
      <c r="C334" s="166" t="s"/>
      <c r="D334" s="166" t="s"/>
      <c r="E334" s="123" t="s"/>
      <c r="F334" s="123" t="s"/>
      <c r="G334" s="123" t="s"/>
      <c r="H334" s="123" t="s"/>
      <c r="I334" s="124" t="s"/>
      <c r="J334" s="125" t="s"/>
      <c r="K334" s="125" t="s"/>
      <c r="L334" s="125" t="s"/>
      <c r="M334" s="672" t="s"/>
      <c r="N334" s="672" t="s"/>
      <c r="O334" s="672" t="s"/>
      <c r="P334" s="672" t="s"/>
      <c r="Q334" s="672" t="s"/>
      <c r="R334" s="672" t="s"/>
      <c r="S334" s="673" t="s"/>
      <c r="T334" s="673" t="s"/>
      <c r="U334" s="124" t="s"/>
      <c r="V334" s="124" t="s"/>
      <c r="W334" s="124" t="s"/>
      <c r="X334" s="124" t="s"/>
      <c r="Y334" s="124" t="s"/>
      <c r="Z334" s="124" t="s"/>
      <c r="AA334" s="124" t="s"/>
      <c r="AB334" s="124" t="s"/>
      <c r="AC334" s="124" t="s"/>
      <c r="AD334" s="124" t="s"/>
      <c r="AE334" s="124" t="s"/>
      <c r="AF334" s="124" t="s"/>
      <c r="AG334" s="124" t="s"/>
      <c r="AH334" s="124" t="s"/>
    </row>
    <row r="335" spans="1:34" customHeight="false">
      <c r="A335" s="121" t="s"/>
      <c r="B335" s="166" t="s"/>
      <c r="C335" s="166" t="s"/>
      <c r="D335" s="166" t="s"/>
      <c r="E335" s="123" t="s"/>
      <c r="F335" s="123" t="s"/>
      <c r="G335" s="123" t="s"/>
      <c r="H335" s="123" t="s"/>
      <c r="I335" s="124" t="s"/>
      <c r="J335" s="125" t="s"/>
      <c r="K335" s="125" t="s"/>
      <c r="L335" s="125" t="s"/>
      <c r="M335" s="672" t="s"/>
      <c r="N335" s="672" t="s"/>
      <c r="O335" s="672" t="s"/>
      <c r="P335" s="672" t="s"/>
      <c r="Q335" s="672" t="s"/>
      <c r="R335" s="672" t="s"/>
      <c r="S335" s="673" t="s"/>
      <c r="T335" s="673" t="s"/>
      <c r="U335" s="124" t="s"/>
      <c r="V335" s="124" t="s"/>
      <c r="W335" s="124" t="s"/>
      <c r="X335" s="124" t="s"/>
      <c r="Y335" s="124" t="s"/>
      <c r="Z335" s="124" t="s"/>
      <c r="AA335" s="124" t="s"/>
      <c r="AB335" s="124" t="s"/>
      <c r="AC335" s="124" t="s"/>
      <c r="AD335" s="124" t="s"/>
      <c r="AE335" s="124" t="s"/>
      <c r="AF335" s="124" t="s"/>
      <c r="AG335" s="124" t="s"/>
      <c r="AH335" s="124" t="s"/>
    </row>
    <row r="336" spans="1:34" customHeight="false">
      <c r="A336" s="121" t="s"/>
      <c r="B336" s="166" t="s"/>
      <c r="C336" s="166" t="s"/>
      <c r="D336" s="166" t="s"/>
      <c r="E336" s="123" t="s"/>
      <c r="F336" s="123" t="s"/>
      <c r="G336" s="123" t="s"/>
      <c r="H336" s="123" t="s"/>
      <c r="I336" s="124" t="s"/>
      <c r="J336" s="125" t="s"/>
      <c r="K336" s="125" t="s"/>
      <c r="L336" s="125" t="s"/>
      <c r="M336" s="672" t="s"/>
      <c r="N336" s="672" t="s"/>
      <c r="O336" s="672" t="s"/>
      <c r="P336" s="672" t="s"/>
      <c r="Q336" s="672" t="s"/>
      <c r="R336" s="672" t="s"/>
      <c r="S336" s="673" t="s"/>
      <c r="T336" s="673" t="s"/>
      <c r="U336" s="124" t="s"/>
      <c r="V336" s="124" t="s"/>
      <c r="W336" s="124" t="s"/>
      <c r="X336" s="124" t="s"/>
      <c r="Y336" s="124" t="s"/>
      <c r="Z336" s="124" t="s"/>
      <c r="AA336" s="124" t="s"/>
      <c r="AB336" s="124" t="s"/>
      <c r="AC336" s="124" t="s"/>
      <c r="AD336" s="124" t="s"/>
      <c r="AE336" s="124" t="s"/>
      <c r="AF336" s="124" t="s"/>
      <c r="AG336" s="124" t="s"/>
      <c r="AH336" s="124" t="s"/>
    </row>
    <row r="337" spans="1:34" customHeight="false">
      <c r="A337" s="121" t="s"/>
      <c r="B337" s="166" t="s"/>
      <c r="C337" s="166" t="s"/>
      <c r="D337" s="166" t="s"/>
      <c r="E337" s="123" t="s"/>
      <c r="F337" s="123" t="s"/>
      <c r="G337" s="123" t="s"/>
      <c r="H337" s="123" t="s"/>
      <c r="I337" s="124" t="s"/>
      <c r="J337" s="125" t="s"/>
      <c r="K337" s="125" t="s"/>
      <c r="L337" s="125" t="s"/>
      <c r="M337" s="672" t="s"/>
      <c r="N337" s="672" t="s"/>
      <c r="O337" s="672" t="s"/>
      <c r="P337" s="672" t="s"/>
      <c r="Q337" s="672" t="s"/>
      <c r="R337" s="672" t="s"/>
      <c r="S337" s="673" t="s"/>
      <c r="T337" s="673" t="s"/>
      <c r="U337" s="124" t="s"/>
      <c r="V337" s="124" t="s"/>
      <c r="W337" s="124" t="s"/>
      <c r="X337" s="124" t="s"/>
      <c r="Y337" s="124" t="s"/>
      <c r="Z337" s="124" t="s"/>
      <c r="AA337" s="124" t="s"/>
      <c r="AB337" s="124" t="s"/>
      <c r="AC337" s="124" t="s"/>
      <c r="AD337" s="124" t="s"/>
      <c r="AE337" s="124" t="s"/>
      <c r="AF337" s="124" t="s"/>
      <c r="AG337" s="124" t="s"/>
      <c r="AH337" s="124" t="s"/>
    </row>
    <row r="338" spans="1:34" customHeight="false">
      <c r="A338" s="121" t="s"/>
      <c r="B338" s="166" t="s"/>
      <c r="C338" s="166" t="s"/>
      <c r="D338" s="166" t="s"/>
      <c r="E338" s="123" t="s"/>
      <c r="F338" s="123" t="s"/>
      <c r="G338" s="123" t="s"/>
      <c r="H338" s="123" t="s"/>
      <c r="I338" s="124" t="s"/>
      <c r="J338" s="125" t="s"/>
      <c r="K338" s="125" t="s"/>
      <c r="L338" s="125" t="s"/>
      <c r="M338" s="672" t="s"/>
      <c r="N338" s="672" t="s"/>
      <c r="O338" s="672" t="s"/>
      <c r="P338" s="672" t="s"/>
      <c r="Q338" s="672" t="s"/>
      <c r="R338" s="672" t="s"/>
      <c r="S338" s="673" t="s"/>
      <c r="T338" s="673" t="s"/>
      <c r="U338" s="124" t="s"/>
      <c r="V338" s="124" t="s"/>
      <c r="W338" s="124" t="s"/>
      <c r="X338" s="124" t="s"/>
      <c r="Y338" s="124" t="s"/>
      <c r="Z338" s="124" t="s"/>
      <c r="AA338" s="124" t="s"/>
      <c r="AB338" s="124" t="s"/>
      <c r="AC338" s="124" t="s"/>
      <c r="AD338" s="124" t="s"/>
      <c r="AE338" s="124" t="s"/>
      <c r="AF338" s="124" t="s"/>
      <c r="AG338" s="124" t="s"/>
      <c r="AH338" s="124" t="s"/>
    </row>
    <row r="339" spans="1:34" customHeight="false">
      <c r="A339" s="121" t="s"/>
      <c r="B339" s="166" t="s"/>
      <c r="C339" s="166" t="s"/>
      <c r="D339" s="166" t="s"/>
      <c r="E339" s="123" t="s"/>
      <c r="F339" s="123" t="s"/>
      <c r="G339" s="123" t="s"/>
      <c r="H339" s="123" t="s"/>
      <c r="I339" s="124" t="s"/>
      <c r="J339" s="125" t="s"/>
      <c r="K339" s="125" t="s"/>
      <c r="L339" s="125" t="s"/>
      <c r="M339" s="672" t="s"/>
      <c r="N339" s="672" t="s"/>
      <c r="O339" s="672" t="s"/>
      <c r="P339" s="672" t="s"/>
      <c r="Q339" s="672" t="s"/>
      <c r="R339" s="672" t="s"/>
      <c r="S339" s="673" t="s"/>
      <c r="T339" s="673" t="s"/>
      <c r="U339" s="124" t="s"/>
      <c r="V339" s="124" t="s"/>
      <c r="W339" s="124" t="s"/>
      <c r="X339" s="124" t="s"/>
      <c r="Y339" s="124" t="s"/>
      <c r="Z339" s="124" t="s"/>
      <c r="AA339" s="124" t="s"/>
      <c r="AB339" s="124" t="s"/>
      <c r="AC339" s="124" t="s"/>
      <c r="AD339" s="124" t="s"/>
      <c r="AE339" s="124" t="s"/>
      <c r="AF339" s="124" t="s"/>
      <c r="AG339" s="124" t="s"/>
      <c r="AH339" s="124" t="s"/>
    </row>
    <row r="340" spans="1:34" customHeight="false">
      <c r="A340" s="121" t="s"/>
      <c r="B340" s="166" t="s"/>
      <c r="C340" s="166" t="s"/>
      <c r="D340" s="166" t="s"/>
      <c r="E340" s="123" t="s"/>
      <c r="F340" s="123" t="s"/>
      <c r="G340" s="123" t="s"/>
      <c r="H340" s="123" t="s"/>
      <c r="I340" s="124" t="s"/>
      <c r="J340" s="125" t="s"/>
      <c r="K340" s="125" t="s"/>
      <c r="L340" s="125" t="s"/>
      <c r="M340" s="672" t="s"/>
      <c r="N340" s="672" t="s"/>
      <c r="O340" s="672" t="s"/>
      <c r="P340" s="672" t="s"/>
      <c r="Q340" s="672" t="s"/>
      <c r="R340" s="672" t="s"/>
      <c r="S340" s="673" t="s"/>
      <c r="T340" s="673" t="s"/>
      <c r="U340" s="124" t="s"/>
      <c r="V340" s="124" t="s"/>
      <c r="W340" s="124" t="s"/>
      <c r="X340" s="124" t="s"/>
      <c r="Y340" s="124" t="s"/>
      <c r="Z340" s="124" t="s"/>
      <c r="AA340" s="124" t="s"/>
      <c r="AB340" s="124" t="s"/>
      <c r="AC340" s="124" t="s"/>
      <c r="AD340" s="124" t="s"/>
      <c r="AE340" s="124" t="s"/>
      <c r="AF340" s="124" t="s"/>
      <c r="AG340" s="124" t="s"/>
      <c r="AH340" s="124" t="s"/>
    </row>
    <row r="341" spans="1:34" customHeight="false">
      <c r="A341" s="121" t="s"/>
      <c r="B341" s="166" t="s"/>
      <c r="C341" s="166" t="s"/>
      <c r="D341" s="166" t="s"/>
      <c r="E341" s="123" t="s"/>
      <c r="F341" s="123" t="s"/>
      <c r="G341" s="123" t="s"/>
      <c r="H341" s="123" t="s"/>
      <c r="I341" s="124" t="s"/>
      <c r="J341" s="125" t="s"/>
      <c r="K341" s="125" t="s"/>
      <c r="L341" s="125" t="s"/>
      <c r="M341" s="672" t="s"/>
      <c r="N341" s="672" t="s"/>
      <c r="O341" s="672" t="s"/>
      <c r="P341" s="672" t="s"/>
      <c r="Q341" s="672" t="s"/>
      <c r="R341" s="672" t="s"/>
      <c r="S341" s="673" t="s"/>
      <c r="T341" s="673" t="s"/>
      <c r="U341" s="124" t="s"/>
      <c r="V341" s="124" t="s"/>
      <c r="W341" s="124" t="s"/>
      <c r="X341" s="124" t="s"/>
      <c r="Y341" s="124" t="s"/>
      <c r="Z341" s="124" t="s"/>
      <c r="AA341" s="124" t="s"/>
      <c r="AB341" s="124" t="s"/>
      <c r="AC341" s="124" t="s"/>
      <c r="AD341" s="124" t="s"/>
      <c r="AE341" s="124" t="s"/>
      <c r="AF341" s="124" t="s"/>
      <c r="AG341" s="124" t="s"/>
      <c r="AH341" s="124" t="s"/>
    </row>
    <row r="342" spans="1:34" customHeight="false">
      <c r="A342" s="121" t="s"/>
      <c r="B342" s="166" t="s"/>
      <c r="C342" s="166" t="s"/>
      <c r="D342" s="166" t="s"/>
      <c r="E342" s="123" t="s"/>
      <c r="F342" s="123" t="s"/>
      <c r="G342" s="123" t="s"/>
      <c r="H342" s="123" t="s"/>
      <c r="I342" s="124" t="s"/>
      <c r="J342" s="125" t="s"/>
      <c r="K342" s="125" t="s"/>
      <c r="L342" s="125" t="s"/>
      <c r="M342" s="672" t="s"/>
      <c r="N342" s="672" t="s"/>
      <c r="O342" s="672" t="s"/>
      <c r="P342" s="672" t="s"/>
      <c r="Q342" s="672" t="s"/>
      <c r="R342" s="672" t="s"/>
      <c r="S342" s="673" t="s"/>
      <c r="T342" s="673" t="s"/>
      <c r="U342" s="124" t="s"/>
      <c r="V342" s="124" t="s"/>
      <c r="W342" s="124" t="s"/>
      <c r="X342" s="124" t="s"/>
      <c r="Y342" s="124" t="s"/>
      <c r="Z342" s="124" t="s"/>
      <c r="AA342" s="124" t="s"/>
      <c r="AB342" s="124" t="s"/>
      <c r="AC342" s="124" t="s"/>
      <c r="AD342" s="124" t="s"/>
      <c r="AE342" s="124" t="s"/>
      <c r="AF342" s="124" t="s"/>
      <c r="AG342" s="124" t="s"/>
      <c r="AH342" s="124" t="s"/>
    </row>
    <row r="343" spans="1:34" customHeight="false">
      <c r="A343" s="121" t="s"/>
      <c r="B343" s="166" t="s"/>
      <c r="C343" s="166" t="s"/>
      <c r="D343" s="166" t="s"/>
      <c r="E343" s="123" t="s"/>
      <c r="F343" s="123" t="s"/>
      <c r="G343" s="123" t="s"/>
      <c r="H343" s="123" t="s"/>
      <c r="I343" s="124" t="s"/>
      <c r="J343" s="125" t="s"/>
      <c r="K343" s="125" t="s"/>
      <c r="L343" s="125" t="s"/>
      <c r="M343" s="672" t="s"/>
      <c r="N343" s="672" t="s"/>
      <c r="O343" s="672" t="s"/>
      <c r="P343" s="672" t="s"/>
      <c r="Q343" s="672" t="s"/>
      <c r="R343" s="672" t="s"/>
      <c r="S343" s="673" t="s"/>
      <c r="T343" s="673" t="s"/>
      <c r="U343" s="124" t="s"/>
      <c r="V343" s="124" t="s"/>
      <c r="W343" s="124" t="s"/>
      <c r="X343" s="124" t="s"/>
      <c r="Y343" s="124" t="s"/>
      <c r="Z343" s="124" t="s"/>
      <c r="AA343" s="124" t="s"/>
      <c r="AB343" s="124" t="s"/>
      <c r="AC343" s="124" t="s"/>
      <c r="AD343" s="124" t="s"/>
      <c r="AE343" s="124" t="s"/>
      <c r="AF343" s="124" t="s"/>
      <c r="AG343" s="124" t="s"/>
      <c r="AH343" s="124" t="s"/>
    </row>
    <row r="344" spans="1:34" customHeight="false">
      <c r="A344" s="121" t="s"/>
      <c r="B344" s="166" t="s"/>
      <c r="C344" s="166" t="s"/>
      <c r="D344" s="166" t="s"/>
      <c r="E344" s="123" t="s"/>
      <c r="F344" s="123" t="s"/>
      <c r="G344" s="123" t="s"/>
      <c r="H344" s="123" t="s"/>
      <c r="I344" s="124" t="s"/>
      <c r="J344" s="125" t="s"/>
      <c r="K344" s="125" t="s"/>
      <c r="L344" s="125" t="s"/>
      <c r="M344" s="672" t="s"/>
      <c r="N344" s="672" t="s"/>
      <c r="O344" s="672" t="s"/>
      <c r="P344" s="672" t="s"/>
      <c r="Q344" s="672" t="s"/>
      <c r="R344" s="672" t="s"/>
      <c r="S344" s="673" t="s"/>
      <c r="T344" s="673" t="s"/>
      <c r="U344" s="124" t="s"/>
      <c r="V344" s="124" t="s"/>
      <c r="W344" s="124" t="s"/>
      <c r="X344" s="124" t="s"/>
      <c r="Y344" s="124" t="s"/>
      <c r="Z344" s="124" t="s"/>
      <c r="AA344" s="124" t="s"/>
      <c r="AB344" s="124" t="s"/>
      <c r="AC344" s="124" t="s"/>
      <c r="AD344" s="124" t="s"/>
      <c r="AE344" s="124" t="s"/>
      <c r="AF344" s="124" t="s"/>
      <c r="AG344" s="124" t="s"/>
      <c r="AH344" s="124" t="s"/>
    </row>
    <row r="345" spans="1:34" customHeight="false">
      <c r="A345" s="121" t="s"/>
      <c r="B345" s="166" t="s"/>
      <c r="C345" s="166" t="s"/>
      <c r="D345" s="166" t="s"/>
      <c r="E345" s="123" t="s"/>
      <c r="F345" s="123" t="s"/>
      <c r="G345" s="123" t="s"/>
      <c r="H345" s="123" t="s"/>
      <c r="I345" s="124" t="s"/>
      <c r="J345" s="125" t="s"/>
      <c r="K345" s="125" t="s"/>
      <c r="L345" s="125" t="s"/>
      <c r="M345" s="672" t="s"/>
      <c r="N345" s="672" t="s"/>
      <c r="O345" s="672" t="s"/>
      <c r="P345" s="672" t="s"/>
      <c r="Q345" s="672" t="s"/>
      <c r="R345" s="672" t="s"/>
      <c r="S345" s="673" t="s"/>
      <c r="T345" s="673" t="s"/>
      <c r="U345" s="124" t="s"/>
      <c r="V345" s="124" t="s"/>
      <c r="W345" s="124" t="s"/>
      <c r="X345" s="124" t="s"/>
      <c r="Y345" s="124" t="s"/>
      <c r="Z345" s="124" t="s"/>
      <c r="AA345" s="124" t="s"/>
      <c r="AB345" s="124" t="s"/>
      <c r="AC345" s="124" t="s"/>
      <c r="AD345" s="124" t="s"/>
      <c r="AE345" s="124" t="s"/>
      <c r="AF345" s="124" t="s"/>
      <c r="AG345" s="124" t="s"/>
      <c r="AH345" s="124" t="s"/>
    </row>
    <row r="346" spans="1:34" customHeight="false">
      <c r="A346" s="121" t="s"/>
      <c r="B346" s="166" t="s"/>
      <c r="C346" s="166" t="s"/>
      <c r="D346" s="166" t="s"/>
      <c r="E346" s="123" t="s"/>
      <c r="F346" s="123" t="s"/>
      <c r="G346" s="123" t="s"/>
      <c r="H346" s="123" t="s"/>
      <c r="I346" s="124" t="s"/>
      <c r="J346" s="125" t="s"/>
      <c r="K346" s="125" t="s"/>
      <c r="L346" s="125" t="s"/>
      <c r="M346" s="672" t="s"/>
      <c r="N346" s="672" t="s"/>
      <c r="O346" s="672" t="s"/>
      <c r="P346" s="672" t="s"/>
      <c r="Q346" s="672" t="s"/>
      <c r="R346" s="672" t="s"/>
      <c r="S346" s="673" t="s"/>
      <c r="T346" s="673" t="s"/>
      <c r="U346" s="124" t="s"/>
      <c r="V346" s="124" t="s"/>
      <c r="W346" s="124" t="s"/>
      <c r="X346" s="124" t="s"/>
      <c r="Y346" s="124" t="s"/>
      <c r="Z346" s="124" t="s"/>
      <c r="AA346" s="124" t="s"/>
      <c r="AB346" s="124" t="s"/>
      <c r="AC346" s="124" t="s"/>
      <c r="AD346" s="124" t="s"/>
      <c r="AE346" s="124" t="s"/>
      <c r="AF346" s="124" t="s"/>
      <c r="AG346" s="124" t="s"/>
      <c r="AH346" s="124" t="s"/>
    </row>
    <row r="347" spans="1:34" customHeight="false">
      <c r="A347" s="121" t="s"/>
      <c r="B347" s="166" t="s"/>
      <c r="C347" s="166" t="s"/>
      <c r="D347" s="166" t="s"/>
      <c r="E347" s="123" t="s"/>
      <c r="F347" s="123" t="s"/>
      <c r="G347" s="123" t="s"/>
      <c r="H347" s="123" t="s"/>
      <c r="I347" s="124" t="s"/>
      <c r="J347" s="125" t="s"/>
      <c r="K347" s="125" t="s"/>
      <c r="L347" s="125" t="s"/>
      <c r="M347" s="672" t="s"/>
      <c r="N347" s="672" t="s"/>
      <c r="O347" s="672" t="s"/>
      <c r="P347" s="672" t="s"/>
      <c r="Q347" s="672" t="s"/>
      <c r="R347" s="672" t="s"/>
      <c r="S347" s="673" t="s"/>
      <c r="T347" s="673" t="s"/>
      <c r="U347" s="124" t="s"/>
      <c r="V347" s="124" t="s"/>
      <c r="W347" s="124" t="s"/>
      <c r="X347" s="124" t="s"/>
      <c r="Y347" s="124" t="s"/>
      <c r="Z347" s="124" t="s"/>
      <c r="AA347" s="124" t="s"/>
      <c r="AB347" s="124" t="s"/>
      <c r="AC347" s="124" t="s"/>
      <c r="AD347" s="124" t="s"/>
      <c r="AE347" s="124" t="s"/>
      <c r="AF347" s="124" t="s"/>
      <c r="AG347" s="124" t="s"/>
      <c r="AH347" s="124" t="s"/>
    </row>
    <row r="348" spans="1:34" customHeight="false">
      <c r="A348" s="121" t="s"/>
      <c r="B348" s="166" t="s"/>
      <c r="C348" s="166" t="s"/>
      <c r="D348" s="166" t="s"/>
      <c r="E348" s="123" t="s"/>
      <c r="F348" s="123" t="s"/>
      <c r="G348" s="123" t="s"/>
      <c r="H348" s="123" t="s"/>
      <c r="I348" s="124" t="s"/>
      <c r="J348" s="125" t="s"/>
      <c r="K348" s="125" t="s"/>
      <c r="L348" s="125" t="s"/>
      <c r="M348" s="672" t="s"/>
      <c r="N348" s="672" t="s"/>
      <c r="O348" s="672" t="s"/>
      <c r="P348" s="672" t="s"/>
      <c r="Q348" s="672" t="s"/>
      <c r="R348" s="672" t="s"/>
      <c r="S348" s="673" t="s"/>
      <c r="T348" s="673" t="s"/>
      <c r="U348" s="124" t="s"/>
      <c r="V348" s="124" t="s"/>
      <c r="W348" s="124" t="s"/>
      <c r="X348" s="124" t="s"/>
      <c r="Y348" s="124" t="s"/>
      <c r="Z348" s="124" t="s"/>
      <c r="AA348" s="124" t="s"/>
      <c r="AB348" s="124" t="s"/>
      <c r="AC348" s="124" t="s"/>
      <c r="AD348" s="124" t="s"/>
      <c r="AE348" s="124" t="s"/>
      <c r="AF348" s="124" t="s"/>
      <c r="AG348" s="124" t="s"/>
      <c r="AH348" s="124" t="s"/>
    </row>
    <row r="349" spans="1:34" customHeight="false">
      <c r="A349" s="121" t="s"/>
      <c r="B349" s="166" t="s"/>
      <c r="C349" s="166" t="s"/>
      <c r="D349" s="166" t="s"/>
      <c r="E349" s="123" t="s"/>
      <c r="F349" s="123" t="s"/>
      <c r="G349" s="123" t="s"/>
      <c r="H349" s="123" t="s"/>
      <c r="I349" s="124" t="s"/>
      <c r="J349" s="125" t="s"/>
      <c r="K349" s="125" t="s"/>
      <c r="L349" s="125" t="s"/>
      <c r="M349" s="672" t="s"/>
      <c r="N349" s="672" t="s"/>
      <c r="O349" s="672" t="s"/>
      <c r="P349" s="672" t="s"/>
      <c r="Q349" s="672" t="s"/>
      <c r="R349" s="672" t="s"/>
      <c r="S349" s="673" t="s"/>
      <c r="T349" s="673" t="s"/>
      <c r="U349" s="124" t="s"/>
      <c r="V349" s="124" t="s"/>
      <c r="W349" s="124" t="s"/>
      <c r="X349" s="124" t="s"/>
      <c r="Y349" s="124" t="s"/>
      <c r="Z349" s="124" t="s"/>
      <c r="AA349" s="124" t="s"/>
      <c r="AB349" s="124" t="s"/>
      <c r="AC349" s="124" t="s"/>
      <c r="AD349" s="124" t="s"/>
      <c r="AE349" s="124" t="s"/>
      <c r="AF349" s="124" t="s"/>
      <c r="AG349" s="124" t="s"/>
      <c r="AH349" s="124" t="s"/>
    </row>
    <row r="350" spans="1:34" customHeight="false">
      <c r="A350" s="121" t="s"/>
      <c r="B350" s="166" t="s"/>
      <c r="C350" s="166" t="s"/>
      <c r="D350" s="166" t="s"/>
      <c r="E350" s="123" t="s"/>
      <c r="F350" s="123" t="s"/>
      <c r="G350" s="123" t="s"/>
      <c r="H350" s="123" t="s"/>
      <c r="I350" s="124" t="s"/>
      <c r="J350" s="125" t="s"/>
      <c r="K350" s="125" t="s"/>
      <c r="L350" s="125" t="s"/>
      <c r="M350" s="672" t="s"/>
      <c r="N350" s="672" t="s"/>
      <c r="O350" s="672" t="s"/>
      <c r="P350" s="672" t="s"/>
      <c r="Q350" s="672" t="s"/>
      <c r="R350" s="672" t="s"/>
      <c r="S350" s="673" t="s"/>
      <c r="T350" s="673" t="s"/>
      <c r="U350" s="124" t="s"/>
      <c r="V350" s="124" t="s"/>
      <c r="W350" s="124" t="s"/>
      <c r="X350" s="124" t="s"/>
      <c r="Y350" s="124" t="s"/>
      <c r="Z350" s="124" t="s"/>
      <c r="AA350" s="124" t="s"/>
      <c r="AB350" s="124" t="s"/>
      <c r="AC350" s="124" t="s"/>
      <c r="AD350" s="124" t="s"/>
      <c r="AE350" s="124" t="s"/>
      <c r="AF350" s="124" t="s"/>
      <c r="AG350" s="124" t="s"/>
      <c r="AH350" s="124" t="s"/>
    </row>
    <row r="351" spans="1:34" customHeight="false">
      <c r="A351" s="121" t="s"/>
      <c r="B351" s="166" t="s"/>
      <c r="C351" s="166" t="s"/>
      <c r="D351" s="166" t="s"/>
      <c r="E351" s="123" t="s"/>
      <c r="F351" s="123" t="s"/>
      <c r="G351" s="123" t="s"/>
      <c r="H351" s="123" t="s"/>
      <c r="I351" s="124" t="s"/>
      <c r="J351" s="125" t="s"/>
      <c r="K351" s="125" t="s"/>
      <c r="L351" s="125" t="s"/>
      <c r="M351" s="672" t="s"/>
      <c r="N351" s="672" t="s"/>
      <c r="O351" s="672" t="s"/>
      <c r="P351" s="672" t="s"/>
      <c r="Q351" s="672" t="s"/>
      <c r="R351" s="672" t="s"/>
      <c r="S351" s="673" t="s"/>
      <c r="T351" s="673" t="s"/>
      <c r="U351" s="124" t="s"/>
      <c r="V351" s="124" t="s"/>
      <c r="W351" s="124" t="s"/>
      <c r="X351" s="124" t="s"/>
      <c r="Y351" s="124" t="s"/>
      <c r="Z351" s="124" t="s"/>
      <c r="AA351" s="124" t="s"/>
      <c r="AB351" s="124" t="s"/>
      <c r="AC351" s="124" t="s"/>
      <c r="AD351" s="124" t="s"/>
      <c r="AE351" s="124" t="s"/>
      <c r="AF351" s="124" t="s"/>
      <c r="AG351" s="124" t="s"/>
      <c r="AH351" s="124" t="s"/>
    </row>
    <row r="352" spans="1:34" customHeight="false">
      <c r="A352" s="121" t="s"/>
      <c r="B352" s="166" t="s"/>
      <c r="C352" s="166" t="s"/>
      <c r="D352" s="166" t="s"/>
      <c r="E352" s="123" t="s"/>
      <c r="F352" s="123" t="s"/>
      <c r="G352" s="123" t="s"/>
      <c r="H352" s="123" t="s"/>
      <c r="I352" s="124" t="s"/>
      <c r="J352" s="125" t="s"/>
      <c r="K352" s="125" t="s"/>
      <c r="L352" s="125" t="s"/>
      <c r="M352" s="672" t="s"/>
      <c r="N352" s="672" t="s"/>
      <c r="O352" s="672" t="s"/>
      <c r="P352" s="672" t="s"/>
      <c r="Q352" s="672" t="s"/>
      <c r="R352" s="672" t="s"/>
      <c r="S352" s="673" t="s"/>
      <c r="T352" s="673" t="s"/>
      <c r="U352" s="124" t="s"/>
      <c r="V352" s="124" t="s"/>
      <c r="W352" s="124" t="s"/>
      <c r="X352" s="124" t="s"/>
      <c r="Y352" s="124" t="s"/>
      <c r="Z352" s="124" t="s"/>
      <c r="AA352" s="124" t="s"/>
      <c r="AB352" s="124" t="s"/>
      <c r="AC352" s="124" t="s"/>
      <c r="AD352" s="124" t="s"/>
      <c r="AE352" s="124" t="s"/>
      <c r="AF352" s="124" t="s"/>
      <c r="AG352" s="124" t="s"/>
      <c r="AH352" s="124" t="s"/>
    </row>
    <row r="353" spans="1:34" customHeight="false">
      <c r="A353" s="121" t="s"/>
      <c r="B353" s="166" t="s"/>
      <c r="C353" s="166" t="s"/>
      <c r="D353" s="166" t="s"/>
      <c r="E353" s="123" t="s"/>
      <c r="F353" s="123" t="s"/>
      <c r="G353" s="123" t="s"/>
      <c r="H353" s="123" t="s"/>
      <c r="I353" s="124" t="s"/>
      <c r="J353" s="125" t="s"/>
      <c r="K353" s="125" t="s"/>
      <c r="L353" s="125" t="s"/>
      <c r="M353" s="672" t="s"/>
      <c r="N353" s="672" t="s"/>
      <c r="O353" s="672" t="s"/>
      <c r="P353" s="672" t="s"/>
      <c r="Q353" s="672" t="s"/>
      <c r="R353" s="672" t="s"/>
      <c r="S353" s="673" t="s"/>
      <c r="T353" s="673" t="s"/>
      <c r="U353" s="124" t="s"/>
      <c r="V353" s="124" t="s"/>
      <c r="W353" s="124" t="s"/>
      <c r="X353" s="124" t="s"/>
      <c r="Y353" s="124" t="s"/>
      <c r="Z353" s="124" t="s"/>
      <c r="AA353" s="124" t="s"/>
      <c r="AB353" s="124" t="s"/>
      <c r="AC353" s="124" t="s"/>
      <c r="AD353" s="124" t="s"/>
      <c r="AE353" s="124" t="s"/>
      <c r="AF353" s="124" t="s"/>
      <c r="AG353" s="124" t="s"/>
      <c r="AH353" s="124" t="s"/>
    </row>
    <row r="354" spans="1:34" customHeight="false">
      <c r="A354" s="121" t="s"/>
      <c r="B354" s="166" t="s"/>
      <c r="C354" s="166" t="s"/>
      <c r="D354" s="166" t="s"/>
      <c r="E354" s="123" t="s"/>
      <c r="F354" s="123" t="s"/>
      <c r="G354" s="123" t="s"/>
      <c r="H354" s="123" t="s"/>
      <c r="I354" s="124" t="s"/>
      <c r="J354" s="125" t="s"/>
      <c r="K354" s="125" t="s"/>
      <c r="L354" s="125" t="s"/>
      <c r="M354" s="672" t="s"/>
      <c r="N354" s="672" t="s"/>
      <c r="O354" s="672" t="s"/>
      <c r="P354" s="672" t="s"/>
      <c r="Q354" s="672" t="s"/>
      <c r="R354" s="672" t="s"/>
      <c r="S354" s="673" t="s"/>
      <c r="T354" s="673" t="s"/>
      <c r="U354" s="124" t="s"/>
      <c r="V354" s="124" t="s"/>
      <c r="W354" s="124" t="s"/>
      <c r="X354" s="124" t="s"/>
      <c r="Y354" s="124" t="s"/>
      <c r="Z354" s="124" t="s"/>
      <c r="AA354" s="124" t="s"/>
      <c r="AB354" s="124" t="s"/>
      <c r="AC354" s="124" t="s"/>
      <c r="AD354" s="124" t="s"/>
      <c r="AE354" s="124" t="s"/>
      <c r="AF354" s="124" t="s"/>
      <c r="AG354" s="124" t="s"/>
      <c r="AH354" s="124" t="s"/>
    </row>
    <row r="355" spans="1:34" customHeight="false">
      <c r="A355" s="121" t="s"/>
      <c r="B355" s="166" t="s"/>
      <c r="C355" s="166" t="s"/>
      <c r="D355" s="166" t="s"/>
      <c r="E355" s="123" t="s"/>
      <c r="F355" s="123" t="s"/>
      <c r="G355" s="123" t="s"/>
      <c r="H355" s="123" t="s"/>
      <c r="I355" s="124" t="s"/>
      <c r="J355" s="125" t="s"/>
      <c r="K355" s="125" t="s"/>
      <c r="L355" s="125" t="s"/>
      <c r="M355" s="672" t="s"/>
      <c r="N355" s="672" t="s"/>
      <c r="O355" s="672" t="s"/>
      <c r="P355" s="672" t="s"/>
      <c r="Q355" s="672" t="s"/>
      <c r="R355" s="672" t="s"/>
      <c r="S355" s="673" t="s"/>
      <c r="T355" s="673" t="s"/>
      <c r="U355" s="124" t="s"/>
      <c r="V355" s="124" t="s"/>
      <c r="W355" s="124" t="s"/>
      <c r="X355" s="124" t="s"/>
      <c r="Y355" s="124" t="s"/>
      <c r="Z355" s="124" t="s"/>
      <c r="AA355" s="124" t="s"/>
      <c r="AB355" s="124" t="s"/>
      <c r="AC355" s="124" t="s"/>
      <c r="AD355" s="124" t="s"/>
      <c r="AE355" s="124" t="s"/>
      <c r="AF355" s="124" t="s"/>
      <c r="AG355" s="124" t="s"/>
      <c r="AH355" s="124" t="s"/>
    </row>
    <row r="356" spans="1:34" customHeight="false">
      <c r="A356" s="121" t="s"/>
      <c r="B356" s="166" t="s"/>
      <c r="C356" s="166" t="s"/>
      <c r="D356" s="166" t="s"/>
      <c r="E356" s="123" t="s"/>
      <c r="F356" s="123" t="s"/>
      <c r="G356" s="123" t="s"/>
      <c r="H356" s="123" t="s"/>
      <c r="I356" s="124" t="s"/>
      <c r="J356" s="125" t="s"/>
      <c r="K356" s="125" t="s"/>
      <c r="L356" s="125" t="s"/>
      <c r="M356" s="672" t="s"/>
      <c r="N356" s="672" t="s"/>
      <c r="O356" s="672" t="s"/>
      <c r="P356" s="672" t="s"/>
      <c r="Q356" s="672" t="s"/>
      <c r="R356" s="672" t="s"/>
      <c r="S356" s="673" t="s"/>
      <c r="T356" s="673" t="s"/>
      <c r="U356" s="124" t="s"/>
      <c r="V356" s="124" t="s"/>
      <c r="W356" s="124" t="s"/>
      <c r="X356" s="124" t="s"/>
      <c r="Y356" s="124" t="s"/>
      <c r="Z356" s="124" t="s"/>
      <c r="AA356" s="124" t="s"/>
      <c r="AB356" s="124" t="s"/>
      <c r="AC356" s="124" t="s"/>
      <c r="AD356" s="124" t="s"/>
      <c r="AE356" s="124" t="s"/>
      <c r="AF356" s="124" t="s"/>
      <c r="AG356" s="124" t="s"/>
      <c r="AH356" s="124" t="s"/>
    </row>
    <row r="357" spans="1:34" customHeight="false">
      <c r="A357" s="121" t="s"/>
      <c r="B357" s="166" t="s"/>
      <c r="C357" s="166" t="s"/>
      <c r="D357" s="166" t="s"/>
      <c r="E357" s="123" t="s"/>
      <c r="F357" s="123" t="s"/>
      <c r="G357" s="123" t="s"/>
      <c r="H357" s="123" t="s"/>
      <c r="I357" s="124" t="s"/>
      <c r="J357" s="125" t="s"/>
      <c r="K357" s="125" t="s"/>
      <c r="L357" s="125" t="s"/>
      <c r="M357" s="672" t="s"/>
      <c r="N357" s="672" t="s"/>
      <c r="O357" s="672" t="s"/>
      <c r="P357" s="672" t="s"/>
      <c r="Q357" s="672" t="s"/>
      <c r="R357" s="672" t="s"/>
      <c r="S357" s="673" t="s"/>
      <c r="T357" s="673" t="s"/>
      <c r="U357" s="124" t="s"/>
      <c r="V357" s="124" t="s"/>
      <c r="W357" s="124" t="s"/>
      <c r="X357" s="124" t="s"/>
      <c r="Y357" s="124" t="s"/>
      <c r="Z357" s="124" t="s"/>
      <c r="AA357" s="124" t="s"/>
      <c r="AB357" s="124" t="s"/>
      <c r="AC357" s="124" t="s"/>
      <c r="AD357" s="124" t="s"/>
      <c r="AE357" s="124" t="s"/>
      <c r="AF357" s="124" t="s"/>
      <c r="AG357" s="124" t="s"/>
      <c r="AH357" s="124" t="s"/>
    </row>
    <row r="358" spans="1:34" customHeight="false">
      <c r="A358" s="121" t="s"/>
      <c r="B358" s="166" t="s"/>
      <c r="C358" s="166" t="s"/>
      <c r="D358" s="166" t="s"/>
      <c r="E358" s="123" t="s"/>
      <c r="F358" s="123" t="s"/>
      <c r="G358" s="123" t="s"/>
      <c r="H358" s="123" t="s"/>
      <c r="I358" s="124" t="s"/>
      <c r="J358" s="125" t="s"/>
      <c r="K358" s="125" t="s"/>
      <c r="L358" s="125" t="s"/>
      <c r="M358" s="672" t="s"/>
      <c r="N358" s="672" t="s"/>
      <c r="O358" s="672" t="s"/>
      <c r="P358" s="672" t="s"/>
      <c r="Q358" s="672" t="s"/>
      <c r="R358" s="672" t="s"/>
      <c r="S358" s="673" t="s"/>
      <c r="T358" s="673" t="s"/>
      <c r="U358" s="124" t="s"/>
      <c r="V358" s="124" t="s"/>
      <c r="W358" s="124" t="s"/>
      <c r="X358" s="124" t="s"/>
      <c r="Y358" s="124" t="s"/>
      <c r="Z358" s="124" t="s"/>
      <c r="AA358" s="124" t="s"/>
      <c r="AB358" s="124" t="s"/>
      <c r="AC358" s="124" t="s"/>
      <c r="AD358" s="124" t="s"/>
      <c r="AE358" s="124" t="s"/>
      <c r="AF358" s="124" t="s"/>
      <c r="AG358" s="124" t="s"/>
      <c r="AH358" s="124" t="s"/>
    </row>
    <row r="359" spans="1:34" customHeight="false">
      <c r="A359" s="121" t="s"/>
      <c r="B359" s="166" t="s"/>
      <c r="C359" s="166" t="s"/>
      <c r="D359" s="166" t="s"/>
      <c r="E359" s="123" t="s"/>
      <c r="F359" s="123" t="s"/>
      <c r="G359" s="123" t="s"/>
      <c r="H359" s="123" t="s"/>
      <c r="I359" s="124" t="s"/>
      <c r="J359" s="125" t="s"/>
      <c r="K359" s="125" t="s"/>
      <c r="L359" s="125" t="s"/>
      <c r="M359" s="672" t="s"/>
      <c r="N359" s="672" t="s"/>
      <c r="O359" s="672" t="s"/>
      <c r="P359" s="672" t="s"/>
      <c r="Q359" s="672" t="s"/>
      <c r="R359" s="672" t="s"/>
      <c r="S359" s="673" t="s"/>
      <c r="T359" s="673" t="s"/>
      <c r="U359" s="124" t="s"/>
      <c r="V359" s="124" t="s"/>
      <c r="W359" s="124" t="s"/>
      <c r="X359" s="124" t="s"/>
      <c r="Y359" s="124" t="s"/>
      <c r="Z359" s="124" t="s"/>
      <c r="AA359" s="124" t="s"/>
      <c r="AB359" s="124" t="s"/>
      <c r="AC359" s="124" t="s"/>
      <c r="AD359" s="124" t="s"/>
      <c r="AE359" s="124" t="s"/>
      <c r="AF359" s="124" t="s"/>
      <c r="AG359" s="124" t="s"/>
      <c r="AH359" s="124" t="s"/>
    </row>
    <row r="360" spans="1:34" customHeight="false">
      <c r="A360" s="121" t="s"/>
      <c r="B360" s="166" t="s"/>
      <c r="C360" s="166" t="s"/>
      <c r="D360" s="166" t="s"/>
      <c r="E360" s="123" t="s"/>
      <c r="F360" s="123" t="s"/>
      <c r="G360" s="123" t="s"/>
      <c r="H360" s="123" t="s"/>
      <c r="I360" s="124" t="s"/>
      <c r="J360" s="125" t="s"/>
      <c r="K360" s="125" t="s"/>
      <c r="L360" s="125" t="s"/>
      <c r="M360" s="672" t="s"/>
      <c r="N360" s="672" t="s"/>
      <c r="O360" s="672" t="s"/>
      <c r="P360" s="672" t="s"/>
      <c r="Q360" s="672" t="s"/>
      <c r="R360" s="672" t="s"/>
      <c r="S360" s="673" t="s"/>
      <c r="T360" s="673" t="s"/>
      <c r="U360" s="124" t="s"/>
      <c r="V360" s="124" t="s"/>
      <c r="W360" s="124" t="s"/>
      <c r="X360" s="124" t="s"/>
      <c r="Y360" s="124" t="s"/>
      <c r="Z360" s="124" t="s"/>
      <c r="AA360" s="124" t="s"/>
      <c r="AB360" s="124" t="s"/>
      <c r="AC360" s="124" t="s"/>
      <c r="AD360" s="124" t="s"/>
      <c r="AE360" s="124" t="s"/>
      <c r="AF360" s="124" t="s"/>
      <c r="AG360" s="124" t="s"/>
      <c r="AH360" s="124" t="s"/>
    </row>
    <row r="361" spans="1:34" customHeight="false">
      <c r="A361" s="121" t="s"/>
      <c r="B361" s="166" t="s"/>
      <c r="C361" s="166" t="s"/>
      <c r="D361" s="166" t="s"/>
      <c r="E361" s="123" t="s"/>
      <c r="F361" s="123" t="s"/>
      <c r="G361" s="123" t="s"/>
      <c r="H361" s="123" t="s"/>
      <c r="I361" s="124" t="s"/>
      <c r="J361" s="125" t="s"/>
      <c r="K361" s="125" t="s"/>
      <c r="L361" s="125" t="s"/>
      <c r="M361" s="672" t="s"/>
      <c r="N361" s="672" t="s"/>
      <c r="O361" s="672" t="s"/>
      <c r="P361" s="672" t="s"/>
      <c r="Q361" s="672" t="s"/>
      <c r="R361" s="672" t="s"/>
      <c r="S361" s="673" t="s"/>
      <c r="T361" s="673" t="s"/>
      <c r="U361" s="124" t="s"/>
      <c r="V361" s="124" t="s"/>
      <c r="W361" s="124" t="s"/>
      <c r="X361" s="124" t="s"/>
      <c r="Y361" s="124" t="s"/>
      <c r="Z361" s="124" t="s"/>
      <c r="AA361" s="124" t="s"/>
      <c r="AB361" s="124" t="s"/>
      <c r="AC361" s="124" t="s"/>
      <c r="AD361" s="124" t="s"/>
      <c r="AE361" s="124" t="s"/>
      <c r="AF361" s="124" t="s"/>
      <c r="AG361" s="124" t="s"/>
      <c r="AH361" s="124" t="s"/>
    </row>
    <row r="362" spans="1:34" customHeight="false">
      <c r="A362" s="121" t="s"/>
      <c r="B362" s="166" t="s"/>
      <c r="C362" s="166" t="s"/>
      <c r="D362" s="166" t="s"/>
      <c r="E362" s="123" t="s"/>
      <c r="F362" s="123" t="s"/>
      <c r="G362" s="123" t="s"/>
      <c r="H362" s="123" t="s"/>
      <c r="I362" s="124" t="s"/>
      <c r="J362" s="125" t="s"/>
      <c r="K362" s="125" t="s"/>
      <c r="L362" s="125" t="s"/>
      <c r="M362" s="672" t="s"/>
      <c r="N362" s="672" t="s"/>
      <c r="O362" s="672" t="s"/>
      <c r="P362" s="672" t="s"/>
      <c r="Q362" s="672" t="s"/>
      <c r="R362" s="672" t="s"/>
      <c r="S362" s="673" t="s"/>
      <c r="T362" s="673" t="s"/>
      <c r="U362" s="124" t="s"/>
      <c r="V362" s="124" t="s"/>
      <c r="W362" s="124" t="s"/>
      <c r="X362" s="124" t="s"/>
      <c r="Y362" s="124" t="s"/>
      <c r="Z362" s="124" t="s"/>
      <c r="AA362" s="124" t="s"/>
      <c r="AB362" s="124" t="s"/>
      <c r="AC362" s="124" t="s"/>
      <c r="AD362" s="124" t="s"/>
      <c r="AE362" s="124" t="s"/>
      <c r="AF362" s="124" t="s"/>
      <c r="AG362" s="124" t="s"/>
      <c r="AH362" s="124" t="s"/>
    </row>
    <row r="363" spans="1:34" customHeight="false">
      <c r="A363" s="121" t="s"/>
      <c r="B363" s="166" t="s"/>
      <c r="C363" s="166" t="s"/>
      <c r="D363" s="166" t="s"/>
      <c r="E363" s="123" t="s"/>
      <c r="F363" s="123" t="s"/>
      <c r="G363" s="123" t="s"/>
      <c r="H363" s="123" t="s"/>
      <c r="I363" s="124" t="s"/>
      <c r="J363" s="125" t="s"/>
      <c r="K363" s="125" t="s"/>
      <c r="L363" s="125" t="s"/>
      <c r="M363" s="672" t="s"/>
      <c r="N363" s="672" t="s"/>
      <c r="O363" s="672" t="s"/>
      <c r="P363" s="672" t="s"/>
      <c r="Q363" s="672" t="s"/>
      <c r="R363" s="672" t="s"/>
      <c r="S363" s="673" t="s"/>
      <c r="T363" s="673" t="s"/>
      <c r="U363" s="124" t="s"/>
      <c r="V363" s="124" t="s"/>
      <c r="W363" s="124" t="s"/>
      <c r="X363" s="124" t="s"/>
      <c r="Y363" s="124" t="s"/>
      <c r="Z363" s="124" t="s"/>
      <c r="AA363" s="124" t="s"/>
      <c r="AB363" s="124" t="s"/>
      <c r="AC363" s="124" t="s"/>
      <c r="AD363" s="124" t="s"/>
      <c r="AE363" s="124" t="s"/>
      <c r="AF363" s="124" t="s"/>
      <c r="AG363" s="124" t="s"/>
      <c r="AH363" s="124" t="s"/>
    </row>
    <row r="364" spans="1:34" customHeight="false">
      <c r="A364" s="121" t="s"/>
      <c r="B364" s="166" t="s"/>
      <c r="C364" s="166" t="s"/>
      <c r="D364" s="166" t="s"/>
      <c r="E364" s="123" t="s"/>
      <c r="F364" s="123" t="s"/>
      <c r="G364" s="123" t="s"/>
      <c r="H364" s="123" t="s"/>
      <c r="I364" s="124" t="s"/>
      <c r="J364" s="125" t="s"/>
      <c r="K364" s="125" t="s"/>
      <c r="L364" s="125" t="s"/>
      <c r="M364" s="672" t="s"/>
      <c r="N364" s="672" t="s"/>
      <c r="O364" s="672" t="s"/>
      <c r="P364" s="672" t="s"/>
      <c r="Q364" s="672" t="s"/>
      <c r="R364" s="672" t="s"/>
      <c r="S364" s="673" t="s"/>
      <c r="T364" s="673" t="s"/>
      <c r="U364" s="124" t="s"/>
      <c r="V364" s="124" t="s"/>
      <c r="W364" s="124" t="s"/>
      <c r="X364" s="124" t="s"/>
      <c r="Y364" s="124" t="s"/>
      <c r="Z364" s="124" t="s"/>
      <c r="AA364" s="124" t="s"/>
      <c r="AB364" s="124" t="s"/>
      <c r="AC364" s="124" t="s"/>
      <c r="AD364" s="124" t="s"/>
      <c r="AE364" s="124" t="s"/>
      <c r="AF364" s="124" t="s"/>
      <c r="AG364" s="124" t="s"/>
      <c r="AH364" s="124" t="s"/>
    </row>
    <row r="365" spans="1:34" customHeight="false">
      <c r="A365" s="121" t="s"/>
      <c r="B365" s="166" t="s"/>
      <c r="C365" s="166" t="s"/>
      <c r="D365" s="166" t="s"/>
      <c r="E365" s="123" t="s"/>
      <c r="F365" s="123" t="s"/>
      <c r="G365" s="123" t="s"/>
      <c r="H365" s="123" t="s"/>
      <c r="I365" s="124" t="s"/>
      <c r="J365" s="125" t="s"/>
      <c r="K365" s="125" t="s"/>
      <c r="L365" s="125" t="s"/>
      <c r="M365" s="672" t="s"/>
      <c r="N365" s="672" t="s"/>
      <c r="O365" s="672" t="s"/>
      <c r="P365" s="672" t="s"/>
      <c r="Q365" s="672" t="s"/>
      <c r="R365" s="672" t="s"/>
      <c r="S365" s="673" t="s"/>
      <c r="T365" s="673" t="s"/>
      <c r="U365" s="124" t="s"/>
      <c r="V365" s="124" t="s"/>
      <c r="W365" s="124" t="s"/>
      <c r="X365" s="124" t="s"/>
      <c r="Y365" s="124" t="s"/>
      <c r="Z365" s="124" t="s"/>
      <c r="AA365" s="124" t="s"/>
      <c r="AB365" s="124" t="s"/>
      <c r="AC365" s="124" t="s"/>
      <c r="AD365" s="124" t="s"/>
      <c r="AE365" s="124" t="s"/>
      <c r="AF365" s="124" t="s"/>
      <c r="AG365" s="124" t="s"/>
      <c r="AH365" s="124" t="s"/>
    </row>
    <row r="366" spans="1:34" customHeight="false">
      <c r="A366" s="121" t="s"/>
      <c r="B366" s="166" t="s"/>
      <c r="C366" s="166" t="s"/>
      <c r="D366" s="166" t="s"/>
      <c r="E366" s="123" t="s"/>
      <c r="F366" s="123" t="s"/>
      <c r="G366" s="123" t="s"/>
      <c r="H366" s="123" t="s"/>
      <c r="I366" s="124" t="s"/>
      <c r="J366" s="125" t="s"/>
      <c r="K366" s="125" t="s"/>
      <c r="L366" s="125" t="s"/>
      <c r="M366" s="672" t="s"/>
      <c r="N366" s="672" t="s"/>
      <c r="O366" s="672" t="s"/>
      <c r="P366" s="672" t="s"/>
      <c r="Q366" s="672" t="s"/>
      <c r="R366" s="672" t="s"/>
      <c r="S366" s="673" t="s"/>
      <c r="T366" s="673" t="s"/>
      <c r="U366" s="124" t="s"/>
      <c r="V366" s="124" t="s"/>
      <c r="W366" s="124" t="s"/>
      <c r="X366" s="124" t="s"/>
      <c r="Y366" s="124" t="s"/>
      <c r="Z366" s="124" t="s"/>
      <c r="AA366" s="124" t="s"/>
      <c r="AB366" s="124" t="s"/>
      <c r="AC366" s="124" t="s"/>
      <c r="AD366" s="124" t="s"/>
      <c r="AE366" s="124" t="s"/>
      <c r="AF366" s="124" t="s"/>
      <c r="AG366" s="124" t="s"/>
      <c r="AH366" s="124" t="s"/>
    </row>
    <row r="367" spans="1:34" customHeight="false">
      <c r="A367" s="121" t="s"/>
      <c r="B367" s="166" t="s"/>
      <c r="C367" s="166" t="s"/>
      <c r="D367" s="166" t="s"/>
      <c r="E367" s="123" t="s"/>
      <c r="F367" s="123" t="s"/>
      <c r="G367" s="123" t="s"/>
      <c r="H367" s="123" t="s"/>
      <c r="I367" s="124" t="s"/>
      <c r="J367" s="125" t="s"/>
      <c r="K367" s="125" t="s"/>
      <c r="L367" s="125" t="s"/>
      <c r="M367" s="672" t="s"/>
      <c r="N367" s="672" t="s"/>
      <c r="O367" s="672" t="s"/>
      <c r="P367" s="672" t="s"/>
      <c r="Q367" s="672" t="s"/>
      <c r="R367" s="672" t="s"/>
      <c r="S367" s="673" t="s"/>
      <c r="T367" s="673" t="s"/>
      <c r="U367" s="124" t="s"/>
      <c r="V367" s="124" t="s"/>
      <c r="W367" s="124" t="s"/>
      <c r="X367" s="124" t="s"/>
      <c r="Y367" s="124" t="s"/>
      <c r="Z367" s="124" t="s"/>
      <c r="AA367" s="124" t="s"/>
      <c r="AB367" s="124" t="s"/>
      <c r="AC367" s="124" t="s"/>
      <c r="AD367" s="124" t="s"/>
      <c r="AE367" s="124" t="s"/>
      <c r="AF367" s="124" t="s"/>
      <c r="AG367" s="124" t="s"/>
      <c r="AH367" s="124" t="s"/>
    </row>
    <row r="368" spans="1:34" customHeight="false">
      <c r="A368" s="121" t="s"/>
      <c r="B368" s="166" t="s"/>
      <c r="C368" s="166" t="s"/>
      <c r="D368" s="166" t="s"/>
      <c r="E368" s="123" t="s"/>
      <c r="F368" s="123" t="s"/>
      <c r="G368" s="123" t="s"/>
      <c r="H368" s="123" t="s"/>
      <c r="I368" s="124" t="s"/>
      <c r="J368" s="125" t="s"/>
      <c r="K368" s="125" t="s"/>
      <c r="L368" s="125" t="s"/>
      <c r="M368" s="672" t="s"/>
      <c r="N368" s="672" t="s"/>
      <c r="O368" s="672" t="s"/>
      <c r="P368" s="672" t="s"/>
      <c r="Q368" s="672" t="s"/>
      <c r="R368" s="672" t="s"/>
      <c r="S368" s="673" t="s"/>
      <c r="T368" s="673" t="s"/>
      <c r="U368" s="124" t="s"/>
      <c r="V368" s="124" t="s"/>
      <c r="W368" s="124" t="s"/>
      <c r="X368" s="124" t="s"/>
      <c r="Y368" s="124" t="s"/>
      <c r="Z368" s="124" t="s"/>
      <c r="AA368" s="124" t="s"/>
      <c r="AB368" s="124" t="s"/>
      <c r="AC368" s="124" t="s"/>
      <c r="AD368" s="124" t="s"/>
      <c r="AE368" s="124" t="s"/>
      <c r="AF368" s="124" t="s"/>
      <c r="AG368" s="124" t="s"/>
      <c r="AH368" s="124" t="s"/>
    </row>
    <row r="369" spans="1:34" customHeight="false">
      <c r="A369" s="121" t="s"/>
      <c r="B369" s="166" t="s"/>
      <c r="C369" s="166" t="s"/>
      <c r="D369" s="166" t="s"/>
      <c r="E369" s="123" t="s"/>
      <c r="F369" s="123" t="s"/>
      <c r="G369" s="123" t="s"/>
      <c r="H369" s="123" t="s"/>
      <c r="I369" s="124" t="s"/>
      <c r="J369" s="125" t="s"/>
      <c r="K369" s="125" t="s"/>
      <c r="L369" s="125" t="s"/>
      <c r="M369" s="672" t="s"/>
      <c r="N369" s="672" t="s"/>
      <c r="O369" s="672" t="s"/>
      <c r="P369" s="672" t="s"/>
      <c r="Q369" s="672" t="s"/>
      <c r="R369" s="672" t="s"/>
      <c r="S369" s="673" t="s"/>
      <c r="T369" s="673" t="s"/>
      <c r="U369" s="124" t="s"/>
      <c r="V369" s="124" t="s"/>
      <c r="W369" s="124" t="s"/>
      <c r="X369" s="124" t="s"/>
      <c r="Y369" s="124" t="s"/>
      <c r="Z369" s="124" t="s"/>
      <c r="AA369" s="124" t="s"/>
      <c r="AB369" s="124" t="s"/>
      <c r="AC369" s="124" t="s"/>
      <c r="AD369" s="124" t="s"/>
      <c r="AE369" s="124" t="s"/>
      <c r="AF369" s="124" t="s"/>
      <c r="AG369" s="124" t="s"/>
      <c r="AH369" s="124" t="s"/>
    </row>
    <row r="370" spans="1:34" customHeight="false">
      <c r="A370" s="121" t="s"/>
      <c r="B370" s="166" t="s"/>
      <c r="C370" s="166" t="s"/>
      <c r="D370" s="166" t="s"/>
      <c r="E370" s="123" t="s"/>
      <c r="F370" s="123" t="s"/>
      <c r="G370" s="123" t="s"/>
      <c r="H370" s="123" t="s"/>
      <c r="I370" s="124" t="s"/>
      <c r="J370" s="125" t="s"/>
      <c r="K370" s="125" t="s"/>
      <c r="L370" s="125" t="s"/>
      <c r="M370" s="672" t="s"/>
      <c r="N370" s="672" t="s"/>
      <c r="O370" s="672" t="s"/>
      <c r="P370" s="672" t="s"/>
      <c r="Q370" s="672" t="s"/>
      <c r="R370" s="672" t="s"/>
      <c r="S370" s="673" t="s"/>
      <c r="T370" s="673" t="s"/>
      <c r="U370" s="124" t="s"/>
      <c r="V370" s="124" t="s"/>
      <c r="W370" s="124" t="s"/>
      <c r="X370" s="124" t="s"/>
      <c r="Y370" s="124" t="s"/>
      <c r="Z370" s="124" t="s"/>
      <c r="AA370" s="124" t="s"/>
      <c r="AB370" s="124" t="s"/>
      <c r="AC370" s="124" t="s"/>
      <c r="AD370" s="124" t="s"/>
      <c r="AE370" s="124" t="s"/>
      <c r="AF370" s="124" t="s"/>
      <c r="AG370" s="124" t="s"/>
      <c r="AH370" s="124" t="s"/>
    </row>
    <row r="371" spans="1:34" customHeight="false">
      <c r="A371" s="121" t="s"/>
      <c r="B371" s="166" t="s"/>
      <c r="C371" s="166" t="s"/>
      <c r="D371" s="166" t="s"/>
      <c r="E371" s="123" t="s"/>
      <c r="F371" s="123" t="s"/>
      <c r="G371" s="123" t="s"/>
      <c r="H371" s="123" t="s"/>
      <c r="I371" s="124" t="s"/>
      <c r="J371" s="125" t="s"/>
      <c r="K371" s="125" t="s"/>
      <c r="L371" s="125" t="s"/>
      <c r="M371" s="672" t="s"/>
      <c r="N371" s="672" t="s"/>
      <c r="O371" s="672" t="s"/>
      <c r="P371" s="672" t="s"/>
      <c r="Q371" s="672" t="s"/>
      <c r="R371" s="672" t="s"/>
      <c r="S371" s="673" t="s"/>
      <c r="T371" s="673" t="s"/>
      <c r="U371" s="124" t="s"/>
      <c r="V371" s="124" t="s"/>
      <c r="W371" s="124" t="s"/>
      <c r="X371" s="124" t="s"/>
      <c r="Y371" s="124" t="s"/>
      <c r="Z371" s="124" t="s"/>
      <c r="AA371" s="124" t="s"/>
      <c r="AB371" s="124" t="s"/>
      <c r="AC371" s="124" t="s"/>
      <c r="AD371" s="124" t="s"/>
      <c r="AE371" s="124" t="s"/>
      <c r="AF371" s="124" t="s"/>
      <c r="AG371" s="124" t="s"/>
      <c r="AH371" s="124" t="s"/>
    </row>
    <row r="372" spans="1:34" customHeight="false">
      <c r="A372" s="121" t="s"/>
      <c r="B372" s="166" t="s"/>
      <c r="C372" s="166" t="s"/>
      <c r="D372" s="166" t="s"/>
      <c r="E372" s="123" t="s"/>
      <c r="F372" s="123" t="s"/>
      <c r="G372" s="123" t="s"/>
      <c r="H372" s="123" t="s"/>
      <c r="I372" s="124" t="s"/>
      <c r="J372" s="125" t="s"/>
      <c r="K372" s="125" t="s"/>
      <c r="L372" s="125" t="s"/>
      <c r="M372" s="672" t="s"/>
      <c r="N372" s="672" t="s"/>
      <c r="O372" s="672" t="s"/>
      <c r="P372" s="672" t="s"/>
      <c r="Q372" s="672" t="s"/>
      <c r="R372" s="672" t="s"/>
      <c r="S372" s="673" t="s"/>
      <c r="T372" s="673" t="s"/>
      <c r="U372" s="124" t="s"/>
      <c r="V372" s="124" t="s"/>
      <c r="W372" s="124" t="s"/>
      <c r="X372" s="124" t="s"/>
      <c r="Y372" s="124" t="s"/>
      <c r="Z372" s="124" t="s"/>
      <c r="AA372" s="124" t="s"/>
      <c r="AB372" s="124" t="s"/>
      <c r="AC372" s="124" t="s"/>
      <c r="AD372" s="124" t="s"/>
      <c r="AE372" s="124" t="s"/>
      <c r="AF372" s="124" t="s"/>
      <c r="AG372" s="124" t="s"/>
      <c r="AH372" s="124" t="s"/>
    </row>
    <row r="373" spans="1:34" customHeight="false">
      <c r="A373" s="121" t="s"/>
      <c r="B373" s="166" t="s"/>
      <c r="C373" s="166" t="s"/>
      <c r="D373" s="166" t="s"/>
      <c r="E373" s="123" t="s"/>
      <c r="F373" s="123" t="s"/>
      <c r="G373" s="123" t="s"/>
      <c r="H373" s="123" t="s"/>
      <c r="I373" s="124" t="s"/>
      <c r="J373" s="125" t="s"/>
      <c r="K373" s="125" t="s"/>
      <c r="L373" s="125" t="s"/>
      <c r="M373" s="672" t="s"/>
      <c r="N373" s="672" t="s"/>
      <c r="O373" s="672" t="s"/>
      <c r="P373" s="672" t="s"/>
      <c r="Q373" s="672" t="s"/>
      <c r="R373" s="672" t="s"/>
      <c r="S373" s="673" t="s"/>
      <c r="T373" s="673" t="s"/>
      <c r="U373" s="124" t="s"/>
      <c r="V373" s="124" t="s"/>
      <c r="W373" s="124" t="s"/>
      <c r="X373" s="124" t="s"/>
      <c r="Y373" s="124" t="s"/>
      <c r="Z373" s="124" t="s"/>
      <c r="AA373" s="124" t="s"/>
      <c r="AB373" s="124" t="s"/>
      <c r="AC373" s="124" t="s"/>
      <c r="AD373" s="124" t="s"/>
      <c r="AE373" s="124" t="s"/>
      <c r="AF373" s="124" t="s"/>
      <c r="AG373" s="124" t="s"/>
      <c r="AH373" s="124" t="s"/>
    </row>
    <row r="374" spans="1:34" customHeight="false">
      <c r="A374" s="121" t="s"/>
      <c r="B374" s="166" t="s"/>
      <c r="C374" s="166" t="s"/>
      <c r="D374" s="166" t="s"/>
      <c r="E374" s="123" t="s"/>
      <c r="F374" s="123" t="s"/>
      <c r="G374" s="123" t="s"/>
      <c r="H374" s="123" t="s"/>
      <c r="I374" s="124" t="s"/>
      <c r="J374" s="125" t="s"/>
      <c r="K374" s="125" t="s"/>
      <c r="L374" s="125" t="s"/>
      <c r="M374" s="672" t="s"/>
      <c r="N374" s="672" t="s"/>
      <c r="O374" s="672" t="s"/>
      <c r="P374" s="672" t="s"/>
      <c r="Q374" s="672" t="s"/>
      <c r="R374" s="672" t="s"/>
      <c r="S374" s="673" t="s"/>
      <c r="T374" s="673" t="s"/>
      <c r="U374" s="124" t="s"/>
      <c r="V374" s="124" t="s"/>
      <c r="W374" s="124" t="s"/>
      <c r="X374" s="124" t="s"/>
      <c r="Y374" s="124" t="s"/>
      <c r="Z374" s="124" t="s"/>
      <c r="AA374" s="124" t="s"/>
      <c r="AB374" s="124" t="s"/>
      <c r="AC374" s="124" t="s"/>
      <c r="AD374" s="124" t="s"/>
      <c r="AE374" s="124" t="s"/>
      <c r="AF374" s="124" t="s"/>
      <c r="AG374" s="124" t="s"/>
      <c r="AH374" s="124" t="s"/>
    </row>
    <row r="375" spans="1:34" customHeight="false">
      <c r="A375" s="121" t="s"/>
      <c r="B375" s="166" t="s"/>
      <c r="C375" s="166" t="s"/>
      <c r="D375" s="166" t="s"/>
      <c r="E375" s="123" t="s"/>
      <c r="F375" s="123" t="s"/>
      <c r="G375" s="123" t="s"/>
      <c r="H375" s="123" t="s"/>
      <c r="I375" s="124" t="s"/>
      <c r="J375" s="125" t="s"/>
      <c r="K375" s="125" t="s"/>
      <c r="L375" s="125" t="s"/>
      <c r="M375" s="672" t="s"/>
      <c r="N375" s="672" t="s"/>
      <c r="O375" s="672" t="s"/>
      <c r="P375" s="672" t="s"/>
      <c r="Q375" s="672" t="s"/>
      <c r="R375" s="672" t="s"/>
      <c r="S375" s="673" t="s"/>
      <c r="T375" s="673" t="s"/>
      <c r="U375" s="124" t="s"/>
      <c r="V375" s="124" t="s"/>
      <c r="W375" s="124" t="s"/>
      <c r="X375" s="124" t="s"/>
      <c r="Y375" s="124" t="s"/>
      <c r="Z375" s="124" t="s"/>
      <c r="AA375" s="124" t="s"/>
      <c r="AB375" s="124" t="s"/>
      <c r="AC375" s="124" t="s"/>
      <c r="AD375" s="124" t="s"/>
      <c r="AE375" s="124" t="s"/>
      <c r="AF375" s="124" t="s"/>
      <c r="AG375" s="124" t="s"/>
      <c r="AH375" s="124" t="s"/>
    </row>
    <row r="376" spans="1:34" customHeight="false">
      <c r="A376" s="121" t="s"/>
      <c r="B376" s="166" t="s"/>
      <c r="C376" s="166" t="s"/>
      <c r="D376" s="166" t="s"/>
      <c r="E376" s="123" t="s"/>
      <c r="F376" s="123" t="s"/>
      <c r="G376" s="123" t="s"/>
      <c r="H376" s="123" t="s"/>
      <c r="I376" s="124" t="s"/>
      <c r="J376" s="125" t="s"/>
      <c r="K376" s="125" t="s"/>
      <c r="L376" s="125" t="s"/>
      <c r="M376" s="672" t="s"/>
      <c r="N376" s="672" t="s"/>
      <c r="O376" s="672" t="s"/>
      <c r="P376" s="672" t="s"/>
      <c r="Q376" s="672" t="s"/>
      <c r="R376" s="672" t="s"/>
      <c r="S376" s="673" t="s"/>
      <c r="T376" s="673" t="s"/>
      <c r="U376" s="124" t="s"/>
      <c r="V376" s="124" t="s"/>
      <c r="W376" s="124" t="s"/>
      <c r="X376" s="124" t="s"/>
      <c r="Y376" s="124" t="s"/>
      <c r="Z376" s="124" t="s"/>
      <c r="AA376" s="124" t="s"/>
      <c r="AB376" s="124" t="s"/>
      <c r="AC376" s="124" t="s"/>
      <c r="AD376" s="124" t="s"/>
      <c r="AE376" s="124" t="s"/>
      <c r="AF376" s="124" t="s"/>
      <c r="AG376" s="124" t="s"/>
      <c r="AH376" s="124" t="s"/>
    </row>
    <row r="377" spans="1:34" customHeight="false">
      <c r="A377" s="121" t="s"/>
      <c r="B377" s="166" t="s"/>
      <c r="C377" s="166" t="s"/>
      <c r="D377" s="166" t="s"/>
      <c r="E377" s="123" t="s"/>
      <c r="F377" s="123" t="s"/>
      <c r="G377" s="123" t="s"/>
      <c r="H377" s="123" t="s"/>
      <c r="I377" s="124" t="s"/>
      <c r="J377" s="125" t="s"/>
      <c r="K377" s="125" t="s"/>
      <c r="L377" s="125" t="s"/>
      <c r="M377" s="672" t="s"/>
      <c r="N377" s="672" t="s"/>
      <c r="O377" s="672" t="s"/>
      <c r="P377" s="672" t="s"/>
      <c r="Q377" s="672" t="s"/>
      <c r="R377" s="672" t="s"/>
      <c r="S377" s="673" t="s"/>
      <c r="T377" s="673" t="s"/>
      <c r="U377" s="124" t="s"/>
      <c r="V377" s="124" t="s"/>
      <c r="W377" s="124" t="s"/>
      <c r="X377" s="124" t="s"/>
      <c r="Y377" s="124" t="s"/>
      <c r="Z377" s="124" t="s"/>
      <c r="AA377" s="124" t="s"/>
      <c r="AB377" s="124" t="s"/>
      <c r="AC377" s="124" t="s"/>
      <c r="AD377" s="124" t="s"/>
      <c r="AE377" s="124" t="s"/>
      <c r="AF377" s="124" t="s"/>
      <c r="AG377" s="124" t="s"/>
      <c r="AH377" s="124" t="s"/>
    </row>
    <row r="378" spans="1:34" customHeight="false">
      <c r="A378" s="121" t="s"/>
      <c r="B378" s="166" t="s"/>
      <c r="C378" s="166" t="s"/>
      <c r="D378" s="166" t="s"/>
      <c r="E378" s="123" t="s"/>
      <c r="F378" s="123" t="s"/>
      <c r="G378" s="123" t="s"/>
      <c r="H378" s="123" t="s"/>
      <c r="I378" s="124" t="s"/>
      <c r="J378" s="125" t="s"/>
      <c r="K378" s="125" t="s"/>
      <c r="L378" s="125" t="s"/>
      <c r="M378" s="672" t="s"/>
      <c r="N378" s="672" t="s"/>
      <c r="O378" s="672" t="s"/>
      <c r="P378" s="672" t="s"/>
      <c r="Q378" s="672" t="s"/>
      <c r="R378" s="672" t="s"/>
      <c r="S378" s="673" t="s"/>
      <c r="T378" s="673" t="s"/>
      <c r="U378" s="124" t="s"/>
      <c r="V378" s="124" t="s"/>
      <c r="W378" s="124" t="s"/>
      <c r="X378" s="124" t="s"/>
      <c r="Y378" s="124" t="s"/>
      <c r="Z378" s="124" t="s"/>
      <c r="AA378" s="124" t="s"/>
      <c r="AB378" s="124" t="s"/>
      <c r="AC378" s="124" t="s"/>
      <c r="AD378" s="124" t="s"/>
      <c r="AE378" s="124" t="s"/>
      <c r="AF378" s="124" t="s"/>
      <c r="AG378" s="124" t="s"/>
      <c r="AH378" s="124" t="s"/>
    </row>
    <row r="379" spans="1:34" customHeight="false">
      <c r="A379" s="121" t="s"/>
      <c r="B379" s="166" t="s"/>
      <c r="C379" s="166" t="s"/>
      <c r="D379" s="166" t="s"/>
      <c r="E379" s="123" t="s"/>
      <c r="F379" s="123" t="s"/>
      <c r="G379" s="123" t="s"/>
      <c r="H379" s="123" t="s"/>
      <c r="I379" s="124" t="s"/>
      <c r="J379" s="125" t="s"/>
      <c r="K379" s="125" t="s"/>
      <c r="L379" s="125" t="s"/>
      <c r="M379" s="672" t="s"/>
      <c r="N379" s="672" t="s"/>
      <c r="O379" s="672" t="s"/>
      <c r="P379" s="672" t="s"/>
      <c r="Q379" s="672" t="s"/>
      <c r="R379" s="672" t="s"/>
      <c r="S379" s="673" t="s"/>
      <c r="T379" s="673" t="s"/>
      <c r="U379" s="124" t="s"/>
      <c r="V379" s="124" t="s"/>
      <c r="W379" s="124" t="s"/>
      <c r="X379" s="124" t="s"/>
      <c r="Y379" s="124" t="s"/>
      <c r="Z379" s="124" t="s"/>
      <c r="AA379" s="124" t="s"/>
      <c r="AB379" s="124" t="s"/>
      <c r="AC379" s="124" t="s"/>
      <c r="AD379" s="124" t="s"/>
      <c r="AE379" s="124" t="s"/>
      <c r="AF379" s="124" t="s"/>
      <c r="AG379" s="124" t="s"/>
      <c r="AH379" s="124" t="s"/>
    </row>
    <row r="380" spans="1:34" customHeight="false">
      <c r="A380" s="121" t="s"/>
      <c r="B380" s="166" t="s"/>
      <c r="C380" s="166" t="s"/>
      <c r="D380" s="166" t="s"/>
      <c r="E380" s="123" t="s"/>
      <c r="F380" s="123" t="s"/>
      <c r="G380" s="123" t="s"/>
      <c r="H380" s="123" t="s"/>
      <c r="I380" s="124" t="s"/>
      <c r="J380" s="125" t="s"/>
      <c r="K380" s="125" t="s"/>
      <c r="L380" s="125" t="s"/>
      <c r="M380" s="672" t="s"/>
      <c r="N380" s="672" t="s"/>
      <c r="O380" s="672" t="s"/>
      <c r="P380" s="672" t="s"/>
      <c r="Q380" s="672" t="s"/>
      <c r="R380" s="672" t="s"/>
      <c r="S380" s="673" t="s"/>
      <c r="T380" s="673" t="s"/>
      <c r="U380" s="124" t="s"/>
      <c r="V380" s="124" t="s"/>
      <c r="W380" s="124" t="s"/>
      <c r="X380" s="124" t="s"/>
      <c r="Y380" s="124" t="s"/>
      <c r="Z380" s="124" t="s"/>
      <c r="AA380" s="124" t="s"/>
      <c r="AB380" s="124" t="s"/>
      <c r="AC380" s="124" t="s"/>
      <c r="AD380" s="124" t="s"/>
      <c r="AE380" s="124" t="s"/>
      <c r="AF380" s="124" t="s"/>
      <c r="AG380" s="124" t="s"/>
      <c r="AH380" s="124" t="s"/>
    </row>
    <row r="381" spans="1:34" customHeight="false">
      <c r="A381" s="121" t="s"/>
      <c r="B381" s="166" t="s"/>
      <c r="C381" s="166" t="s"/>
      <c r="D381" s="166" t="s"/>
      <c r="E381" s="123" t="s"/>
      <c r="F381" s="123" t="s"/>
      <c r="G381" s="123" t="s"/>
      <c r="H381" s="123" t="s"/>
      <c r="I381" s="124" t="s"/>
      <c r="J381" s="125" t="s"/>
      <c r="K381" s="125" t="s"/>
      <c r="L381" s="125" t="s"/>
      <c r="M381" s="672" t="s"/>
      <c r="N381" s="672" t="s"/>
      <c r="O381" s="672" t="s"/>
      <c r="P381" s="672" t="s"/>
      <c r="Q381" s="672" t="s"/>
      <c r="R381" s="672" t="s"/>
      <c r="S381" s="673" t="s"/>
      <c r="T381" s="673" t="s"/>
      <c r="U381" s="124" t="s"/>
      <c r="V381" s="124" t="s"/>
      <c r="W381" s="124" t="s"/>
      <c r="X381" s="124" t="s"/>
      <c r="Y381" s="124" t="s"/>
      <c r="Z381" s="124" t="s"/>
      <c r="AA381" s="124" t="s"/>
      <c r="AB381" s="124" t="s"/>
      <c r="AC381" s="124" t="s"/>
      <c r="AD381" s="124" t="s"/>
      <c r="AE381" s="124" t="s"/>
      <c r="AF381" s="124" t="s"/>
      <c r="AG381" s="124" t="s"/>
      <c r="AH381" s="124" t="s"/>
    </row>
    <row r="382" spans="1:34" customHeight="false">
      <c r="A382" s="121" t="s"/>
      <c r="B382" s="166" t="s"/>
      <c r="C382" s="166" t="s"/>
      <c r="D382" s="166" t="s"/>
      <c r="E382" s="123" t="s"/>
      <c r="F382" s="123" t="s"/>
      <c r="G382" s="123" t="s"/>
      <c r="H382" s="123" t="s"/>
      <c r="I382" s="124" t="s"/>
      <c r="J382" s="125" t="s"/>
      <c r="K382" s="125" t="s"/>
      <c r="L382" s="125" t="s"/>
      <c r="M382" s="672" t="s"/>
      <c r="N382" s="672" t="s"/>
      <c r="O382" s="672" t="s"/>
      <c r="P382" s="672" t="s"/>
      <c r="Q382" s="672" t="s"/>
      <c r="R382" s="672" t="s"/>
      <c r="S382" s="673" t="s"/>
      <c r="T382" s="673" t="s"/>
      <c r="U382" s="124" t="s"/>
      <c r="V382" s="124" t="s"/>
      <c r="W382" s="124" t="s"/>
      <c r="X382" s="124" t="s"/>
      <c r="Y382" s="124" t="s"/>
      <c r="Z382" s="124" t="s"/>
      <c r="AA382" s="124" t="s"/>
      <c r="AB382" s="124" t="s"/>
      <c r="AC382" s="124" t="s"/>
      <c r="AD382" s="124" t="s"/>
      <c r="AE382" s="124" t="s"/>
      <c r="AF382" s="124" t="s"/>
      <c r="AG382" s="124" t="s"/>
      <c r="AH382" s="124" t="s"/>
    </row>
    <row r="383" spans="1:34" customHeight="false">
      <c r="A383" s="121" t="s"/>
      <c r="B383" s="166" t="s"/>
      <c r="C383" s="166" t="s"/>
      <c r="D383" s="166" t="s"/>
      <c r="E383" s="123" t="s"/>
      <c r="F383" s="123" t="s"/>
      <c r="G383" s="123" t="s"/>
      <c r="H383" s="123" t="s"/>
      <c r="I383" s="124" t="s"/>
      <c r="J383" s="125" t="s"/>
      <c r="K383" s="125" t="s"/>
      <c r="L383" s="125" t="s"/>
      <c r="M383" s="672" t="s"/>
      <c r="N383" s="672" t="s"/>
      <c r="O383" s="672" t="s"/>
      <c r="P383" s="672" t="s"/>
      <c r="Q383" s="672" t="s"/>
      <c r="R383" s="672" t="s"/>
      <c r="S383" s="673" t="s"/>
      <c r="T383" s="673" t="s"/>
      <c r="U383" s="124" t="s"/>
      <c r="V383" s="124" t="s"/>
      <c r="W383" s="124" t="s"/>
      <c r="X383" s="124" t="s"/>
      <c r="Y383" s="124" t="s"/>
      <c r="Z383" s="124" t="s"/>
      <c r="AA383" s="124" t="s"/>
      <c r="AB383" s="124" t="s"/>
      <c r="AC383" s="124" t="s"/>
      <c r="AD383" s="124" t="s"/>
      <c r="AE383" s="124" t="s"/>
      <c r="AF383" s="124" t="s"/>
      <c r="AG383" s="124" t="s"/>
      <c r="AH383" s="124" t="s"/>
    </row>
    <row r="384" spans="1:34" customHeight="false">
      <c r="A384" s="121" t="s"/>
      <c r="B384" s="166" t="s"/>
      <c r="C384" s="166" t="s"/>
      <c r="D384" s="166" t="s"/>
      <c r="E384" s="123" t="s"/>
      <c r="F384" s="123" t="s"/>
      <c r="G384" s="123" t="s"/>
      <c r="H384" s="123" t="s"/>
      <c r="I384" s="124" t="s"/>
      <c r="J384" s="125" t="s"/>
      <c r="K384" s="125" t="s"/>
      <c r="L384" s="125" t="s"/>
      <c r="M384" s="672" t="s"/>
      <c r="N384" s="672" t="s"/>
      <c r="O384" s="672" t="s"/>
      <c r="P384" s="672" t="s"/>
      <c r="Q384" s="672" t="s"/>
      <c r="R384" s="672" t="s"/>
      <c r="S384" s="673" t="s"/>
      <c r="T384" s="673" t="s"/>
      <c r="U384" s="124" t="s"/>
      <c r="V384" s="124" t="s"/>
      <c r="W384" s="124" t="s"/>
      <c r="X384" s="124" t="s"/>
      <c r="Y384" s="124" t="s"/>
      <c r="Z384" s="124" t="s"/>
      <c r="AA384" s="124" t="s"/>
      <c r="AB384" s="124" t="s"/>
      <c r="AC384" s="124" t="s"/>
      <c r="AD384" s="124" t="s"/>
      <c r="AE384" s="124" t="s"/>
      <c r="AF384" s="124" t="s"/>
      <c r="AG384" s="124" t="s"/>
      <c r="AH384" s="124" t="s"/>
    </row>
    <row r="385" spans="1:34" customHeight="false">
      <c r="A385" s="121" t="s"/>
      <c r="B385" s="166" t="s"/>
      <c r="C385" s="166" t="s"/>
      <c r="D385" s="166" t="s"/>
      <c r="E385" s="123" t="s"/>
      <c r="F385" s="123" t="s"/>
      <c r="G385" s="123" t="s"/>
      <c r="H385" s="123" t="s"/>
      <c r="I385" s="124" t="s"/>
      <c r="J385" s="125" t="s"/>
      <c r="K385" s="125" t="s"/>
      <c r="L385" s="125" t="s"/>
      <c r="M385" s="672" t="s"/>
      <c r="N385" s="672" t="s"/>
      <c r="O385" s="672" t="s"/>
      <c r="P385" s="672" t="s"/>
      <c r="Q385" s="672" t="s"/>
      <c r="R385" s="672" t="s"/>
      <c r="S385" s="673" t="s"/>
      <c r="T385" s="673" t="s"/>
      <c r="U385" s="124" t="s"/>
      <c r="V385" s="124" t="s"/>
      <c r="W385" s="124" t="s"/>
      <c r="X385" s="124" t="s"/>
      <c r="Y385" s="124" t="s"/>
      <c r="Z385" s="124" t="s"/>
      <c r="AA385" s="124" t="s"/>
      <c r="AB385" s="124" t="s"/>
      <c r="AC385" s="124" t="s"/>
      <c r="AD385" s="124" t="s"/>
      <c r="AE385" s="124" t="s"/>
      <c r="AF385" s="124" t="s"/>
      <c r="AG385" s="124" t="s"/>
      <c r="AH385" s="124" t="s"/>
    </row>
    <row r="386" spans="1:34" customHeight="false">
      <c r="A386" s="121" t="s"/>
      <c r="B386" s="166" t="s"/>
      <c r="C386" s="166" t="s"/>
      <c r="D386" s="166" t="s"/>
      <c r="E386" s="123" t="s"/>
      <c r="F386" s="123" t="s"/>
      <c r="G386" s="123" t="s"/>
      <c r="H386" s="123" t="s"/>
      <c r="I386" s="124" t="s"/>
      <c r="J386" s="125" t="s"/>
      <c r="K386" s="125" t="s"/>
      <c r="L386" s="125" t="s"/>
      <c r="M386" s="672" t="s"/>
      <c r="N386" s="672" t="s"/>
      <c r="O386" s="672" t="s"/>
      <c r="P386" s="672" t="s"/>
      <c r="Q386" s="672" t="s"/>
      <c r="R386" s="672" t="s"/>
      <c r="S386" s="673" t="s"/>
      <c r="T386" s="673" t="s"/>
      <c r="U386" s="124" t="s"/>
      <c r="V386" s="124" t="s"/>
      <c r="W386" s="124" t="s"/>
      <c r="X386" s="124" t="s"/>
      <c r="Y386" s="124" t="s"/>
      <c r="Z386" s="124" t="s"/>
      <c r="AA386" s="124" t="s"/>
      <c r="AB386" s="124" t="s"/>
      <c r="AC386" s="124" t="s"/>
      <c r="AD386" s="124" t="s"/>
      <c r="AE386" s="124" t="s"/>
      <c r="AF386" s="124" t="s"/>
      <c r="AG386" s="124" t="s"/>
      <c r="AH386" s="124" t="s"/>
    </row>
    <row r="387" spans="1:34" customHeight="false">
      <c r="A387" s="121" t="s"/>
      <c r="B387" s="166" t="s"/>
      <c r="C387" s="166" t="s"/>
      <c r="D387" s="166" t="s"/>
      <c r="E387" s="123" t="s"/>
      <c r="F387" s="123" t="s"/>
      <c r="G387" s="123" t="s"/>
      <c r="H387" s="123" t="s"/>
      <c r="I387" s="124" t="s"/>
      <c r="J387" s="125" t="s"/>
      <c r="K387" s="125" t="s"/>
      <c r="L387" s="125" t="s"/>
      <c r="M387" s="672" t="s"/>
      <c r="N387" s="672" t="s"/>
      <c r="O387" s="672" t="s"/>
      <c r="P387" s="672" t="s"/>
      <c r="Q387" s="672" t="s"/>
      <c r="R387" s="672" t="s"/>
      <c r="S387" s="673" t="s"/>
      <c r="T387" s="673" t="s"/>
      <c r="U387" s="124" t="s"/>
      <c r="V387" s="124" t="s"/>
      <c r="W387" s="124" t="s"/>
      <c r="X387" s="124" t="s"/>
      <c r="Y387" s="124" t="s"/>
      <c r="Z387" s="124" t="s"/>
      <c r="AA387" s="124" t="s"/>
      <c r="AB387" s="124" t="s"/>
      <c r="AC387" s="124" t="s"/>
      <c r="AD387" s="124" t="s"/>
      <c r="AE387" s="124" t="s"/>
      <c r="AF387" s="124" t="s"/>
      <c r="AG387" s="124" t="s"/>
      <c r="AH387" s="124" t="s"/>
    </row>
    <row r="388" spans="1:34" customHeight="false">
      <c r="A388" s="121" t="s"/>
      <c r="B388" s="166" t="s"/>
      <c r="C388" s="166" t="s"/>
      <c r="D388" s="166" t="s"/>
      <c r="E388" s="123" t="s"/>
      <c r="F388" s="123" t="s"/>
      <c r="G388" s="123" t="s"/>
      <c r="H388" s="123" t="s"/>
      <c r="I388" s="124" t="s"/>
      <c r="J388" s="125" t="s"/>
      <c r="K388" s="125" t="s"/>
      <c r="L388" s="125" t="s"/>
      <c r="M388" s="672" t="s"/>
      <c r="N388" s="672" t="s"/>
      <c r="O388" s="672" t="s"/>
      <c r="P388" s="672" t="s"/>
      <c r="Q388" s="672" t="s"/>
      <c r="R388" s="672" t="s"/>
      <c r="S388" s="673" t="s"/>
      <c r="T388" s="673" t="s"/>
      <c r="U388" s="124" t="s"/>
      <c r="V388" s="124" t="s"/>
      <c r="W388" s="124" t="s"/>
      <c r="X388" s="124" t="s"/>
      <c r="Y388" s="124" t="s"/>
      <c r="Z388" s="124" t="s"/>
      <c r="AA388" s="124" t="s"/>
      <c r="AB388" s="124" t="s"/>
      <c r="AC388" s="124" t="s"/>
      <c r="AD388" s="124" t="s"/>
      <c r="AE388" s="124" t="s"/>
      <c r="AF388" s="124" t="s"/>
      <c r="AG388" s="124" t="s"/>
      <c r="AH388" s="124" t="s"/>
    </row>
    <row r="389" spans="1:34" customHeight="false">
      <c r="A389" s="121" t="s"/>
      <c r="B389" s="166" t="s"/>
      <c r="C389" s="166" t="s"/>
      <c r="D389" s="166" t="s"/>
      <c r="E389" s="123" t="s"/>
      <c r="F389" s="123" t="s"/>
      <c r="G389" s="123" t="s"/>
      <c r="H389" s="123" t="s"/>
      <c r="I389" s="124" t="s"/>
      <c r="J389" s="125" t="s"/>
      <c r="K389" s="125" t="s"/>
      <c r="L389" s="125" t="s"/>
      <c r="M389" s="672" t="s"/>
      <c r="N389" s="672" t="s"/>
      <c r="O389" s="672" t="s"/>
      <c r="P389" s="672" t="s"/>
      <c r="Q389" s="672" t="s"/>
      <c r="R389" s="672" t="s"/>
      <c r="S389" s="673" t="s"/>
      <c r="T389" s="673" t="s"/>
      <c r="U389" s="124" t="s"/>
      <c r="V389" s="124" t="s"/>
      <c r="W389" s="124" t="s"/>
      <c r="X389" s="124" t="s"/>
      <c r="Y389" s="124" t="s"/>
      <c r="Z389" s="124" t="s"/>
      <c r="AA389" s="124" t="s"/>
      <c r="AB389" s="124" t="s"/>
      <c r="AC389" s="124" t="s"/>
      <c r="AD389" s="124" t="s"/>
      <c r="AE389" s="124" t="s"/>
      <c r="AF389" s="124" t="s"/>
      <c r="AG389" s="124" t="s"/>
      <c r="AH389" s="124" t="s"/>
    </row>
    <row r="390" spans="1:34" customHeight="false">
      <c r="A390" s="121" t="s"/>
      <c r="B390" s="166" t="s"/>
      <c r="C390" s="166" t="s"/>
      <c r="D390" s="166" t="s"/>
      <c r="E390" s="123" t="s"/>
      <c r="F390" s="123" t="s"/>
      <c r="G390" s="123" t="s"/>
      <c r="H390" s="123" t="s"/>
      <c r="I390" s="124" t="s"/>
      <c r="J390" s="125" t="s"/>
      <c r="K390" s="125" t="s"/>
      <c r="L390" s="125" t="s"/>
      <c r="M390" s="672" t="s"/>
      <c r="N390" s="672" t="s"/>
      <c r="O390" s="672" t="s"/>
      <c r="P390" s="672" t="s"/>
      <c r="Q390" s="672" t="s"/>
      <c r="R390" s="672" t="s"/>
      <c r="S390" s="673" t="s"/>
      <c r="T390" s="673" t="s"/>
      <c r="U390" s="124" t="s"/>
      <c r="V390" s="124" t="s"/>
      <c r="W390" s="124" t="s"/>
      <c r="X390" s="124" t="s"/>
      <c r="Y390" s="124" t="s"/>
      <c r="Z390" s="124" t="s"/>
      <c r="AA390" s="124" t="s"/>
      <c r="AB390" s="124" t="s"/>
      <c r="AC390" s="124" t="s"/>
      <c r="AD390" s="124" t="s"/>
      <c r="AE390" s="124" t="s"/>
      <c r="AF390" s="124" t="s"/>
      <c r="AG390" s="124" t="s"/>
      <c r="AH390" s="124" t="s"/>
    </row>
    <row r="391" spans="1:34" customHeight="false">
      <c r="A391" s="121" t="s"/>
      <c r="B391" s="166" t="s"/>
      <c r="C391" s="166" t="s"/>
      <c r="D391" s="166" t="s"/>
      <c r="E391" s="123" t="s"/>
      <c r="F391" s="123" t="s"/>
      <c r="G391" s="123" t="s"/>
      <c r="H391" s="123" t="s"/>
      <c r="I391" s="124" t="s"/>
      <c r="J391" s="125" t="s"/>
      <c r="K391" s="125" t="s"/>
      <c r="L391" s="125" t="s"/>
      <c r="M391" s="672" t="s"/>
      <c r="N391" s="672" t="s"/>
      <c r="O391" s="672" t="s"/>
      <c r="P391" s="672" t="s"/>
      <c r="Q391" s="672" t="s"/>
      <c r="R391" s="672" t="s"/>
      <c r="S391" s="673" t="s"/>
      <c r="T391" s="673" t="s"/>
      <c r="U391" s="124" t="s"/>
      <c r="V391" s="124" t="s"/>
      <c r="W391" s="124" t="s"/>
      <c r="X391" s="124" t="s"/>
      <c r="Y391" s="124" t="s"/>
      <c r="Z391" s="124" t="s"/>
      <c r="AA391" s="124" t="s"/>
      <c r="AB391" s="124" t="s"/>
      <c r="AC391" s="124" t="s"/>
      <c r="AD391" s="124" t="s"/>
      <c r="AE391" s="124" t="s"/>
      <c r="AF391" s="124" t="s"/>
      <c r="AG391" s="124" t="s"/>
      <c r="AH391" s="124" t="s"/>
    </row>
    <row r="392" spans="1:34" customHeight="false">
      <c r="A392" s="121" t="s"/>
      <c r="B392" s="166" t="s"/>
      <c r="C392" s="166" t="s"/>
      <c r="D392" s="166" t="s"/>
      <c r="E392" s="123" t="s"/>
      <c r="F392" s="123" t="s"/>
      <c r="G392" s="123" t="s"/>
      <c r="H392" s="123" t="s"/>
      <c r="I392" s="124" t="s"/>
      <c r="J392" s="125" t="s"/>
      <c r="K392" s="125" t="s"/>
      <c r="L392" s="125" t="s"/>
      <c r="M392" s="672" t="s"/>
      <c r="N392" s="672" t="s"/>
      <c r="O392" s="672" t="s"/>
      <c r="P392" s="672" t="s"/>
      <c r="Q392" s="672" t="s"/>
      <c r="R392" s="672" t="s"/>
      <c r="S392" s="673" t="s"/>
      <c r="T392" s="673" t="s"/>
      <c r="U392" s="124" t="s"/>
      <c r="V392" s="124" t="s"/>
      <c r="W392" s="124" t="s"/>
      <c r="X392" s="124" t="s"/>
      <c r="Y392" s="124" t="s"/>
      <c r="Z392" s="124" t="s"/>
      <c r="AA392" s="124" t="s"/>
      <c r="AB392" s="124" t="s"/>
      <c r="AC392" s="124" t="s"/>
      <c r="AD392" s="124" t="s"/>
      <c r="AE392" s="124" t="s"/>
      <c r="AF392" s="124" t="s"/>
      <c r="AG392" s="124" t="s"/>
      <c r="AH392" s="124" t="s"/>
    </row>
    <row r="393" spans="1:34" customHeight="false">
      <c r="A393" s="121" t="s"/>
      <c r="B393" s="166" t="s"/>
      <c r="C393" s="166" t="s"/>
      <c r="D393" s="166" t="s"/>
      <c r="E393" s="123" t="s"/>
      <c r="F393" s="123" t="s"/>
      <c r="G393" s="123" t="s"/>
      <c r="H393" s="123" t="s"/>
      <c r="I393" s="124" t="s"/>
      <c r="J393" s="125" t="s"/>
      <c r="K393" s="125" t="s"/>
      <c r="L393" s="125" t="s"/>
      <c r="M393" s="672" t="s"/>
      <c r="N393" s="672" t="s"/>
      <c r="O393" s="672" t="s"/>
      <c r="P393" s="672" t="s"/>
      <c r="Q393" s="672" t="s"/>
      <c r="R393" s="672" t="s"/>
      <c r="S393" s="673" t="s"/>
      <c r="T393" s="673" t="s"/>
      <c r="U393" s="124" t="s"/>
      <c r="V393" s="124" t="s"/>
      <c r="W393" s="124" t="s"/>
      <c r="X393" s="124" t="s"/>
      <c r="Y393" s="124" t="s"/>
      <c r="Z393" s="124" t="s"/>
      <c r="AA393" s="124" t="s"/>
      <c r="AB393" s="124" t="s"/>
      <c r="AC393" s="124" t="s"/>
      <c r="AD393" s="124" t="s"/>
      <c r="AE393" s="124" t="s"/>
      <c r="AF393" s="124" t="s"/>
      <c r="AG393" s="124" t="s"/>
      <c r="AH393" s="124" t="s"/>
    </row>
    <row r="394" spans="1:34" customHeight="false">
      <c r="A394" s="121" t="s"/>
      <c r="B394" s="166" t="s"/>
      <c r="C394" s="166" t="s"/>
      <c r="D394" s="166" t="s"/>
      <c r="E394" s="123" t="s"/>
      <c r="F394" s="123" t="s"/>
      <c r="G394" s="123" t="s"/>
      <c r="H394" s="123" t="s"/>
      <c r="I394" s="124" t="s"/>
      <c r="J394" s="125" t="s"/>
      <c r="K394" s="125" t="s"/>
      <c r="L394" s="125" t="s"/>
      <c r="M394" s="672" t="s"/>
      <c r="N394" s="672" t="s"/>
      <c r="O394" s="672" t="s"/>
      <c r="P394" s="672" t="s"/>
      <c r="Q394" s="672" t="s"/>
      <c r="R394" s="672" t="s"/>
      <c r="S394" s="673" t="s"/>
      <c r="T394" s="673" t="s"/>
      <c r="U394" s="124" t="s"/>
      <c r="V394" s="124" t="s"/>
      <c r="W394" s="124" t="s"/>
      <c r="X394" s="124" t="s"/>
      <c r="Y394" s="124" t="s"/>
      <c r="Z394" s="124" t="s"/>
      <c r="AA394" s="124" t="s"/>
      <c r="AB394" s="124" t="s"/>
      <c r="AC394" s="124" t="s"/>
      <c r="AD394" s="124" t="s"/>
      <c r="AE394" s="124" t="s"/>
      <c r="AF394" s="124" t="s"/>
      <c r="AG394" s="124" t="s"/>
      <c r="AH394" s="124" t="s"/>
    </row>
    <row r="395" spans="1:34" customHeight="false">
      <c r="A395" s="121" t="s"/>
      <c r="B395" s="166" t="s"/>
      <c r="C395" s="166" t="s"/>
      <c r="D395" s="166" t="s"/>
      <c r="E395" s="123" t="s"/>
      <c r="F395" s="123" t="s"/>
      <c r="G395" s="123" t="s"/>
      <c r="H395" s="123" t="s"/>
      <c r="I395" s="124" t="s"/>
      <c r="J395" s="125" t="s"/>
      <c r="K395" s="125" t="s"/>
      <c r="L395" s="125" t="s"/>
      <c r="M395" s="672" t="s"/>
      <c r="N395" s="672" t="s"/>
      <c r="O395" s="672" t="s"/>
      <c r="P395" s="672" t="s"/>
      <c r="Q395" s="672" t="s"/>
      <c r="R395" s="672" t="s"/>
      <c r="S395" s="673" t="s"/>
      <c r="T395" s="673" t="s"/>
      <c r="U395" s="124" t="s"/>
      <c r="V395" s="124" t="s"/>
      <c r="W395" s="124" t="s"/>
      <c r="X395" s="124" t="s"/>
      <c r="Y395" s="124" t="s"/>
      <c r="Z395" s="124" t="s"/>
      <c r="AA395" s="124" t="s"/>
      <c r="AB395" s="124" t="s"/>
      <c r="AC395" s="124" t="s"/>
      <c r="AD395" s="124" t="s"/>
      <c r="AE395" s="124" t="s"/>
      <c r="AF395" s="124" t="s"/>
      <c r="AG395" s="124" t="s"/>
      <c r="AH395" s="124" t="s"/>
    </row>
    <row r="396" spans="1:34" customHeight="false">
      <c r="A396" s="121" t="s"/>
      <c r="B396" s="166" t="s"/>
      <c r="C396" s="166" t="s"/>
      <c r="D396" s="166" t="s"/>
      <c r="E396" s="123" t="s"/>
      <c r="F396" s="123" t="s"/>
      <c r="G396" s="123" t="s"/>
      <c r="H396" s="123" t="s"/>
      <c r="I396" s="124" t="s"/>
      <c r="J396" s="125" t="s"/>
      <c r="K396" s="125" t="s"/>
      <c r="L396" s="125" t="s"/>
      <c r="M396" s="672" t="s"/>
      <c r="N396" s="672" t="s"/>
      <c r="O396" s="672" t="s"/>
      <c r="P396" s="672" t="s"/>
      <c r="Q396" s="672" t="s"/>
      <c r="R396" s="672" t="s"/>
      <c r="S396" s="673" t="s"/>
      <c r="T396" s="673" t="s"/>
      <c r="U396" s="124" t="s"/>
      <c r="V396" s="124" t="s"/>
      <c r="W396" s="124" t="s"/>
      <c r="X396" s="124" t="s"/>
      <c r="Y396" s="124" t="s"/>
      <c r="Z396" s="124" t="s"/>
      <c r="AA396" s="124" t="s"/>
      <c r="AB396" s="124" t="s"/>
      <c r="AC396" s="124" t="s"/>
      <c r="AD396" s="124" t="s"/>
      <c r="AE396" s="124" t="s"/>
      <c r="AF396" s="124" t="s"/>
      <c r="AG396" s="124" t="s"/>
      <c r="AH396" s="124" t="s"/>
    </row>
    <row r="397" spans="1:34" customHeight="false">
      <c r="A397" s="121" t="s"/>
      <c r="B397" s="166" t="s"/>
      <c r="C397" s="166" t="s"/>
      <c r="D397" s="166" t="s"/>
      <c r="E397" s="123" t="s"/>
      <c r="F397" s="123" t="s"/>
      <c r="G397" s="123" t="s"/>
      <c r="H397" s="123" t="s"/>
      <c r="I397" s="124" t="s"/>
      <c r="J397" s="125" t="s"/>
      <c r="K397" s="125" t="s"/>
      <c r="L397" s="125" t="s"/>
      <c r="M397" s="672" t="s"/>
      <c r="N397" s="672" t="s"/>
      <c r="O397" s="672" t="s"/>
      <c r="P397" s="672" t="s"/>
      <c r="Q397" s="672" t="s"/>
      <c r="R397" s="672" t="s"/>
      <c r="S397" s="673" t="s"/>
      <c r="T397" s="673" t="s"/>
      <c r="U397" s="124" t="s"/>
      <c r="V397" s="124" t="s"/>
      <c r="W397" s="124" t="s"/>
      <c r="X397" s="124" t="s"/>
      <c r="Y397" s="124" t="s"/>
      <c r="Z397" s="124" t="s"/>
      <c r="AA397" s="124" t="s"/>
      <c r="AB397" s="124" t="s"/>
      <c r="AC397" s="124" t="s"/>
      <c r="AD397" s="124" t="s"/>
      <c r="AE397" s="124" t="s"/>
      <c r="AF397" s="124" t="s"/>
      <c r="AG397" s="124" t="s"/>
      <c r="AH397" s="124" t="s"/>
    </row>
    <row r="398" spans="1:34" customHeight="false">
      <c r="A398" s="121" t="s"/>
      <c r="B398" s="166" t="s"/>
      <c r="C398" s="166" t="s"/>
      <c r="D398" s="166" t="s"/>
      <c r="E398" s="123" t="s"/>
      <c r="F398" s="123" t="s"/>
      <c r="G398" s="123" t="s"/>
      <c r="H398" s="123" t="s"/>
      <c r="I398" s="124" t="s"/>
      <c r="J398" s="125" t="s"/>
      <c r="K398" s="125" t="s"/>
      <c r="L398" s="125" t="s"/>
      <c r="M398" s="672" t="s"/>
      <c r="N398" s="672" t="s"/>
      <c r="O398" s="672" t="s"/>
      <c r="P398" s="672" t="s"/>
      <c r="Q398" s="672" t="s"/>
      <c r="R398" s="672" t="s"/>
      <c r="S398" s="673" t="s"/>
      <c r="T398" s="673" t="s"/>
      <c r="U398" s="124" t="s"/>
      <c r="V398" s="124" t="s"/>
      <c r="W398" s="124" t="s"/>
      <c r="X398" s="124" t="s"/>
      <c r="Y398" s="124" t="s"/>
      <c r="Z398" s="124" t="s"/>
      <c r="AA398" s="124" t="s"/>
      <c r="AB398" s="124" t="s"/>
      <c r="AC398" s="124" t="s"/>
      <c r="AD398" s="124" t="s"/>
      <c r="AE398" s="124" t="s"/>
      <c r="AF398" s="124" t="s"/>
      <c r="AG398" s="124" t="s"/>
      <c r="AH398" s="124" t="s"/>
    </row>
    <row r="399" spans="1:34" customHeight="false">
      <c r="A399" s="121" t="s"/>
      <c r="B399" s="166" t="s"/>
      <c r="C399" s="166" t="s"/>
      <c r="D399" s="166" t="s"/>
      <c r="E399" s="123" t="s"/>
      <c r="F399" s="123" t="s"/>
      <c r="G399" s="123" t="s"/>
      <c r="H399" s="123" t="s"/>
      <c r="I399" s="124" t="s"/>
      <c r="J399" s="125" t="s"/>
      <c r="K399" s="125" t="s"/>
      <c r="L399" s="125" t="s"/>
      <c r="M399" s="672" t="s"/>
      <c r="N399" s="672" t="s"/>
      <c r="O399" s="672" t="s"/>
      <c r="P399" s="672" t="s"/>
      <c r="Q399" s="672" t="s"/>
      <c r="R399" s="672" t="s"/>
      <c r="S399" s="673" t="s"/>
      <c r="T399" s="673" t="s"/>
      <c r="U399" s="124" t="s"/>
      <c r="V399" s="124" t="s"/>
      <c r="W399" s="124" t="s"/>
      <c r="X399" s="124" t="s"/>
      <c r="Y399" s="124" t="s"/>
      <c r="Z399" s="124" t="s"/>
      <c r="AA399" s="124" t="s"/>
      <c r="AB399" s="124" t="s"/>
      <c r="AC399" s="124" t="s"/>
      <c r="AD399" s="124" t="s"/>
      <c r="AE399" s="124" t="s"/>
      <c r="AF399" s="124" t="s"/>
      <c r="AG399" s="124" t="s"/>
      <c r="AH399" s="124" t="s"/>
    </row>
    <row r="400" spans="1:34" customHeight="false">
      <c r="A400" s="121" t="s"/>
      <c r="B400" s="166" t="s"/>
      <c r="C400" s="166" t="s"/>
      <c r="D400" s="166" t="s"/>
      <c r="E400" s="123" t="s"/>
      <c r="F400" s="123" t="s"/>
      <c r="G400" s="123" t="s"/>
      <c r="H400" s="123" t="s"/>
      <c r="I400" s="124" t="s"/>
      <c r="J400" s="125" t="s"/>
      <c r="K400" s="125" t="s"/>
      <c r="L400" s="125" t="s"/>
      <c r="M400" s="672" t="s"/>
      <c r="N400" s="672" t="s"/>
      <c r="O400" s="672" t="s"/>
      <c r="P400" s="672" t="s"/>
      <c r="Q400" s="672" t="s"/>
      <c r="R400" s="672" t="s"/>
      <c r="S400" s="673" t="s"/>
      <c r="T400" s="673" t="s"/>
      <c r="U400" s="124" t="s"/>
      <c r="V400" s="124" t="s"/>
      <c r="W400" s="124" t="s"/>
      <c r="X400" s="124" t="s"/>
      <c r="Y400" s="124" t="s"/>
      <c r="Z400" s="124" t="s"/>
      <c r="AA400" s="124" t="s"/>
      <c r="AB400" s="124" t="s"/>
      <c r="AC400" s="124" t="s"/>
      <c r="AD400" s="124" t="s"/>
      <c r="AE400" s="124" t="s"/>
      <c r="AF400" s="124" t="s"/>
      <c r="AG400" s="124" t="s"/>
      <c r="AH400" s="124" t="s"/>
    </row>
    <row r="401" spans="1:34" customHeight="false">
      <c r="A401" s="121" t="s"/>
      <c r="B401" s="166" t="s"/>
      <c r="C401" s="166" t="s"/>
      <c r="D401" s="166" t="s"/>
      <c r="E401" s="123" t="s"/>
      <c r="F401" s="123" t="s"/>
      <c r="G401" s="123" t="s"/>
      <c r="H401" s="123" t="s"/>
      <c r="I401" s="124" t="s"/>
      <c r="J401" s="125" t="s"/>
      <c r="K401" s="125" t="s"/>
      <c r="L401" s="125" t="s"/>
      <c r="M401" s="672" t="s"/>
      <c r="N401" s="672" t="s"/>
      <c r="O401" s="672" t="s"/>
      <c r="P401" s="672" t="s"/>
      <c r="Q401" s="672" t="s"/>
      <c r="R401" s="672" t="s"/>
      <c r="S401" s="673" t="s"/>
      <c r="T401" s="673" t="s"/>
      <c r="U401" s="124" t="s"/>
      <c r="V401" s="124" t="s"/>
      <c r="W401" s="124" t="s"/>
      <c r="X401" s="124" t="s"/>
      <c r="Y401" s="124" t="s"/>
      <c r="Z401" s="124" t="s"/>
      <c r="AA401" s="124" t="s"/>
      <c r="AB401" s="124" t="s"/>
      <c r="AC401" s="124" t="s"/>
      <c r="AD401" s="124" t="s"/>
      <c r="AE401" s="124" t="s"/>
      <c r="AF401" s="124" t="s"/>
      <c r="AG401" s="124" t="s"/>
      <c r="AH401" s="124" t="s"/>
    </row>
    <row r="402" spans="1:34" customHeight="false">
      <c r="A402" s="121" t="s"/>
      <c r="B402" s="166" t="s"/>
      <c r="C402" s="166" t="s"/>
      <c r="D402" s="166" t="s"/>
      <c r="E402" s="123" t="s"/>
      <c r="F402" s="123" t="s"/>
      <c r="G402" s="123" t="s"/>
      <c r="H402" s="123" t="s"/>
      <c r="I402" s="124" t="s"/>
      <c r="J402" s="125" t="s"/>
      <c r="K402" s="125" t="s"/>
      <c r="L402" s="125" t="s"/>
      <c r="M402" s="672" t="s"/>
      <c r="N402" s="672" t="s"/>
      <c r="O402" s="672" t="s"/>
      <c r="P402" s="672" t="s"/>
      <c r="Q402" s="672" t="s"/>
      <c r="R402" s="672" t="s"/>
      <c r="S402" s="673" t="s"/>
      <c r="T402" s="673" t="s"/>
      <c r="U402" s="124" t="s"/>
      <c r="V402" s="124" t="s"/>
      <c r="W402" s="124" t="s"/>
      <c r="X402" s="124" t="s"/>
      <c r="Y402" s="124" t="s"/>
      <c r="Z402" s="124" t="s"/>
      <c r="AA402" s="124" t="s"/>
      <c r="AB402" s="124" t="s"/>
      <c r="AC402" s="124" t="s"/>
      <c r="AD402" s="124" t="s"/>
      <c r="AE402" s="124" t="s"/>
      <c r="AF402" s="124" t="s"/>
      <c r="AG402" s="124" t="s"/>
      <c r="AH402" s="124" t="s"/>
    </row>
    <row r="403" spans="1:34" customHeight="false">
      <c r="A403" s="121" t="s"/>
      <c r="B403" s="166" t="s"/>
      <c r="C403" s="166" t="s"/>
      <c r="D403" s="166" t="s"/>
      <c r="E403" s="123" t="s"/>
      <c r="F403" s="123" t="s"/>
      <c r="G403" s="123" t="s"/>
      <c r="H403" s="123" t="s"/>
      <c r="I403" s="124" t="s"/>
      <c r="J403" s="125" t="s"/>
      <c r="K403" s="125" t="s"/>
      <c r="L403" s="125" t="s"/>
      <c r="M403" s="672" t="s"/>
      <c r="N403" s="672" t="s"/>
      <c r="O403" s="672" t="s"/>
      <c r="P403" s="672" t="s"/>
      <c r="Q403" s="672" t="s"/>
      <c r="R403" s="672" t="s"/>
      <c r="S403" s="673" t="s"/>
      <c r="T403" s="673" t="s"/>
      <c r="U403" s="124" t="s"/>
      <c r="V403" s="124" t="s"/>
      <c r="W403" s="124" t="s"/>
      <c r="X403" s="124" t="s"/>
      <c r="Y403" s="124" t="s"/>
      <c r="Z403" s="124" t="s"/>
      <c r="AA403" s="124" t="s"/>
      <c r="AB403" s="124" t="s"/>
      <c r="AC403" s="124" t="s"/>
      <c r="AD403" s="124" t="s"/>
      <c r="AE403" s="124" t="s"/>
      <c r="AF403" s="124" t="s"/>
      <c r="AG403" s="124" t="s"/>
      <c r="AH403" s="124" t="s"/>
    </row>
    <row r="404" spans="1:34" customHeight="false">
      <c r="A404" s="121" t="s"/>
      <c r="B404" s="166" t="s"/>
      <c r="C404" s="166" t="s"/>
      <c r="D404" s="166" t="s"/>
      <c r="E404" s="123" t="s"/>
      <c r="F404" s="123" t="s"/>
      <c r="G404" s="123" t="s"/>
      <c r="H404" s="123" t="s"/>
      <c r="I404" s="124" t="s"/>
      <c r="J404" s="125" t="s"/>
      <c r="K404" s="125" t="s"/>
      <c r="L404" s="125" t="s"/>
      <c r="M404" s="672" t="s"/>
      <c r="N404" s="672" t="s"/>
      <c r="O404" s="672" t="s"/>
      <c r="P404" s="672" t="s"/>
      <c r="Q404" s="672" t="s"/>
      <c r="R404" s="672" t="s"/>
      <c r="S404" s="673" t="s"/>
      <c r="T404" s="673" t="s"/>
      <c r="U404" s="124" t="s"/>
      <c r="V404" s="124" t="s"/>
      <c r="W404" s="124" t="s"/>
      <c r="X404" s="124" t="s"/>
      <c r="Y404" s="124" t="s"/>
      <c r="Z404" s="124" t="s"/>
      <c r="AA404" s="124" t="s"/>
      <c r="AB404" s="124" t="s"/>
      <c r="AC404" s="124" t="s"/>
      <c r="AD404" s="124" t="s"/>
      <c r="AE404" s="124" t="s"/>
      <c r="AF404" s="124" t="s"/>
      <c r="AG404" s="124" t="s"/>
      <c r="AH404" s="124" t="s"/>
    </row>
    <row r="405" spans="1:34" customHeight="false">
      <c r="A405" s="121" t="s"/>
      <c r="B405" s="166" t="s"/>
      <c r="C405" s="166" t="s"/>
      <c r="D405" s="166" t="s"/>
      <c r="E405" s="123" t="s"/>
      <c r="F405" s="123" t="s"/>
      <c r="G405" s="123" t="s"/>
      <c r="H405" s="123" t="s"/>
      <c r="I405" s="124" t="s"/>
      <c r="J405" s="125" t="s"/>
      <c r="K405" s="125" t="s"/>
      <c r="L405" s="125" t="s"/>
      <c r="M405" s="672" t="s"/>
      <c r="N405" s="672" t="s"/>
      <c r="O405" s="672" t="s"/>
      <c r="P405" s="672" t="s"/>
      <c r="Q405" s="672" t="s"/>
      <c r="R405" s="672" t="s"/>
      <c r="S405" s="673" t="s"/>
      <c r="T405" s="673" t="s"/>
      <c r="U405" s="124" t="s"/>
      <c r="V405" s="124" t="s"/>
      <c r="W405" s="124" t="s"/>
      <c r="X405" s="124" t="s"/>
      <c r="Y405" s="124" t="s"/>
      <c r="Z405" s="124" t="s"/>
      <c r="AA405" s="124" t="s"/>
      <c r="AB405" s="124" t="s"/>
      <c r="AC405" s="124" t="s"/>
      <c r="AD405" s="124" t="s"/>
      <c r="AE405" s="124" t="s"/>
      <c r="AF405" s="124" t="s"/>
      <c r="AG405" s="124" t="s"/>
      <c r="AH405" s="124" t="s"/>
    </row>
    <row r="406" spans="1:34" customHeight="false">
      <c r="A406" s="121" t="s"/>
      <c r="B406" s="166" t="s"/>
      <c r="C406" s="166" t="s"/>
      <c r="D406" s="166" t="s"/>
      <c r="E406" s="123" t="s"/>
      <c r="F406" s="123" t="s"/>
      <c r="G406" s="123" t="s"/>
      <c r="H406" s="123" t="s"/>
      <c r="I406" s="124" t="s"/>
      <c r="J406" s="125" t="s"/>
      <c r="K406" s="125" t="s"/>
      <c r="L406" s="125" t="s"/>
      <c r="M406" s="672" t="s"/>
      <c r="N406" s="672" t="s"/>
      <c r="O406" s="672" t="s"/>
      <c r="P406" s="672" t="s"/>
      <c r="Q406" s="672" t="s"/>
      <c r="R406" s="672" t="s"/>
      <c r="S406" s="673" t="s"/>
      <c r="T406" s="673" t="s"/>
      <c r="U406" s="124" t="s"/>
      <c r="V406" s="124" t="s"/>
      <c r="W406" s="124" t="s"/>
      <c r="X406" s="124" t="s"/>
      <c r="Y406" s="124" t="s"/>
      <c r="Z406" s="124" t="s"/>
      <c r="AA406" s="124" t="s"/>
      <c r="AB406" s="124" t="s"/>
      <c r="AC406" s="124" t="s"/>
      <c r="AD406" s="124" t="s"/>
      <c r="AE406" s="124" t="s"/>
      <c r="AF406" s="124" t="s"/>
      <c r="AG406" s="124" t="s"/>
      <c r="AH406" s="124" t="s"/>
    </row>
    <row r="407" spans="1:34" customHeight="false">
      <c r="A407" s="121" t="s"/>
      <c r="B407" s="166" t="s"/>
      <c r="C407" s="166" t="s"/>
      <c r="D407" s="166" t="s"/>
      <c r="E407" s="123" t="s"/>
      <c r="F407" s="123" t="s"/>
      <c r="G407" s="123" t="s"/>
      <c r="H407" s="123" t="s"/>
      <c r="I407" s="124" t="s"/>
      <c r="J407" s="125" t="s"/>
      <c r="K407" s="125" t="s"/>
      <c r="L407" s="125" t="s"/>
      <c r="M407" s="672" t="s"/>
      <c r="N407" s="672" t="s"/>
      <c r="O407" s="672" t="s"/>
      <c r="P407" s="672" t="s"/>
      <c r="Q407" s="672" t="s"/>
      <c r="R407" s="672" t="s"/>
      <c r="S407" s="673" t="s"/>
      <c r="T407" s="673" t="s"/>
      <c r="U407" s="124" t="s"/>
      <c r="V407" s="124" t="s"/>
      <c r="W407" s="124" t="s"/>
      <c r="X407" s="124" t="s"/>
      <c r="Y407" s="124" t="s"/>
      <c r="Z407" s="124" t="s"/>
      <c r="AA407" s="124" t="s"/>
      <c r="AB407" s="124" t="s"/>
      <c r="AC407" s="124" t="s"/>
      <c r="AD407" s="124" t="s"/>
      <c r="AE407" s="124" t="s"/>
      <c r="AF407" s="124" t="s"/>
      <c r="AG407" s="124" t="s"/>
      <c r="AH407" s="124" t="s"/>
    </row>
    <row r="408" spans="1:34" customHeight="false">
      <c r="A408" s="121" t="s"/>
      <c r="B408" s="166" t="s"/>
      <c r="C408" s="166" t="s"/>
      <c r="D408" s="166" t="s"/>
      <c r="E408" s="123" t="s"/>
      <c r="F408" s="123" t="s"/>
      <c r="G408" s="123" t="s"/>
      <c r="H408" s="123" t="s"/>
      <c r="I408" s="124" t="s"/>
      <c r="J408" s="125" t="s"/>
      <c r="K408" s="125" t="s"/>
      <c r="L408" s="125" t="s"/>
      <c r="M408" s="672" t="s"/>
      <c r="N408" s="672" t="s"/>
      <c r="O408" s="672" t="s"/>
      <c r="P408" s="672" t="s"/>
      <c r="Q408" s="672" t="s"/>
      <c r="R408" s="672" t="s"/>
      <c r="S408" s="673" t="s"/>
      <c r="T408" s="673" t="s"/>
      <c r="U408" s="124" t="s"/>
      <c r="V408" s="124" t="s"/>
      <c r="W408" s="124" t="s"/>
      <c r="X408" s="124" t="s"/>
      <c r="Y408" s="124" t="s"/>
      <c r="Z408" s="124" t="s"/>
      <c r="AA408" s="124" t="s"/>
      <c r="AB408" s="124" t="s"/>
      <c r="AC408" s="124" t="s"/>
      <c r="AD408" s="124" t="s"/>
      <c r="AE408" s="124" t="s"/>
      <c r="AF408" s="124" t="s"/>
      <c r="AG408" s="124" t="s"/>
      <c r="AH408" s="124" t="s"/>
    </row>
    <row r="409" spans="1:34" customHeight="false">
      <c r="A409" s="121" t="s"/>
      <c r="B409" s="166" t="s"/>
      <c r="C409" s="166" t="s"/>
      <c r="D409" s="166" t="s"/>
      <c r="E409" s="123" t="s"/>
      <c r="F409" s="123" t="s"/>
      <c r="G409" s="123" t="s"/>
      <c r="H409" s="123" t="s"/>
      <c r="I409" s="124" t="s"/>
      <c r="J409" s="125" t="s"/>
      <c r="K409" s="125" t="s"/>
      <c r="L409" s="125" t="s"/>
      <c r="M409" s="672" t="s"/>
      <c r="N409" s="672" t="s"/>
      <c r="O409" s="672" t="s"/>
      <c r="P409" s="672" t="s"/>
      <c r="Q409" s="672" t="s"/>
      <c r="R409" s="672" t="s"/>
      <c r="S409" s="673" t="s"/>
      <c r="T409" s="673" t="s"/>
      <c r="U409" s="124" t="s"/>
      <c r="V409" s="124" t="s"/>
      <c r="W409" s="124" t="s"/>
      <c r="X409" s="124" t="s"/>
      <c r="Y409" s="124" t="s"/>
      <c r="Z409" s="124" t="s"/>
      <c r="AA409" s="124" t="s"/>
      <c r="AB409" s="124" t="s"/>
      <c r="AC409" s="124" t="s"/>
      <c r="AD409" s="124" t="s"/>
      <c r="AE409" s="124" t="s"/>
      <c r="AF409" s="124" t="s"/>
      <c r="AG409" s="124" t="s"/>
      <c r="AH409" s="124" t="s"/>
    </row>
    <row r="410" spans="1:34" customHeight="false">
      <c r="A410" s="121" t="s"/>
      <c r="B410" s="166" t="s"/>
      <c r="C410" s="166" t="s"/>
      <c r="D410" s="166" t="s"/>
      <c r="E410" s="123" t="s"/>
      <c r="F410" s="123" t="s"/>
      <c r="G410" s="123" t="s"/>
      <c r="H410" s="123" t="s"/>
      <c r="I410" s="124" t="s"/>
      <c r="J410" s="125" t="s"/>
      <c r="K410" s="125" t="s"/>
      <c r="L410" s="125" t="s"/>
      <c r="M410" s="672" t="s"/>
      <c r="N410" s="672" t="s"/>
      <c r="O410" s="672" t="s"/>
      <c r="P410" s="672" t="s"/>
      <c r="Q410" s="672" t="s"/>
      <c r="R410" s="672" t="s"/>
      <c r="S410" s="673" t="s"/>
      <c r="T410" s="673" t="s"/>
      <c r="U410" s="124" t="s"/>
      <c r="V410" s="124" t="s"/>
      <c r="W410" s="124" t="s"/>
      <c r="X410" s="124" t="s"/>
      <c r="Y410" s="124" t="s"/>
      <c r="Z410" s="124" t="s"/>
      <c r="AA410" s="124" t="s"/>
      <c r="AB410" s="124" t="s"/>
      <c r="AC410" s="124" t="s"/>
      <c r="AD410" s="124" t="s"/>
      <c r="AE410" s="124" t="s"/>
      <c r="AF410" s="124" t="s"/>
      <c r="AG410" s="124" t="s"/>
      <c r="AH410" s="124" t="s"/>
    </row>
    <row r="411" spans="1:34" customHeight="false">
      <c r="A411" s="121" t="s"/>
      <c r="B411" s="166" t="s"/>
      <c r="C411" s="166" t="s"/>
      <c r="D411" s="166" t="s"/>
      <c r="E411" s="123" t="s"/>
      <c r="F411" s="123" t="s"/>
      <c r="G411" s="123" t="s"/>
      <c r="H411" s="123" t="s"/>
      <c r="I411" s="124" t="s"/>
      <c r="J411" s="125" t="s"/>
      <c r="K411" s="125" t="s"/>
      <c r="L411" s="125" t="s"/>
      <c r="M411" s="672" t="s"/>
      <c r="N411" s="672" t="s"/>
      <c r="O411" s="672" t="s"/>
      <c r="P411" s="672" t="s"/>
      <c r="Q411" s="672" t="s"/>
      <c r="R411" s="672" t="s"/>
      <c r="S411" s="673" t="s"/>
      <c r="T411" s="673" t="s"/>
      <c r="U411" s="124" t="s"/>
      <c r="V411" s="124" t="s"/>
      <c r="W411" s="124" t="s"/>
      <c r="X411" s="124" t="s"/>
      <c r="Y411" s="124" t="s"/>
      <c r="Z411" s="124" t="s"/>
      <c r="AA411" s="124" t="s"/>
      <c r="AB411" s="124" t="s"/>
      <c r="AC411" s="124" t="s"/>
      <c r="AD411" s="124" t="s"/>
      <c r="AE411" s="124" t="s"/>
      <c r="AF411" s="124" t="s"/>
      <c r="AG411" s="124" t="s"/>
      <c r="AH411" s="124" t="s"/>
    </row>
    <row r="412" spans="1:34" customHeight="false">
      <c r="A412" s="121" t="s"/>
      <c r="B412" s="166" t="s"/>
      <c r="C412" s="166" t="s"/>
      <c r="D412" s="166" t="s"/>
      <c r="E412" s="123" t="s"/>
      <c r="F412" s="123" t="s"/>
      <c r="G412" s="123" t="s"/>
      <c r="H412" s="123" t="s"/>
      <c r="I412" s="124" t="s"/>
      <c r="J412" s="125" t="s"/>
      <c r="K412" s="125" t="s"/>
      <c r="L412" s="125" t="s"/>
      <c r="M412" s="672" t="s"/>
      <c r="N412" s="672" t="s"/>
      <c r="O412" s="672" t="s"/>
      <c r="P412" s="672" t="s"/>
      <c r="Q412" s="672" t="s"/>
      <c r="R412" s="672" t="s"/>
      <c r="S412" s="673" t="s"/>
      <c r="T412" s="673" t="s"/>
      <c r="U412" s="124" t="s"/>
      <c r="V412" s="124" t="s"/>
      <c r="W412" s="124" t="s"/>
      <c r="X412" s="124" t="s"/>
      <c r="Y412" s="124" t="s"/>
      <c r="Z412" s="124" t="s"/>
      <c r="AA412" s="124" t="s"/>
      <c r="AB412" s="124" t="s"/>
      <c r="AC412" s="124" t="s"/>
      <c r="AD412" s="124" t="s"/>
      <c r="AE412" s="124" t="s"/>
      <c r="AF412" s="124" t="s"/>
      <c r="AG412" s="124" t="s"/>
      <c r="AH412" s="124" t="s"/>
    </row>
    <row r="413" spans="1:34" customHeight="false">
      <c r="A413" s="121" t="s"/>
      <c r="B413" s="166" t="s"/>
      <c r="C413" s="166" t="s"/>
      <c r="D413" s="166" t="s"/>
      <c r="E413" s="123" t="s"/>
      <c r="F413" s="123" t="s"/>
      <c r="G413" s="123" t="s"/>
      <c r="H413" s="123" t="s"/>
      <c r="I413" s="124" t="s"/>
      <c r="J413" s="125" t="s"/>
      <c r="K413" s="125" t="s"/>
      <c r="L413" s="125" t="s"/>
      <c r="M413" s="672" t="s"/>
      <c r="N413" s="672" t="s"/>
      <c r="O413" s="672" t="s"/>
      <c r="P413" s="672" t="s"/>
      <c r="Q413" s="672" t="s"/>
      <c r="R413" s="672" t="s"/>
      <c r="S413" s="673" t="s"/>
      <c r="T413" s="673" t="s"/>
      <c r="U413" s="124" t="s"/>
      <c r="V413" s="124" t="s"/>
      <c r="W413" s="124" t="s"/>
      <c r="X413" s="124" t="s"/>
      <c r="Y413" s="124" t="s"/>
      <c r="Z413" s="124" t="s"/>
      <c r="AA413" s="124" t="s"/>
      <c r="AB413" s="124" t="s"/>
      <c r="AC413" s="124" t="s"/>
      <c r="AD413" s="124" t="s"/>
      <c r="AE413" s="124" t="s"/>
      <c r="AF413" s="124" t="s"/>
      <c r="AG413" s="124" t="s"/>
      <c r="AH413" s="124" t="s"/>
    </row>
    <row r="414" spans="1:34" customHeight="false">
      <c r="A414" s="121" t="s"/>
      <c r="B414" s="166" t="s"/>
      <c r="C414" s="166" t="s"/>
      <c r="D414" s="166" t="s"/>
      <c r="E414" s="123" t="s"/>
      <c r="F414" s="123" t="s"/>
      <c r="G414" s="123" t="s"/>
      <c r="H414" s="123" t="s"/>
      <c r="I414" s="124" t="s"/>
      <c r="J414" s="125" t="s"/>
      <c r="K414" s="125" t="s"/>
      <c r="L414" s="125" t="s"/>
      <c r="M414" s="672" t="s"/>
      <c r="N414" s="672" t="s"/>
      <c r="O414" s="672" t="s"/>
      <c r="P414" s="672" t="s"/>
      <c r="Q414" s="672" t="s"/>
      <c r="R414" s="672" t="s"/>
      <c r="S414" s="673" t="s"/>
      <c r="T414" s="673" t="s"/>
      <c r="U414" s="124" t="s"/>
      <c r="V414" s="124" t="s"/>
      <c r="W414" s="124" t="s"/>
      <c r="X414" s="124" t="s"/>
      <c r="Y414" s="124" t="s"/>
      <c r="Z414" s="124" t="s"/>
      <c r="AA414" s="124" t="s"/>
      <c r="AB414" s="124" t="s"/>
      <c r="AC414" s="124" t="s"/>
      <c r="AD414" s="124" t="s"/>
      <c r="AE414" s="124" t="s"/>
      <c r="AF414" s="124" t="s"/>
      <c r="AG414" s="124" t="s"/>
      <c r="AH414" s="124" t="s"/>
    </row>
    <row r="415" spans="1:34" customHeight="false">
      <c r="A415" s="121" t="s"/>
      <c r="B415" s="166" t="s"/>
      <c r="C415" s="166" t="s"/>
      <c r="D415" s="166" t="s"/>
      <c r="E415" s="123" t="s"/>
      <c r="F415" s="123" t="s"/>
      <c r="G415" s="123" t="s"/>
      <c r="H415" s="123" t="s"/>
      <c r="I415" s="124" t="s"/>
      <c r="J415" s="125" t="s"/>
      <c r="K415" s="125" t="s"/>
      <c r="L415" s="125" t="s"/>
      <c r="M415" s="672" t="s"/>
      <c r="N415" s="672" t="s"/>
      <c r="O415" s="672" t="s"/>
      <c r="P415" s="672" t="s"/>
      <c r="Q415" s="672" t="s"/>
      <c r="R415" s="672" t="s"/>
      <c r="S415" s="673" t="s"/>
      <c r="T415" s="673" t="s"/>
      <c r="U415" s="124" t="s"/>
      <c r="V415" s="124" t="s"/>
      <c r="W415" s="124" t="s"/>
      <c r="X415" s="124" t="s"/>
      <c r="Y415" s="124" t="s"/>
      <c r="Z415" s="124" t="s"/>
      <c r="AA415" s="124" t="s"/>
      <c r="AB415" s="124" t="s"/>
      <c r="AC415" s="124" t="s"/>
      <c r="AD415" s="124" t="s"/>
      <c r="AE415" s="124" t="s"/>
      <c r="AF415" s="124" t="s"/>
      <c r="AG415" s="124" t="s"/>
      <c r="AH415" s="124" t="s"/>
    </row>
    <row r="416" spans="1:34" customHeight="false">
      <c r="A416" s="121" t="s"/>
      <c r="B416" s="166" t="s"/>
      <c r="C416" s="166" t="s"/>
      <c r="D416" s="166" t="s"/>
      <c r="E416" s="123" t="s"/>
      <c r="F416" s="123" t="s"/>
      <c r="G416" s="123" t="s"/>
      <c r="H416" s="123" t="s"/>
      <c r="I416" s="124" t="s"/>
      <c r="J416" s="125" t="s"/>
      <c r="K416" s="125" t="s"/>
      <c r="L416" s="125" t="s"/>
      <c r="M416" s="672" t="s"/>
      <c r="N416" s="672" t="s"/>
      <c r="O416" s="672" t="s"/>
      <c r="P416" s="672" t="s"/>
      <c r="Q416" s="672" t="s"/>
      <c r="R416" s="672" t="s"/>
      <c r="S416" s="673" t="s"/>
      <c r="T416" s="673" t="s"/>
      <c r="U416" s="124" t="s"/>
      <c r="V416" s="124" t="s"/>
      <c r="W416" s="124" t="s"/>
      <c r="X416" s="124" t="s"/>
      <c r="Y416" s="124" t="s"/>
      <c r="Z416" s="124" t="s"/>
      <c r="AA416" s="124" t="s"/>
      <c r="AB416" s="124" t="s"/>
      <c r="AC416" s="124" t="s"/>
      <c r="AD416" s="124" t="s"/>
      <c r="AE416" s="124" t="s"/>
      <c r="AF416" s="124" t="s"/>
      <c r="AG416" s="124" t="s"/>
      <c r="AH416" s="124" t="s"/>
    </row>
    <row r="417" spans="1:34" customHeight="false">
      <c r="A417" s="121" t="s"/>
      <c r="B417" s="166" t="s"/>
      <c r="C417" s="166" t="s"/>
      <c r="D417" s="166" t="s"/>
      <c r="E417" s="123" t="s"/>
      <c r="F417" s="123" t="s"/>
      <c r="G417" s="123" t="s"/>
      <c r="H417" s="123" t="s"/>
      <c r="I417" s="124" t="s"/>
      <c r="J417" s="125" t="s"/>
      <c r="K417" s="125" t="s"/>
      <c r="L417" s="125" t="s"/>
      <c r="M417" s="672" t="s"/>
      <c r="N417" s="672" t="s"/>
      <c r="O417" s="672" t="s"/>
      <c r="P417" s="672" t="s"/>
      <c r="Q417" s="672" t="s"/>
      <c r="R417" s="672" t="s"/>
      <c r="S417" s="673" t="s"/>
      <c r="T417" s="673" t="s"/>
      <c r="U417" s="124" t="s"/>
      <c r="V417" s="124" t="s"/>
      <c r="W417" s="124" t="s"/>
      <c r="X417" s="124" t="s"/>
      <c r="Y417" s="124" t="s"/>
      <c r="Z417" s="124" t="s"/>
      <c r="AA417" s="124" t="s"/>
      <c r="AB417" s="124" t="s"/>
      <c r="AC417" s="124" t="s"/>
      <c r="AD417" s="124" t="s"/>
      <c r="AE417" s="124" t="s"/>
      <c r="AF417" s="124" t="s"/>
      <c r="AG417" s="124" t="s"/>
      <c r="AH417" s="124" t="s"/>
    </row>
    <row r="418" spans="1:34" customHeight="false">
      <c r="A418" s="121" t="s"/>
      <c r="B418" s="166" t="s"/>
      <c r="C418" s="166" t="s"/>
      <c r="D418" s="166" t="s"/>
      <c r="E418" s="123" t="s"/>
      <c r="F418" s="123" t="s"/>
      <c r="G418" s="123" t="s"/>
      <c r="H418" s="123" t="s"/>
      <c r="I418" s="124" t="s"/>
      <c r="J418" s="125" t="s"/>
      <c r="K418" s="125" t="s"/>
      <c r="L418" s="125" t="s"/>
      <c r="M418" s="672" t="s"/>
      <c r="N418" s="672" t="s"/>
      <c r="O418" s="672" t="s"/>
      <c r="P418" s="672" t="s"/>
      <c r="Q418" s="672" t="s"/>
      <c r="R418" s="672" t="s"/>
      <c r="S418" s="673" t="s"/>
      <c r="T418" s="673" t="s"/>
      <c r="U418" s="124" t="s"/>
      <c r="V418" s="124" t="s"/>
      <c r="W418" s="124" t="s"/>
      <c r="X418" s="124" t="s"/>
      <c r="Y418" s="124" t="s"/>
      <c r="Z418" s="124" t="s"/>
      <c r="AA418" s="124" t="s"/>
      <c r="AB418" s="124" t="s"/>
      <c r="AC418" s="124" t="s"/>
      <c r="AD418" s="124" t="s"/>
      <c r="AE418" s="124" t="s"/>
      <c r="AF418" s="124" t="s"/>
      <c r="AG418" s="124" t="s"/>
      <c r="AH418" s="124" t="s"/>
    </row>
    <row r="419" spans="1:34" customHeight="false">
      <c r="A419" s="121" t="s"/>
      <c r="B419" s="166" t="s"/>
      <c r="C419" s="166" t="s"/>
      <c r="D419" s="166" t="s"/>
      <c r="E419" s="123" t="s"/>
      <c r="F419" s="123" t="s"/>
      <c r="G419" s="123" t="s"/>
      <c r="H419" s="123" t="s"/>
      <c r="I419" s="124" t="s"/>
      <c r="J419" s="125" t="s"/>
      <c r="K419" s="125" t="s"/>
      <c r="L419" s="125" t="s"/>
      <c r="M419" s="672" t="s"/>
      <c r="N419" s="672" t="s"/>
      <c r="O419" s="672" t="s"/>
      <c r="P419" s="672" t="s"/>
      <c r="Q419" s="672" t="s"/>
      <c r="R419" s="672" t="s"/>
      <c r="S419" s="673" t="s"/>
      <c r="T419" s="673" t="s"/>
      <c r="U419" s="124" t="s"/>
      <c r="V419" s="124" t="s"/>
      <c r="W419" s="124" t="s"/>
      <c r="X419" s="124" t="s"/>
      <c r="Y419" s="124" t="s"/>
      <c r="Z419" s="124" t="s"/>
      <c r="AA419" s="124" t="s"/>
      <c r="AB419" s="124" t="s"/>
      <c r="AC419" s="124" t="s"/>
      <c r="AD419" s="124" t="s"/>
      <c r="AE419" s="124" t="s"/>
      <c r="AF419" s="124" t="s"/>
      <c r="AG419" s="124" t="s"/>
      <c r="AH419" s="124" t="s"/>
    </row>
    <row r="420" spans="1:34" customHeight="false">
      <c r="A420" s="121" t="s"/>
      <c r="B420" s="166" t="s"/>
      <c r="C420" s="166" t="s"/>
      <c r="D420" s="166" t="s"/>
      <c r="E420" s="123" t="s"/>
      <c r="F420" s="123" t="s"/>
      <c r="G420" s="123" t="s"/>
      <c r="H420" s="123" t="s"/>
      <c r="I420" s="124" t="s"/>
      <c r="J420" s="125" t="s"/>
      <c r="K420" s="125" t="s"/>
      <c r="L420" s="125" t="s"/>
      <c r="M420" s="672" t="s"/>
      <c r="N420" s="672" t="s"/>
      <c r="O420" s="672" t="s"/>
      <c r="P420" s="672" t="s"/>
      <c r="Q420" s="672" t="s"/>
      <c r="R420" s="672" t="s"/>
      <c r="S420" s="673" t="s"/>
      <c r="T420" s="673" t="s"/>
      <c r="U420" s="124" t="s"/>
      <c r="V420" s="124" t="s"/>
      <c r="W420" s="124" t="s"/>
      <c r="X420" s="124" t="s"/>
      <c r="Y420" s="124" t="s"/>
      <c r="Z420" s="124" t="s"/>
      <c r="AA420" s="124" t="s"/>
      <c r="AB420" s="124" t="s"/>
      <c r="AC420" s="124" t="s"/>
      <c r="AD420" s="124" t="s"/>
      <c r="AE420" s="124" t="s"/>
      <c r="AF420" s="124" t="s"/>
      <c r="AG420" s="124" t="s"/>
      <c r="AH420" s="124" t="s"/>
    </row>
    <row r="421" spans="1:34" customHeight="false">
      <c r="A421" s="121" t="s"/>
      <c r="B421" s="166" t="s"/>
      <c r="C421" s="166" t="s"/>
      <c r="D421" s="166" t="s"/>
      <c r="E421" s="123" t="s"/>
      <c r="F421" s="123" t="s"/>
      <c r="G421" s="123" t="s"/>
      <c r="H421" s="123" t="s"/>
      <c r="I421" s="124" t="s"/>
      <c r="J421" s="125" t="s"/>
      <c r="K421" s="125" t="s"/>
      <c r="L421" s="125" t="s"/>
      <c r="M421" s="672" t="s"/>
      <c r="N421" s="672" t="s"/>
      <c r="O421" s="672" t="s"/>
      <c r="P421" s="672" t="s"/>
      <c r="Q421" s="672" t="s"/>
      <c r="R421" s="672" t="s"/>
      <c r="S421" s="673" t="s"/>
      <c r="T421" s="673" t="s"/>
      <c r="U421" s="124" t="s"/>
      <c r="V421" s="124" t="s"/>
      <c r="W421" s="124" t="s"/>
      <c r="X421" s="124" t="s"/>
      <c r="Y421" s="124" t="s"/>
      <c r="Z421" s="124" t="s"/>
      <c r="AA421" s="124" t="s"/>
      <c r="AB421" s="124" t="s"/>
      <c r="AC421" s="124" t="s"/>
      <c r="AD421" s="124" t="s"/>
      <c r="AE421" s="124" t="s"/>
      <c r="AF421" s="124" t="s"/>
      <c r="AG421" s="124" t="s"/>
      <c r="AH421" s="124" t="s"/>
    </row>
    <row r="422" spans="1:34" customHeight="false">
      <c r="A422" s="121" t="s"/>
      <c r="B422" s="166" t="s"/>
      <c r="C422" s="166" t="s"/>
      <c r="D422" s="166" t="s"/>
      <c r="E422" s="123" t="s"/>
      <c r="F422" s="123" t="s"/>
      <c r="G422" s="123" t="s"/>
      <c r="H422" s="123" t="s"/>
      <c r="I422" s="124" t="s"/>
      <c r="J422" s="125" t="s"/>
      <c r="K422" s="125" t="s"/>
      <c r="L422" s="125" t="s"/>
      <c r="M422" s="672" t="s"/>
      <c r="N422" s="672" t="s"/>
      <c r="O422" s="672" t="s"/>
      <c r="P422" s="672" t="s"/>
      <c r="Q422" s="672" t="s"/>
      <c r="R422" s="672" t="s"/>
      <c r="S422" s="673" t="s"/>
      <c r="T422" s="673" t="s"/>
      <c r="U422" s="124" t="s"/>
      <c r="V422" s="124" t="s"/>
      <c r="W422" s="124" t="s"/>
      <c r="X422" s="124" t="s"/>
      <c r="Y422" s="124" t="s"/>
      <c r="Z422" s="124" t="s"/>
      <c r="AA422" s="124" t="s"/>
      <c r="AB422" s="124" t="s"/>
      <c r="AC422" s="124" t="s"/>
      <c r="AD422" s="124" t="s"/>
      <c r="AE422" s="124" t="s"/>
      <c r="AF422" s="124" t="s"/>
      <c r="AG422" s="124" t="s"/>
      <c r="AH422" s="124" t="s"/>
    </row>
    <row r="423" spans="1:34" customHeight="false">
      <c r="A423" s="121" t="s"/>
      <c r="B423" s="166" t="s"/>
      <c r="C423" s="166" t="s"/>
      <c r="D423" s="166" t="s"/>
      <c r="E423" s="123" t="s"/>
      <c r="F423" s="123" t="s"/>
      <c r="G423" s="123" t="s"/>
      <c r="H423" s="123" t="s"/>
      <c r="I423" s="124" t="s"/>
      <c r="J423" s="125" t="s"/>
      <c r="K423" s="125" t="s"/>
      <c r="L423" s="125" t="s"/>
      <c r="M423" s="672" t="s"/>
      <c r="N423" s="672" t="s"/>
      <c r="O423" s="672" t="s"/>
      <c r="P423" s="672" t="s"/>
      <c r="Q423" s="672" t="s"/>
      <c r="R423" s="672" t="s"/>
      <c r="S423" s="673" t="s"/>
      <c r="T423" s="673" t="s"/>
      <c r="U423" s="124" t="s"/>
      <c r="V423" s="124" t="s"/>
      <c r="W423" s="124" t="s"/>
      <c r="X423" s="124" t="s"/>
      <c r="Y423" s="124" t="s"/>
      <c r="Z423" s="124" t="s"/>
      <c r="AA423" s="124" t="s"/>
      <c r="AB423" s="124" t="s"/>
      <c r="AC423" s="124" t="s"/>
      <c r="AD423" s="124" t="s"/>
      <c r="AE423" s="124" t="s"/>
      <c r="AF423" s="124" t="s"/>
      <c r="AG423" s="124" t="s"/>
      <c r="AH423" s="124" t="s"/>
    </row>
    <row r="424" spans="1:34" customHeight="false">
      <c r="A424" s="121" t="s"/>
      <c r="B424" s="166" t="s"/>
      <c r="C424" s="166" t="s"/>
      <c r="D424" s="166" t="s"/>
      <c r="E424" s="123" t="s"/>
      <c r="F424" s="123" t="s"/>
      <c r="G424" s="123" t="s"/>
      <c r="H424" s="123" t="s"/>
      <c r="I424" s="124" t="s"/>
      <c r="J424" s="125" t="s"/>
      <c r="K424" s="125" t="s"/>
      <c r="L424" s="125" t="s"/>
      <c r="M424" s="672" t="s"/>
      <c r="N424" s="672" t="s"/>
      <c r="O424" s="672" t="s"/>
      <c r="P424" s="672" t="s"/>
      <c r="Q424" s="672" t="s"/>
      <c r="R424" s="672" t="s"/>
      <c r="S424" s="673" t="s"/>
      <c r="T424" s="673" t="s"/>
      <c r="U424" s="124" t="s"/>
      <c r="V424" s="124" t="s"/>
      <c r="W424" s="124" t="s"/>
      <c r="X424" s="124" t="s"/>
      <c r="Y424" s="124" t="s"/>
      <c r="Z424" s="124" t="s"/>
      <c r="AA424" s="124" t="s"/>
      <c r="AB424" s="124" t="s"/>
      <c r="AC424" s="124" t="s"/>
      <c r="AD424" s="124" t="s"/>
      <c r="AE424" s="124" t="s"/>
      <c r="AF424" s="124" t="s"/>
      <c r="AG424" s="124" t="s"/>
      <c r="AH424" s="124" t="s"/>
    </row>
    <row r="425" spans="1:34" customHeight="false">
      <c r="A425" s="121" t="s"/>
      <c r="B425" s="166" t="s"/>
      <c r="C425" s="166" t="s"/>
      <c r="D425" s="166" t="s"/>
      <c r="E425" s="123" t="s"/>
      <c r="F425" s="123" t="s"/>
      <c r="G425" s="123" t="s"/>
      <c r="H425" s="123" t="s"/>
      <c r="I425" s="124" t="s"/>
      <c r="J425" s="125" t="s"/>
      <c r="K425" s="125" t="s"/>
      <c r="L425" s="125" t="s"/>
      <c r="M425" s="672" t="s"/>
      <c r="N425" s="672" t="s"/>
      <c r="O425" s="672" t="s"/>
      <c r="P425" s="672" t="s"/>
      <c r="Q425" s="672" t="s"/>
      <c r="R425" s="672" t="s"/>
      <c r="S425" s="673" t="s"/>
      <c r="T425" s="673" t="s"/>
      <c r="U425" s="124" t="s"/>
      <c r="V425" s="124" t="s"/>
      <c r="W425" s="124" t="s"/>
      <c r="X425" s="124" t="s"/>
      <c r="Y425" s="124" t="s"/>
      <c r="Z425" s="124" t="s"/>
      <c r="AA425" s="124" t="s"/>
      <c r="AB425" s="124" t="s"/>
      <c r="AC425" s="124" t="s"/>
      <c r="AD425" s="124" t="s"/>
      <c r="AE425" s="124" t="s"/>
      <c r="AF425" s="124" t="s"/>
      <c r="AG425" s="124" t="s"/>
      <c r="AH425" s="124" t="s"/>
    </row>
    <row r="426" spans="1:34" customHeight="false">
      <c r="A426" s="121" t="s"/>
      <c r="B426" s="166" t="s"/>
      <c r="C426" s="166" t="s"/>
      <c r="D426" s="166" t="s"/>
      <c r="E426" s="123" t="s"/>
      <c r="F426" s="123" t="s"/>
      <c r="G426" s="123" t="s"/>
      <c r="H426" s="123" t="s"/>
      <c r="I426" s="124" t="s"/>
      <c r="J426" s="125" t="s"/>
      <c r="K426" s="125" t="s"/>
      <c r="L426" s="125" t="s"/>
      <c r="M426" s="672" t="s"/>
      <c r="N426" s="672" t="s"/>
      <c r="O426" s="672" t="s"/>
      <c r="P426" s="672" t="s"/>
      <c r="Q426" s="672" t="s"/>
      <c r="R426" s="672" t="s"/>
      <c r="S426" s="673" t="s"/>
      <c r="T426" s="673" t="s"/>
      <c r="U426" s="124" t="s"/>
      <c r="V426" s="124" t="s"/>
      <c r="W426" s="124" t="s"/>
      <c r="X426" s="124" t="s"/>
      <c r="Y426" s="124" t="s"/>
      <c r="Z426" s="124" t="s"/>
      <c r="AA426" s="124" t="s"/>
      <c r="AB426" s="124" t="s"/>
      <c r="AC426" s="124" t="s"/>
      <c r="AD426" s="124" t="s"/>
      <c r="AE426" s="124" t="s"/>
      <c r="AF426" s="124" t="s"/>
      <c r="AG426" s="124" t="s"/>
      <c r="AH426" s="124" t="s"/>
    </row>
    <row r="427" spans="1:34" customHeight="false">
      <c r="A427" s="121" t="s"/>
      <c r="B427" s="166" t="s"/>
      <c r="C427" s="166" t="s"/>
      <c r="D427" s="166" t="s"/>
      <c r="E427" s="123" t="s"/>
      <c r="F427" s="123" t="s"/>
      <c r="G427" s="123" t="s"/>
      <c r="H427" s="123" t="s"/>
      <c r="I427" s="124" t="s"/>
      <c r="J427" s="125" t="s"/>
      <c r="K427" s="125" t="s"/>
      <c r="L427" s="125" t="s"/>
      <c r="M427" s="672" t="s"/>
      <c r="N427" s="672" t="s"/>
      <c r="O427" s="672" t="s"/>
      <c r="P427" s="672" t="s"/>
      <c r="Q427" s="672" t="s"/>
      <c r="R427" s="672" t="s"/>
      <c r="S427" s="673" t="s"/>
      <c r="T427" s="673" t="s"/>
      <c r="U427" s="124" t="s"/>
      <c r="V427" s="124" t="s"/>
      <c r="W427" s="124" t="s"/>
      <c r="X427" s="124" t="s"/>
      <c r="Y427" s="124" t="s"/>
      <c r="Z427" s="124" t="s"/>
      <c r="AA427" s="124" t="s"/>
      <c r="AB427" s="124" t="s"/>
      <c r="AC427" s="124" t="s"/>
      <c r="AD427" s="124" t="s"/>
      <c r="AE427" s="124" t="s"/>
      <c r="AF427" s="124" t="s"/>
      <c r="AG427" s="124" t="s"/>
      <c r="AH427" s="124" t="s"/>
    </row>
    <row r="428" spans="1:34" customHeight="false">
      <c r="A428" s="121" t="s"/>
      <c r="B428" s="166" t="s"/>
      <c r="C428" s="166" t="s"/>
      <c r="D428" s="166" t="s"/>
      <c r="E428" s="123" t="s"/>
      <c r="F428" s="123" t="s"/>
      <c r="G428" s="123" t="s"/>
      <c r="H428" s="123" t="s"/>
      <c r="I428" s="124" t="s"/>
      <c r="J428" s="125" t="s"/>
      <c r="K428" s="125" t="s"/>
      <c r="L428" s="125" t="s"/>
      <c r="M428" s="672" t="s"/>
      <c r="N428" s="672" t="s"/>
      <c r="O428" s="672" t="s"/>
      <c r="P428" s="672" t="s"/>
      <c r="Q428" s="672" t="s"/>
      <c r="R428" s="672" t="s"/>
      <c r="S428" s="673" t="s"/>
      <c r="T428" s="673" t="s"/>
      <c r="U428" s="124" t="s"/>
      <c r="V428" s="124" t="s"/>
      <c r="W428" s="124" t="s"/>
      <c r="X428" s="124" t="s"/>
      <c r="Y428" s="124" t="s"/>
      <c r="Z428" s="124" t="s"/>
      <c r="AA428" s="124" t="s"/>
      <c r="AB428" s="124" t="s"/>
      <c r="AC428" s="124" t="s"/>
      <c r="AD428" s="124" t="s"/>
      <c r="AE428" s="124" t="s"/>
      <c r="AF428" s="124" t="s"/>
      <c r="AG428" s="124" t="s"/>
      <c r="AH428" s="124" t="s"/>
    </row>
    <row r="429" spans="1:34" customHeight="false">
      <c r="A429" s="121" t="s"/>
      <c r="B429" s="166" t="s"/>
      <c r="C429" s="166" t="s"/>
      <c r="D429" s="166" t="s"/>
      <c r="E429" s="123" t="s"/>
      <c r="F429" s="123" t="s"/>
      <c r="G429" s="123" t="s"/>
      <c r="H429" s="123" t="s"/>
      <c r="I429" s="124" t="s"/>
      <c r="J429" s="125" t="s"/>
      <c r="K429" s="125" t="s"/>
      <c r="L429" s="125" t="s"/>
      <c r="M429" s="672" t="s"/>
      <c r="N429" s="672" t="s"/>
      <c r="O429" s="672" t="s"/>
      <c r="P429" s="672" t="s"/>
      <c r="Q429" s="672" t="s"/>
      <c r="R429" s="672" t="s"/>
      <c r="S429" s="673" t="s"/>
      <c r="T429" s="673" t="s"/>
      <c r="U429" s="124" t="s"/>
      <c r="V429" s="124" t="s"/>
      <c r="W429" s="124" t="s"/>
      <c r="X429" s="124" t="s"/>
      <c r="Y429" s="124" t="s"/>
      <c r="Z429" s="124" t="s"/>
      <c r="AA429" s="124" t="s"/>
      <c r="AB429" s="124" t="s"/>
      <c r="AC429" s="124" t="s"/>
      <c r="AD429" s="124" t="s"/>
      <c r="AE429" s="124" t="s"/>
      <c r="AF429" s="124" t="s"/>
      <c r="AG429" s="124" t="s"/>
      <c r="AH429" s="124" t="s"/>
    </row>
    <row r="430" spans="1:34" customHeight="false">
      <c r="A430" s="121" t="s"/>
      <c r="B430" s="166" t="s"/>
      <c r="C430" s="166" t="s"/>
      <c r="D430" s="166" t="s"/>
      <c r="E430" s="123" t="s"/>
      <c r="F430" s="123" t="s"/>
      <c r="G430" s="123" t="s"/>
      <c r="H430" s="123" t="s"/>
      <c r="I430" s="124" t="s"/>
      <c r="J430" s="125" t="s"/>
      <c r="K430" s="125" t="s"/>
      <c r="L430" s="125" t="s"/>
      <c r="M430" s="672" t="s"/>
      <c r="N430" s="672" t="s"/>
      <c r="O430" s="672" t="s"/>
      <c r="P430" s="672" t="s"/>
      <c r="Q430" s="672" t="s"/>
      <c r="R430" s="672" t="s"/>
      <c r="S430" s="673" t="s"/>
      <c r="T430" s="673" t="s"/>
      <c r="U430" s="124" t="s"/>
      <c r="V430" s="124" t="s"/>
      <c r="W430" s="124" t="s"/>
      <c r="X430" s="124" t="s"/>
      <c r="Y430" s="124" t="s"/>
      <c r="Z430" s="124" t="s"/>
      <c r="AA430" s="124" t="s"/>
      <c r="AB430" s="124" t="s"/>
      <c r="AC430" s="124" t="s"/>
      <c r="AD430" s="124" t="s"/>
      <c r="AE430" s="124" t="s"/>
      <c r="AF430" s="124" t="s"/>
      <c r="AG430" s="124" t="s"/>
      <c r="AH430" s="124" t="s"/>
    </row>
    <row r="431" spans="1:34" customHeight="false">
      <c r="A431" s="121" t="s"/>
      <c r="B431" s="166" t="s"/>
      <c r="C431" s="166" t="s"/>
      <c r="D431" s="166" t="s"/>
      <c r="E431" s="123" t="s"/>
      <c r="F431" s="123" t="s"/>
      <c r="G431" s="123" t="s"/>
      <c r="H431" s="123" t="s"/>
      <c r="I431" s="124" t="s"/>
      <c r="J431" s="125" t="s"/>
      <c r="K431" s="125" t="s"/>
      <c r="L431" s="125" t="s"/>
      <c r="M431" s="672" t="s"/>
      <c r="N431" s="672" t="s"/>
      <c r="O431" s="672" t="s"/>
      <c r="P431" s="672" t="s"/>
      <c r="Q431" s="672" t="s"/>
      <c r="R431" s="672" t="s"/>
      <c r="S431" s="673" t="s"/>
      <c r="T431" s="673" t="s"/>
      <c r="U431" s="124" t="s"/>
      <c r="V431" s="124" t="s"/>
      <c r="W431" s="124" t="s"/>
      <c r="X431" s="124" t="s"/>
      <c r="Y431" s="124" t="s"/>
      <c r="Z431" s="124" t="s"/>
      <c r="AA431" s="124" t="s"/>
      <c r="AB431" s="124" t="s"/>
      <c r="AC431" s="124" t="s"/>
      <c r="AD431" s="124" t="s"/>
      <c r="AE431" s="124" t="s"/>
      <c r="AF431" s="124" t="s"/>
      <c r="AG431" s="124" t="s"/>
      <c r="AH431" s="124" t="s"/>
    </row>
    <row r="432" spans="1:34" customHeight="false">
      <c r="A432" s="121" t="s"/>
      <c r="B432" s="166" t="s"/>
      <c r="C432" s="166" t="s"/>
      <c r="D432" s="166" t="s"/>
      <c r="E432" s="123" t="s"/>
      <c r="F432" s="123" t="s"/>
      <c r="G432" s="123" t="s"/>
      <c r="H432" s="123" t="s"/>
      <c r="I432" s="124" t="s"/>
      <c r="J432" s="125" t="s"/>
      <c r="K432" s="125" t="s"/>
      <c r="L432" s="125" t="s"/>
      <c r="M432" s="672" t="s"/>
      <c r="N432" s="672" t="s"/>
      <c r="O432" s="672" t="s"/>
      <c r="P432" s="672" t="s"/>
      <c r="Q432" s="672" t="s"/>
      <c r="R432" s="672" t="s"/>
      <c r="S432" s="673" t="s"/>
      <c r="T432" s="673" t="s"/>
      <c r="U432" s="124" t="s"/>
      <c r="V432" s="124" t="s"/>
      <c r="W432" s="124" t="s"/>
      <c r="X432" s="124" t="s"/>
      <c r="Y432" s="124" t="s"/>
      <c r="Z432" s="124" t="s"/>
      <c r="AA432" s="124" t="s"/>
      <c r="AB432" s="124" t="s"/>
      <c r="AC432" s="124" t="s"/>
      <c r="AD432" s="124" t="s"/>
      <c r="AE432" s="124" t="s"/>
      <c r="AF432" s="124" t="s"/>
      <c r="AG432" s="124" t="s"/>
      <c r="AH432" s="124" t="s"/>
    </row>
    <row r="433" spans="1:34" customHeight="false">
      <c r="A433" s="121" t="s"/>
      <c r="B433" s="166" t="s"/>
      <c r="C433" s="166" t="s"/>
      <c r="D433" s="166" t="s"/>
      <c r="E433" s="123" t="s"/>
      <c r="F433" s="123" t="s"/>
      <c r="G433" s="123" t="s"/>
      <c r="H433" s="123" t="s"/>
      <c r="I433" s="124" t="s"/>
      <c r="J433" s="125" t="s"/>
      <c r="K433" s="125" t="s"/>
      <c r="L433" s="125" t="s"/>
      <c r="M433" s="672" t="s"/>
      <c r="N433" s="672" t="s"/>
      <c r="O433" s="672" t="s"/>
      <c r="P433" s="672" t="s"/>
      <c r="Q433" s="672" t="s"/>
      <c r="R433" s="672" t="s"/>
      <c r="S433" s="673" t="s"/>
      <c r="T433" s="673" t="s"/>
      <c r="U433" s="124" t="s"/>
      <c r="V433" s="124" t="s"/>
      <c r="W433" s="124" t="s"/>
      <c r="X433" s="124" t="s"/>
      <c r="Y433" s="124" t="s"/>
      <c r="Z433" s="124" t="s"/>
      <c r="AA433" s="124" t="s"/>
      <c r="AB433" s="124" t="s"/>
      <c r="AC433" s="124" t="s"/>
      <c r="AD433" s="124" t="s"/>
      <c r="AE433" s="124" t="s"/>
      <c r="AF433" s="124" t="s"/>
      <c r="AG433" s="124" t="s"/>
      <c r="AH433" s="124" t="s"/>
    </row>
    <row r="434" spans="1:34" customHeight="false">
      <c r="A434" s="121" t="s"/>
      <c r="B434" s="166" t="s"/>
      <c r="C434" s="166" t="s"/>
      <c r="D434" s="166" t="s"/>
      <c r="E434" s="123" t="s"/>
      <c r="F434" s="123" t="s"/>
      <c r="G434" s="123" t="s"/>
      <c r="H434" s="123" t="s"/>
      <c r="I434" s="124" t="s"/>
      <c r="J434" s="125" t="s"/>
      <c r="K434" s="125" t="s"/>
      <c r="L434" s="125" t="s"/>
      <c r="M434" s="672" t="s"/>
      <c r="N434" s="672" t="s"/>
      <c r="O434" s="672" t="s"/>
      <c r="P434" s="672" t="s"/>
      <c r="Q434" s="672" t="s"/>
      <c r="R434" s="672" t="s"/>
      <c r="S434" s="673" t="s"/>
      <c r="T434" s="673" t="s"/>
      <c r="U434" s="124" t="s"/>
      <c r="V434" s="124" t="s"/>
      <c r="W434" s="124" t="s"/>
      <c r="X434" s="124" t="s"/>
      <c r="Y434" s="124" t="s"/>
      <c r="Z434" s="124" t="s"/>
      <c r="AA434" s="124" t="s"/>
      <c r="AB434" s="124" t="s"/>
      <c r="AC434" s="124" t="s"/>
      <c r="AD434" s="124" t="s"/>
      <c r="AE434" s="124" t="s"/>
      <c r="AF434" s="124" t="s"/>
      <c r="AG434" s="124" t="s"/>
      <c r="AH434" s="124" t="s"/>
    </row>
    <row r="435" spans="1:34" customHeight="false">
      <c r="A435" s="121" t="s"/>
      <c r="B435" s="166" t="s"/>
      <c r="C435" s="166" t="s"/>
      <c r="D435" s="166" t="s"/>
      <c r="E435" s="123" t="s"/>
      <c r="F435" s="123" t="s"/>
      <c r="G435" s="123" t="s"/>
      <c r="H435" s="123" t="s"/>
      <c r="I435" s="124" t="s"/>
      <c r="J435" s="125" t="s"/>
      <c r="K435" s="125" t="s"/>
      <c r="L435" s="125" t="s"/>
      <c r="M435" s="672" t="s"/>
      <c r="N435" s="672" t="s"/>
      <c r="O435" s="672" t="s"/>
      <c r="P435" s="672" t="s"/>
      <c r="Q435" s="672" t="s"/>
      <c r="R435" s="672" t="s"/>
      <c r="S435" s="673" t="s"/>
      <c r="T435" s="673" t="s"/>
      <c r="U435" s="124" t="s"/>
      <c r="V435" s="124" t="s"/>
      <c r="W435" s="124" t="s"/>
      <c r="X435" s="124" t="s"/>
      <c r="Y435" s="124" t="s"/>
      <c r="Z435" s="124" t="s"/>
      <c r="AA435" s="124" t="s"/>
      <c r="AB435" s="124" t="s"/>
      <c r="AC435" s="124" t="s"/>
      <c r="AD435" s="124" t="s"/>
      <c r="AE435" s="124" t="s"/>
      <c r="AF435" s="124" t="s"/>
      <c r="AG435" s="124" t="s"/>
      <c r="AH435" s="124" t="s"/>
    </row>
    <row r="436" spans="1:34" customHeight="false">
      <c r="A436" s="121" t="s"/>
      <c r="B436" s="166" t="s"/>
      <c r="C436" s="166" t="s"/>
      <c r="D436" s="166" t="s"/>
      <c r="E436" s="123" t="s"/>
      <c r="F436" s="123" t="s"/>
      <c r="G436" s="123" t="s"/>
      <c r="H436" s="123" t="s"/>
      <c r="I436" s="124" t="s"/>
      <c r="J436" s="125" t="s"/>
      <c r="K436" s="125" t="s"/>
      <c r="L436" s="125" t="s"/>
      <c r="M436" s="672" t="s"/>
      <c r="N436" s="672" t="s"/>
      <c r="O436" s="672" t="s"/>
      <c r="P436" s="672" t="s"/>
      <c r="Q436" s="672" t="s"/>
      <c r="R436" s="672" t="s"/>
      <c r="S436" s="673" t="s"/>
      <c r="T436" s="673" t="s"/>
      <c r="U436" s="124" t="s"/>
      <c r="V436" s="124" t="s"/>
      <c r="W436" s="124" t="s"/>
      <c r="X436" s="124" t="s"/>
      <c r="Y436" s="124" t="s"/>
      <c r="Z436" s="124" t="s"/>
      <c r="AA436" s="124" t="s"/>
      <c r="AB436" s="124" t="s"/>
      <c r="AC436" s="124" t="s"/>
      <c r="AD436" s="124" t="s"/>
      <c r="AE436" s="124" t="s"/>
      <c r="AF436" s="124" t="s"/>
      <c r="AG436" s="124" t="s"/>
      <c r="AH436" s="124" t="s"/>
    </row>
    <row r="437" spans="1:34" customHeight="false">
      <c r="A437" s="121" t="s"/>
      <c r="B437" s="166" t="s"/>
      <c r="C437" s="166" t="s"/>
      <c r="D437" s="166" t="s"/>
      <c r="E437" s="123" t="s"/>
      <c r="F437" s="123" t="s"/>
      <c r="G437" s="123" t="s"/>
      <c r="H437" s="123" t="s"/>
      <c r="I437" s="124" t="s"/>
      <c r="J437" s="125" t="s"/>
      <c r="K437" s="125" t="s"/>
      <c r="L437" s="125" t="s"/>
      <c r="M437" s="672" t="s"/>
      <c r="N437" s="672" t="s"/>
      <c r="O437" s="672" t="s"/>
      <c r="P437" s="672" t="s"/>
      <c r="Q437" s="672" t="s"/>
      <c r="R437" s="672" t="s"/>
      <c r="S437" s="673" t="s"/>
      <c r="T437" s="673" t="s"/>
      <c r="U437" s="124" t="s"/>
      <c r="V437" s="124" t="s"/>
      <c r="W437" s="124" t="s"/>
      <c r="X437" s="124" t="s"/>
      <c r="Y437" s="124" t="s"/>
      <c r="Z437" s="124" t="s"/>
      <c r="AA437" s="124" t="s"/>
      <c r="AB437" s="124" t="s"/>
      <c r="AC437" s="124" t="s"/>
      <c r="AD437" s="124" t="s"/>
      <c r="AE437" s="124" t="s"/>
      <c r="AF437" s="124" t="s"/>
      <c r="AG437" s="124" t="s"/>
      <c r="AH437" s="124" t="s"/>
    </row>
    <row r="438" spans="1:34" customHeight="false">
      <c r="A438" s="121" t="s"/>
      <c r="B438" s="166" t="s"/>
      <c r="C438" s="166" t="s"/>
      <c r="D438" s="166" t="s"/>
      <c r="E438" s="123" t="s"/>
      <c r="F438" s="123" t="s"/>
      <c r="G438" s="123" t="s"/>
      <c r="H438" s="123" t="s"/>
      <c r="I438" s="124" t="s"/>
      <c r="J438" s="125" t="s"/>
      <c r="K438" s="125" t="s"/>
      <c r="L438" s="125" t="s"/>
      <c r="M438" s="672" t="s"/>
      <c r="N438" s="672" t="s"/>
      <c r="O438" s="672" t="s"/>
      <c r="P438" s="672" t="s"/>
      <c r="Q438" s="672" t="s"/>
      <c r="R438" s="672" t="s"/>
      <c r="S438" s="673" t="s"/>
      <c r="T438" s="673" t="s"/>
      <c r="U438" s="124" t="s"/>
      <c r="V438" s="124" t="s"/>
      <c r="W438" s="124" t="s"/>
      <c r="X438" s="124" t="s"/>
      <c r="Y438" s="124" t="s"/>
      <c r="Z438" s="124" t="s"/>
      <c r="AA438" s="124" t="s"/>
      <c r="AB438" s="124" t="s"/>
      <c r="AC438" s="124" t="s"/>
      <c r="AD438" s="124" t="s"/>
      <c r="AE438" s="124" t="s"/>
      <c r="AF438" s="124" t="s"/>
      <c r="AG438" s="124" t="s"/>
      <c r="AH438" s="124" t="s"/>
    </row>
    <row r="439" spans="1:34" customHeight="false">
      <c r="A439" s="121" t="s"/>
      <c r="B439" s="166" t="s"/>
      <c r="C439" s="166" t="s"/>
      <c r="D439" s="166" t="s"/>
      <c r="E439" s="123" t="s"/>
      <c r="F439" s="123" t="s"/>
      <c r="G439" s="123" t="s"/>
      <c r="H439" s="123" t="s"/>
      <c r="I439" s="124" t="s"/>
      <c r="J439" s="125" t="s"/>
      <c r="K439" s="125" t="s"/>
      <c r="L439" s="125" t="s"/>
      <c r="M439" s="672" t="s"/>
      <c r="N439" s="672" t="s"/>
      <c r="O439" s="672" t="s"/>
      <c r="P439" s="672" t="s"/>
      <c r="Q439" s="672" t="s"/>
      <c r="R439" s="672" t="s"/>
      <c r="S439" s="673" t="s"/>
      <c r="T439" s="673" t="s"/>
      <c r="U439" s="124" t="s"/>
      <c r="V439" s="124" t="s"/>
      <c r="W439" s="124" t="s"/>
      <c r="X439" s="124" t="s"/>
      <c r="Y439" s="124" t="s"/>
      <c r="Z439" s="124" t="s"/>
      <c r="AA439" s="124" t="s"/>
      <c r="AB439" s="124" t="s"/>
      <c r="AC439" s="124" t="s"/>
      <c r="AD439" s="124" t="s"/>
      <c r="AE439" s="124" t="s"/>
      <c r="AF439" s="124" t="s"/>
      <c r="AG439" s="124" t="s"/>
      <c r="AH439" s="124" t="s"/>
    </row>
    <row r="440" spans="1:34" customHeight="false">
      <c r="A440" s="121" t="s"/>
      <c r="B440" s="166" t="s"/>
      <c r="C440" s="166" t="s"/>
      <c r="D440" s="166" t="s"/>
      <c r="E440" s="123" t="s"/>
      <c r="F440" s="123" t="s"/>
      <c r="G440" s="123" t="s"/>
      <c r="H440" s="123" t="s"/>
      <c r="I440" s="124" t="s"/>
      <c r="J440" s="125" t="s"/>
      <c r="K440" s="125" t="s"/>
      <c r="L440" s="125" t="s"/>
      <c r="M440" s="672" t="s"/>
      <c r="N440" s="672" t="s"/>
      <c r="O440" s="672" t="s"/>
      <c r="P440" s="672" t="s"/>
      <c r="Q440" s="672" t="s"/>
      <c r="R440" s="672" t="s"/>
      <c r="S440" s="673" t="s"/>
      <c r="T440" s="673" t="s"/>
      <c r="U440" s="124" t="s"/>
      <c r="V440" s="124" t="s"/>
      <c r="W440" s="124" t="s"/>
      <c r="X440" s="124" t="s"/>
      <c r="Y440" s="124" t="s"/>
      <c r="Z440" s="124" t="s"/>
      <c r="AA440" s="124" t="s"/>
      <c r="AB440" s="124" t="s"/>
      <c r="AC440" s="124" t="s"/>
      <c r="AD440" s="124" t="s"/>
      <c r="AE440" s="124" t="s"/>
      <c r="AF440" s="124" t="s"/>
      <c r="AG440" s="124" t="s"/>
      <c r="AH440" s="124" t="s"/>
    </row>
    <row r="441" spans="1:34" customHeight="false">
      <c r="A441" s="121" t="s"/>
      <c r="B441" s="166" t="s"/>
      <c r="C441" s="166" t="s"/>
      <c r="D441" s="166" t="s"/>
      <c r="E441" s="123" t="s"/>
      <c r="F441" s="123" t="s"/>
      <c r="G441" s="123" t="s"/>
      <c r="H441" s="123" t="s"/>
      <c r="I441" s="124" t="s"/>
      <c r="J441" s="125" t="s"/>
      <c r="K441" s="125" t="s"/>
      <c r="L441" s="125" t="s"/>
      <c r="M441" s="672" t="s"/>
      <c r="N441" s="672" t="s"/>
      <c r="O441" s="672" t="s"/>
      <c r="P441" s="672" t="s"/>
      <c r="Q441" s="672" t="s"/>
      <c r="R441" s="672" t="s"/>
      <c r="S441" s="673" t="s"/>
      <c r="T441" s="673" t="s"/>
      <c r="U441" s="124" t="s"/>
      <c r="V441" s="124" t="s"/>
      <c r="W441" s="124" t="s"/>
      <c r="X441" s="124" t="s"/>
      <c r="Y441" s="124" t="s"/>
      <c r="Z441" s="124" t="s"/>
      <c r="AA441" s="124" t="s"/>
      <c r="AB441" s="124" t="s"/>
      <c r="AC441" s="124" t="s"/>
      <c r="AD441" s="124" t="s"/>
      <c r="AE441" s="124" t="s"/>
      <c r="AF441" s="124" t="s"/>
      <c r="AG441" s="124" t="s"/>
      <c r="AH441" s="124" t="s"/>
    </row>
    <row r="442" spans="1:34" customHeight="false">
      <c r="A442" s="121" t="s"/>
      <c r="B442" s="166" t="s"/>
      <c r="C442" s="166" t="s"/>
      <c r="D442" s="166" t="s"/>
      <c r="E442" s="123" t="s"/>
      <c r="F442" s="123" t="s"/>
      <c r="G442" s="123" t="s"/>
      <c r="H442" s="123" t="s"/>
      <c r="I442" s="124" t="s"/>
      <c r="J442" s="125" t="s"/>
      <c r="K442" s="125" t="s"/>
      <c r="L442" s="125" t="s"/>
      <c r="M442" s="672" t="s"/>
      <c r="N442" s="672" t="s"/>
      <c r="O442" s="672" t="s"/>
      <c r="P442" s="672" t="s"/>
      <c r="Q442" s="672" t="s"/>
      <c r="R442" s="672" t="s"/>
      <c r="S442" s="673" t="s"/>
      <c r="T442" s="673" t="s"/>
      <c r="U442" s="124" t="s"/>
      <c r="V442" s="124" t="s"/>
      <c r="W442" s="124" t="s"/>
      <c r="X442" s="124" t="s"/>
      <c r="Y442" s="124" t="s"/>
      <c r="Z442" s="124" t="s"/>
      <c r="AA442" s="124" t="s"/>
      <c r="AB442" s="124" t="s"/>
      <c r="AC442" s="124" t="s"/>
      <c r="AD442" s="124" t="s"/>
      <c r="AE442" s="124" t="s"/>
      <c r="AF442" s="124" t="s"/>
      <c r="AG442" s="124" t="s"/>
      <c r="AH442" s="124" t="s"/>
    </row>
    <row r="443" spans="1:34" customHeight="false">
      <c r="A443" s="121" t="s"/>
      <c r="B443" s="166" t="s"/>
      <c r="C443" s="166" t="s"/>
      <c r="D443" s="166" t="s"/>
      <c r="E443" s="123" t="s"/>
      <c r="F443" s="123" t="s"/>
      <c r="G443" s="123" t="s"/>
      <c r="H443" s="123" t="s"/>
      <c r="I443" s="124" t="s"/>
      <c r="J443" s="125" t="s"/>
      <c r="K443" s="125" t="s"/>
      <c r="L443" s="125" t="s"/>
      <c r="M443" s="672" t="s"/>
      <c r="N443" s="672" t="s"/>
      <c r="O443" s="672" t="s"/>
      <c r="P443" s="672" t="s"/>
      <c r="Q443" s="672" t="s"/>
      <c r="R443" s="672" t="s"/>
      <c r="S443" s="673" t="s"/>
      <c r="T443" s="673" t="s"/>
      <c r="U443" s="124" t="s"/>
      <c r="V443" s="124" t="s"/>
      <c r="W443" s="124" t="s"/>
      <c r="X443" s="124" t="s"/>
      <c r="Y443" s="124" t="s"/>
      <c r="Z443" s="124" t="s"/>
      <c r="AA443" s="124" t="s"/>
      <c r="AB443" s="124" t="s"/>
      <c r="AC443" s="124" t="s"/>
      <c r="AD443" s="124" t="s"/>
      <c r="AE443" s="124" t="s"/>
      <c r="AF443" s="124" t="s"/>
      <c r="AG443" s="124" t="s"/>
      <c r="AH443" s="124" t="s"/>
    </row>
    <row r="444" spans="1:34" customHeight="false">
      <c r="A444" s="121" t="s"/>
      <c r="B444" s="166" t="s"/>
      <c r="C444" s="166" t="s"/>
      <c r="D444" s="166" t="s"/>
      <c r="E444" s="123" t="s"/>
      <c r="F444" s="123" t="s"/>
      <c r="G444" s="123" t="s"/>
      <c r="H444" s="123" t="s"/>
      <c r="I444" s="124" t="s"/>
      <c r="J444" s="125" t="s"/>
      <c r="K444" s="125" t="s"/>
      <c r="L444" s="125" t="s"/>
      <c r="M444" s="672" t="s"/>
      <c r="N444" s="672" t="s"/>
      <c r="O444" s="672" t="s"/>
      <c r="P444" s="672" t="s"/>
      <c r="Q444" s="672" t="s"/>
      <c r="R444" s="672" t="s"/>
      <c r="S444" s="673" t="s"/>
      <c r="T444" s="673" t="s"/>
      <c r="U444" s="124" t="s"/>
      <c r="V444" s="124" t="s"/>
      <c r="W444" s="124" t="s"/>
      <c r="X444" s="124" t="s"/>
      <c r="Y444" s="124" t="s"/>
      <c r="Z444" s="124" t="s"/>
      <c r="AA444" s="124" t="s"/>
      <c r="AB444" s="124" t="s"/>
      <c r="AC444" s="124" t="s"/>
      <c r="AD444" s="124" t="s"/>
      <c r="AE444" s="124" t="s"/>
      <c r="AF444" s="124" t="s"/>
      <c r="AG444" s="124" t="s"/>
      <c r="AH444" s="124" t="s"/>
    </row>
    <row r="445" spans="1:34" customHeight="false">
      <c r="A445" s="121" t="s"/>
      <c r="B445" s="166" t="s"/>
      <c r="C445" s="166" t="s"/>
      <c r="D445" s="166" t="s"/>
      <c r="E445" s="123" t="s"/>
      <c r="F445" s="123" t="s"/>
      <c r="G445" s="123" t="s"/>
      <c r="H445" s="123" t="s"/>
      <c r="I445" s="124" t="s"/>
      <c r="J445" s="125" t="s"/>
      <c r="K445" s="125" t="s"/>
      <c r="L445" s="125" t="s"/>
      <c r="M445" s="672" t="s"/>
      <c r="N445" s="672" t="s"/>
      <c r="O445" s="672" t="s"/>
      <c r="P445" s="672" t="s"/>
      <c r="Q445" s="672" t="s"/>
      <c r="R445" s="672" t="s"/>
      <c r="S445" s="673" t="s"/>
      <c r="T445" s="673" t="s"/>
      <c r="U445" s="124" t="s"/>
      <c r="V445" s="124" t="s"/>
      <c r="W445" s="124" t="s"/>
      <c r="X445" s="124" t="s"/>
      <c r="Y445" s="124" t="s"/>
      <c r="Z445" s="124" t="s"/>
      <c r="AA445" s="124" t="s"/>
      <c r="AB445" s="124" t="s"/>
      <c r="AC445" s="124" t="s"/>
      <c r="AD445" s="124" t="s"/>
      <c r="AE445" s="124" t="s"/>
      <c r="AF445" s="124" t="s"/>
      <c r="AG445" s="124" t="s"/>
      <c r="AH445" s="124" t="s"/>
    </row>
    <row r="446" spans="1:34" customHeight="false">
      <c r="A446" s="121" t="s"/>
      <c r="B446" s="166" t="s"/>
      <c r="C446" s="166" t="s"/>
      <c r="D446" s="166" t="s"/>
      <c r="E446" s="123" t="s"/>
      <c r="F446" s="123" t="s"/>
      <c r="G446" s="123" t="s"/>
      <c r="H446" s="123" t="s"/>
      <c r="I446" s="124" t="s"/>
      <c r="J446" s="125" t="s"/>
      <c r="K446" s="125" t="s"/>
      <c r="L446" s="125" t="s"/>
      <c r="M446" s="672" t="s"/>
      <c r="N446" s="672" t="s"/>
      <c r="O446" s="672" t="s"/>
      <c r="P446" s="672" t="s"/>
      <c r="Q446" s="672" t="s"/>
      <c r="R446" s="672" t="s"/>
      <c r="S446" s="673" t="s"/>
      <c r="T446" s="673" t="s"/>
      <c r="U446" s="124" t="s"/>
      <c r="V446" s="124" t="s"/>
      <c r="W446" s="124" t="s"/>
      <c r="X446" s="124" t="s"/>
      <c r="Y446" s="124" t="s"/>
      <c r="Z446" s="124" t="s"/>
      <c r="AA446" s="124" t="s"/>
      <c r="AB446" s="124" t="s"/>
      <c r="AC446" s="124" t="s"/>
      <c r="AD446" s="124" t="s"/>
      <c r="AE446" s="124" t="s"/>
      <c r="AF446" s="124" t="s"/>
      <c r="AG446" s="124" t="s"/>
      <c r="AH446" s="124" t="s"/>
    </row>
    <row r="447" spans="1:34" customHeight="false">
      <c r="A447" s="121" t="s"/>
      <c r="B447" s="166" t="s"/>
      <c r="C447" s="166" t="s"/>
      <c r="D447" s="166" t="s"/>
      <c r="E447" s="123" t="s"/>
      <c r="F447" s="123" t="s"/>
      <c r="G447" s="123" t="s"/>
      <c r="H447" s="123" t="s"/>
      <c r="I447" s="124" t="s"/>
      <c r="J447" s="125" t="s"/>
      <c r="K447" s="125" t="s"/>
      <c r="L447" s="125" t="s"/>
      <c r="M447" s="672" t="s"/>
      <c r="N447" s="672" t="s"/>
      <c r="O447" s="672" t="s"/>
      <c r="P447" s="672" t="s"/>
      <c r="Q447" s="672" t="s"/>
      <c r="R447" s="672" t="s"/>
      <c r="S447" s="673" t="s"/>
      <c r="T447" s="673" t="s"/>
      <c r="U447" s="124" t="s"/>
      <c r="V447" s="124" t="s"/>
      <c r="W447" s="124" t="s"/>
      <c r="X447" s="124" t="s"/>
      <c r="Y447" s="124" t="s"/>
      <c r="Z447" s="124" t="s"/>
      <c r="AA447" s="124" t="s"/>
      <c r="AB447" s="124" t="s"/>
      <c r="AC447" s="124" t="s"/>
      <c r="AD447" s="124" t="s"/>
      <c r="AE447" s="124" t="s"/>
      <c r="AF447" s="124" t="s"/>
      <c r="AG447" s="124" t="s"/>
      <c r="AH447" s="124" t="s"/>
    </row>
  </sheetData>
  <mergeCells count="129">
    <mergeCell ref="AG3:AJ3"/>
    <mergeCell ref="Y3:AB3"/>
    <mergeCell ref="U3:X3"/>
    <mergeCell ref="G3:H3"/>
    <mergeCell ref="B263:D263"/>
    <mergeCell ref="B270:D270"/>
    <mergeCell ref="B163:D163"/>
    <mergeCell ref="B159:D159"/>
    <mergeCell ref="B147:D147"/>
    <mergeCell ref="B25:D25"/>
    <mergeCell ref="B23:D23"/>
    <mergeCell ref="B20:D20"/>
    <mergeCell ref="B9:D9"/>
    <mergeCell ref="B6:D6"/>
    <mergeCell ref="G10:G14"/>
    <mergeCell ref="G15:G19"/>
    <mergeCell ref="W10:W14"/>
    <mergeCell ref="X10:X14"/>
    <mergeCell ref="W15:W19"/>
    <mergeCell ref="X15:X19"/>
    <mergeCell ref="S10:S14"/>
    <mergeCell ref="T10:T14"/>
    <mergeCell ref="S15:S19"/>
    <mergeCell ref="T15:T19"/>
    <mergeCell ref="H10:H14"/>
    <mergeCell ref="H15:H19"/>
    <mergeCell ref="D148:D149"/>
    <mergeCell ref="G148:G158"/>
    <mergeCell ref="H148:H158"/>
    <mergeCell ref="W148:W158"/>
    <mergeCell ref="X148:X158"/>
    <mergeCell ref="S148:S158"/>
    <mergeCell ref="T148:T158"/>
    <mergeCell ref="AA148:AA158"/>
    <mergeCell ref="AB148:AB158"/>
    <mergeCell ref="AA160:AA162"/>
    <mergeCell ref="AB160:AB162"/>
    <mergeCell ref="G164:G262"/>
    <mergeCell ref="A295:G295"/>
    <mergeCell ref="H164:H262"/>
    <mergeCell ref="T164:T262"/>
    <mergeCell ref="G264:G269"/>
    <mergeCell ref="H264:H269"/>
    <mergeCell ref="AE148:AE158"/>
    <mergeCell ref="AF148:AF158"/>
    <mergeCell ref="AI148:AI158"/>
    <mergeCell ref="AJ148:AJ158"/>
    <mergeCell ref="E3:E5"/>
    <mergeCell ref="C3:C5"/>
    <mergeCell ref="B3:B5"/>
    <mergeCell ref="A3:A5"/>
    <mergeCell ref="F3:F5"/>
    <mergeCell ref="D3:D5"/>
    <mergeCell ref="I4:I5"/>
    <mergeCell ref="J4:L4"/>
    <mergeCell ref="I3:L3"/>
    <mergeCell ref="M10:M14"/>
    <mergeCell ref="S164:S262"/>
    <mergeCell ref="M7:M8"/>
    <mergeCell ref="M15:M19"/>
    <mergeCell ref="M21:M22"/>
    <mergeCell ref="M148:M158"/>
    <mergeCell ref="M164:M262"/>
    <mergeCell ref="M3:N4"/>
    <mergeCell ref="O3:P4"/>
    <mergeCell ref="A1:AJ1"/>
    <mergeCell ref="A2:AJ2"/>
    <mergeCell ref="Q3:R4"/>
    <mergeCell ref="N7:N8"/>
    <mergeCell ref="N10:N14"/>
    <mergeCell ref="N15:N19"/>
    <mergeCell ref="N21:N22"/>
    <mergeCell ref="N148:N158"/>
    <mergeCell ref="N160:N162"/>
    <mergeCell ref="N164:N262"/>
    <mergeCell ref="Q266:Q267"/>
    <mergeCell ref="L15:L19"/>
    <mergeCell ref="J10:J14"/>
    <mergeCell ref="J15:J19"/>
    <mergeCell ref="K15:K19"/>
    <mergeCell ref="AA26:AA146"/>
    <mergeCell ref="S26:S146"/>
    <mergeCell ref="T26:T146"/>
    <mergeCell ref="AB26:AB146"/>
    <mergeCell ref="M26:M146"/>
    <mergeCell ref="N26:N146"/>
    <mergeCell ref="H26:H79"/>
    <mergeCell ref="G26:G79"/>
    <mergeCell ref="J164:J262"/>
    <mergeCell ref="K164:K262"/>
    <mergeCell ref="L164:L262"/>
    <mergeCell ref="L10:L14"/>
    <mergeCell ref="K10:K14"/>
    <mergeCell ref="K26:K146"/>
    <mergeCell ref="L26:L146"/>
    <mergeCell ref="J26:J146"/>
    <mergeCell ref="I26:I146"/>
    <mergeCell ref="J148:J158"/>
    <mergeCell ref="K148:K158"/>
    <mergeCell ref="L148:L158"/>
    <mergeCell ref="S3:T4"/>
    <mergeCell ref="O266:O267"/>
    <mergeCell ref="P266:P267"/>
    <mergeCell ref="R266:R267"/>
    <mergeCell ref="O164:O262"/>
    <mergeCell ref="P164:P262"/>
    <mergeCell ref="Q164:Q262"/>
    <mergeCell ref="R164:R262"/>
    <mergeCell ref="R160:R161"/>
    <mergeCell ref="O160:O162"/>
    <mergeCell ref="P160:P162"/>
    <mergeCell ref="O148:O158"/>
    <mergeCell ref="P148:P158"/>
    <mergeCell ref="Q148:Q158"/>
    <mergeCell ref="R148:R158"/>
    <mergeCell ref="O26:O146"/>
    <mergeCell ref="P26:P146"/>
    <mergeCell ref="Q26:Q146"/>
    <mergeCell ref="R26:R146"/>
    <mergeCell ref="Q15:Q19"/>
    <mergeCell ref="R15:R19"/>
    <mergeCell ref="O15:O19"/>
    <mergeCell ref="P15:P19"/>
    <mergeCell ref="Q10:Q14"/>
    <mergeCell ref="R10:R14"/>
    <mergeCell ref="O10:O14"/>
    <mergeCell ref="P10:P14"/>
    <mergeCell ref="O7:O8"/>
    <mergeCell ref="P7:P8"/>
  </mergeCells>
  <hyperlinks>
    <hyperlink ref="Z148" r:id="rId0"/>
    <hyperlink ref="Z149" r:id="rId0"/>
    <hyperlink ref="Z150" r:id="rId0"/>
    <hyperlink ref="Z151" r:id="rId0"/>
    <hyperlink ref="Z152" r:id="rId0"/>
    <hyperlink ref="Z153" r:id="rId0"/>
    <hyperlink ref="Z154" r:id="rId0"/>
    <hyperlink ref="Z155" r:id="rId0"/>
    <hyperlink ref="Z156" r:id="rId0"/>
    <hyperlink ref="Z157" r:id="rId0"/>
    <hyperlink ref="Z158" r:id="rId0"/>
  </hyperlinks>
</worksheet>
</file>

<file path=xl/worksheets/sheet3.xml><?xml version="1.0" encoding="utf-8"?>
<worksheet xmlns="http://schemas.openxmlformats.org/spreadsheetml/2006/main">
  <sheetPr codeName="工艺专业">
    <tabColor rgb="FFFFFFFF"/>
  </sheetPr>
  <dimension ref="AM296"/>
  <sheetViews>
    <sheetView showGridLines="true" rightToLeft="false" workbookViewId="0">
      <pane xSplit="6" ySplit="5" topLeftCell="G6" state="frozen"/>
    </sheetView>
  </sheetViews>
  <cols>
    <col min="1" max="1" width="5.00391" customWidth="true"/>
    <col min="2" max="2" width="17.8633" customWidth="true"/>
    <col min="3" max="3" width="33.3125" hidden="true" customWidth="true"/>
    <col min="4" max="4" width="39.1133" style="1003" customWidth="true"/>
    <col min="5" max="5" width="6.87109" customWidth="true"/>
    <col min="6" max="6" width="6.74219" customWidth="true"/>
    <col min="7" max="7" width="8.43359" customWidth="true"/>
    <col min="8" max="8" width="11.8633" customWidth="true"/>
    <col min="9" max="9" width="7.71094" customWidth="true"/>
    <col min="10" max="10" width="7.71094" style="1004" customWidth="true"/>
    <col min="11" max="12" width="7.71094" style="1005" customWidth="true"/>
    <col min="13" max="15" width="13.6211" style="999" customWidth="true"/>
    <col min="16" max="17" width="10.793" style="999" customWidth="true"/>
    <col min="18" max="18" width="9.17188" style="999" customWidth="true"/>
    <col min="19" max="19" width="7.71094" style="1006" customWidth="true"/>
    <col min="20" max="20" width="7.71094" customWidth="true"/>
    <col min="21" max="21" width="10.1133" customWidth="true"/>
    <col min="22" max="22" width="9.98438" customWidth="true"/>
    <col min="23" max="23" width="9.44141" style="1007" customWidth="true"/>
    <col min="24" max="24" width="9.44141" style="1008" customWidth="true"/>
    <col min="25" max="25" width="9.44141" customWidth="true"/>
    <col min="26" max="26" width="7.71094" customWidth="true"/>
    <col min="27" max="27" width="10.9219" customWidth="true"/>
    <col min="28" max="28" width="9.71094" customWidth="true"/>
    <col min="29" max="29" width="9.71094" style="1007" customWidth="true"/>
    <col min="30" max="31" width="9.71094" customWidth="true"/>
    <col min="32" max="32" width="7.71094" customWidth="true"/>
    <col min="33" max="33" width="11.0625" customWidth="true"/>
    <col min="34" max="34" width="9.71094" customWidth="true"/>
    <col min="35" max="35" width="9.71094" style="1009" customWidth="true"/>
    <col min="36" max="37" width="9.71094" customWidth="true"/>
    <col min="38" max="38" width="8.63281" customWidth="true"/>
    <col min="39" max="39" width="10.3828" customWidth="true"/>
    <col min="40" max="40" width="9.71094" customWidth="true"/>
    <col min="41" max="42" width="9.71094" customWidth="true"/>
    <col min="43" max="43" width="9.71094" hidden="true" customWidth="true"/>
  </cols>
  <sheetData>
    <row r="1" spans="1:43" ht="39" customHeight="true">
      <c r="A1" s="343" t="s">
        <v>1</v>
      </c>
      <c r="B1" s="344" t="s"/>
      <c r="C1" s="344" t="s"/>
      <c r="D1" s="344" t="s"/>
      <c r="E1" s="344" t="s"/>
      <c r="F1" s="344" t="s"/>
      <c r="G1" s="344" t="s"/>
      <c r="H1" s="344" t="s"/>
      <c r="I1" s="345" t="s"/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345" t="s"/>
      <c r="U1" s="345" t="s"/>
      <c r="V1" s="345" t="s"/>
      <c r="W1" s="7" t="s"/>
      <c r="X1" s="7" t="s"/>
      <c r="Y1" s="345" t="s"/>
      <c r="Z1" s="345" t="s"/>
      <c r="AA1" s="345" t="s"/>
      <c r="AB1" s="345" t="s"/>
      <c r="AC1" s="7" t="s"/>
      <c r="AD1" s="7" t="s"/>
      <c r="AE1" s="345" t="s"/>
      <c r="AF1" s="345" t="s"/>
      <c r="AG1" s="345" t="s"/>
      <c r="AH1" s="345" t="s"/>
      <c r="AI1" s="7" t="s"/>
      <c r="AJ1" s="7" t="s"/>
      <c r="AK1" s="345" t="s"/>
      <c r="AL1" s="345" t="s"/>
      <c r="AM1" s="345" t="s"/>
      <c r="AN1" s="345" t="s"/>
      <c r="AO1" s="7" t="s"/>
      <c r="AP1" s="7" t="s"/>
      <c r="AQ1" s="345" t="s"/>
    </row>
    <row r="2" spans="1:43" customHeight="false">
      <c r="A2" s="346" t="s">
        <v>574</v>
      </c>
      <c r="B2" s="9" t="s"/>
      <c r="C2" s="9" t="s"/>
      <c r="D2" s="9" t="s"/>
      <c r="E2" s="9" t="s"/>
      <c r="F2" s="9" t="s"/>
      <c r="G2" s="9" t="s"/>
      <c r="H2" s="9" t="s"/>
      <c r="I2" s="10" t="s"/>
      <c r="J2" s="347" t="s"/>
      <c r="K2" s="347" t="s"/>
      <c r="L2" s="347" t="s"/>
      <c r="M2" s="348" t="s"/>
      <c r="N2" s="348" t="s"/>
      <c r="O2" s="348" t="s"/>
      <c r="P2" s="348" t="s"/>
      <c r="Q2" s="348" t="s"/>
      <c r="R2" s="11" t="s"/>
      <c r="S2" s="11" t="s"/>
      <c r="T2" s="9" t="s"/>
      <c r="U2" s="9" t="s"/>
      <c r="V2" s="9" t="s"/>
      <c r="W2" s="11" t="s"/>
      <c r="X2" s="11" t="s"/>
      <c r="Y2" s="9" t="s"/>
      <c r="Z2" s="9" t="s"/>
      <c r="AA2" s="9" t="s"/>
      <c r="AB2" s="9" t="s"/>
      <c r="AC2" s="11" t="s"/>
      <c r="AD2" s="11" t="s"/>
      <c r="AE2" s="9" t="s"/>
      <c r="AF2" s="9" t="s"/>
      <c r="AG2" s="9" t="s"/>
      <c r="AH2" s="9" t="s"/>
      <c r="AI2" s="11" t="s"/>
      <c r="AJ2" s="11" t="s"/>
      <c r="AK2" s="9" t="s"/>
      <c r="AL2" s="9" t="s"/>
      <c r="AM2" s="9" t="s"/>
      <c r="AN2" s="9" t="s"/>
      <c r="AO2" s="11" t="s"/>
      <c r="AP2" s="11" t="s"/>
      <c r="AQ2" s="9" t="s"/>
    </row>
    <row r="3" spans="1:43">
      <c r="A3" s="349" t="s">
        <v>3</v>
      </c>
      <c r="B3" s="350" t="s">
        <v>4</v>
      </c>
      <c r="C3" s="351" t="s">
        <v>5</v>
      </c>
      <c r="D3" s="351" t="s">
        <v>6</v>
      </c>
      <c r="E3" s="349" t="s">
        <v>7</v>
      </c>
      <c r="F3" s="349" t="s">
        <v>8</v>
      </c>
      <c r="G3" s="352" t="s">
        <v>9</v>
      </c>
      <c r="H3" s="353" t="s"/>
      <c r="I3" s="354" t="s">
        <v>575</v>
      </c>
      <c r="J3" s="355" t="s"/>
      <c r="K3" s="355" t="s"/>
      <c r="L3" s="355" t="s"/>
      <c r="M3" s="356" t="s"/>
      <c r="N3" s="357" t="s"/>
      <c r="O3" s="358" t="s">
        <v>576</v>
      </c>
      <c r="P3" s="359" t="s">
        <v>577</v>
      </c>
      <c r="Q3" s="358" t="s">
        <v>578</v>
      </c>
      <c r="R3" s="360" t="s">
        <v>579</v>
      </c>
      <c r="S3" s="361" t="s">
        <v>580</v>
      </c>
      <c r="T3" s="362" t="s">
        <v>12</v>
      </c>
      <c r="U3" s="363" t="s"/>
      <c r="V3" s="363" t="s"/>
      <c r="W3" s="364" t="s"/>
      <c r="X3" s="365" t="s"/>
      <c r="Y3" s="366" t="s"/>
      <c r="Z3" s="362" t="s">
        <v>13</v>
      </c>
      <c r="AA3" s="363" t="s"/>
      <c r="AB3" s="363" t="s"/>
      <c r="AC3" s="365" t="s"/>
      <c r="AD3" s="365" t="s"/>
      <c r="AE3" s="366" t="s"/>
      <c r="AF3" s="362" t="s">
        <v>14</v>
      </c>
      <c r="AG3" s="363" t="s"/>
      <c r="AH3" s="363" t="s"/>
      <c r="AI3" s="365" t="s"/>
      <c r="AJ3" s="365" t="s"/>
      <c r="AK3" s="366" t="s"/>
      <c r="AL3" s="362" t="s">
        <v>15</v>
      </c>
      <c r="AM3" s="363" t="s"/>
      <c r="AN3" s="363" t="s"/>
      <c r="AO3" s="365" t="s"/>
      <c r="AP3" s="365" t="s"/>
      <c r="AQ3" s="366" t="s"/>
    </row>
    <row r="4" spans="1:43" customHeight="false">
      <c r="A4" s="227" t="s"/>
      <c r="B4" s="367" t="s"/>
      <c r="C4" s="368" t="s"/>
      <c r="D4" s="368" t="s"/>
      <c r="E4" s="227" t="s"/>
      <c r="F4" s="227" t="s"/>
      <c r="G4" s="369" t="s"/>
      <c r="H4" s="370" t="s"/>
      <c r="I4" s="371" t="s">
        <v>10</v>
      </c>
      <c r="J4" s="371" t="s">
        <v>11</v>
      </c>
      <c r="K4" s="372" t="s"/>
      <c r="L4" s="373" t="s"/>
      <c r="M4" s="374" t="s">
        <v>581</v>
      </c>
      <c r="N4" s="356" t="s"/>
      <c r="O4" s="9" t="s"/>
      <c r="P4" s="61" t="s"/>
      <c r="Q4" s="9" t="s"/>
      <c r="R4" s="375" t="s"/>
      <c r="S4" s="57" t="s"/>
      <c r="T4" s="369" t="s"/>
      <c r="U4" s="376" t="s"/>
      <c r="V4" s="376" t="s"/>
      <c r="W4" s="364" t="s"/>
      <c r="X4" s="365" t="s"/>
      <c r="Y4" s="377" t="s"/>
      <c r="Z4" s="369" t="s"/>
      <c r="AA4" s="376" t="s"/>
      <c r="AB4" s="376" t="s"/>
      <c r="AC4" s="365" t="s"/>
      <c r="AD4" s="365" t="s"/>
      <c r="AE4" s="377" t="s"/>
      <c r="AF4" s="369" t="s"/>
      <c r="AG4" s="376" t="s"/>
      <c r="AH4" s="376" t="s"/>
      <c r="AI4" s="365" t="s"/>
      <c r="AJ4" s="365" t="s"/>
      <c r="AK4" s="377" t="s"/>
      <c r="AL4" s="369" t="s"/>
      <c r="AM4" s="376" t="s"/>
      <c r="AN4" s="376" t="s"/>
      <c r="AO4" s="365" t="s"/>
      <c r="AP4" s="365" t="s"/>
      <c r="AQ4" s="377" t="s"/>
    </row>
    <row r="5" spans="1:43" ht="21" customHeight="true">
      <c r="A5" s="24" t="s"/>
      <c r="B5" s="24" t="s"/>
      <c r="C5" s="220" t="s"/>
      <c r="D5" s="220" t="s"/>
      <c r="E5" s="220" t="s"/>
      <c r="F5" s="220" t="s"/>
      <c r="G5" s="378" t="s">
        <v>16</v>
      </c>
      <c r="H5" s="378" t="s">
        <v>17</v>
      </c>
      <c r="I5" s="371" t="s"/>
      <c r="J5" s="108" t="s">
        <v>18</v>
      </c>
      <c r="K5" s="27" t="s">
        <v>19</v>
      </c>
      <c r="L5" s="379" t="s">
        <v>20</v>
      </c>
      <c r="M5" s="374" t="s">
        <v>582</v>
      </c>
      <c r="N5" s="374" t="s">
        <v>374</v>
      </c>
      <c r="O5" s="380" t="s">
        <v>19</v>
      </c>
      <c r="P5" s="380" t="s">
        <v>19</v>
      </c>
      <c r="Q5" s="380" t="s">
        <v>19</v>
      </c>
      <c r="R5" s="381" t="s"/>
      <c r="S5" s="61" t="s"/>
      <c r="T5" s="382" t="s">
        <v>21</v>
      </c>
      <c r="U5" s="382" t="s">
        <v>22</v>
      </c>
      <c r="V5" s="382" t="s">
        <v>19</v>
      </c>
      <c r="W5" s="383" t="s">
        <v>583</v>
      </c>
      <c r="X5" s="384" t="s">
        <v>584</v>
      </c>
      <c r="Y5" s="382" t="s">
        <v>20</v>
      </c>
      <c r="Z5" s="382" t="s">
        <v>21</v>
      </c>
      <c r="AA5" s="382" t="s">
        <v>22</v>
      </c>
      <c r="AB5" s="382" t="s">
        <v>19</v>
      </c>
      <c r="AC5" s="383" t="s">
        <v>583</v>
      </c>
      <c r="AD5" s="384" t="s">
        <v>584</v>
      </c>
      <c r="AE5" s="382" t="s">
        <v>20</v>
      </c>
      <c r="AF5" s="385" t="s">
        <v>21</v>
      </c>
      <c r="AG5" s="386" t="s">
        <v>22</v>
      </c>
      <c r="AH5" s="382" t="s">
        <v>19</v>
      </c>
      <c r="AI5" s="387" t="s">
        <v>583</v>
      </c>
      <c r="AJ5" s="384" t="s">
        <v>584</v>
      </c>
      <c r="AK5" s="382" t="s">
        <v>20</v>
      </c>
      <c r="AL5" s="382" t="s">
        <v>21</v>
      </c>
      <c r="AM5" s="382" t="s">
        <v>22</v>
      </c>
      <c r="AN5" s="382" t="s">
        <v>19</v>
      </c>
      <c r="AO5" s="17" t="s">
        <v>583</v>
      </c>
      <c r="AP5" s="384" t="s">
        <v>584</v>
      </c>
      <c r="AQ5" s="382" t="s">
        <v>20</v>
      </c>
    </row>
    <row r="6" spans="1:43" ht="21" customHeight="true">
      <c r="A6" s="388" t="s">
        <v>377</v>
      </c>
      <c r="B6" s="389" t="s">
        <v>585</v>
      </c>
      <c r="C6" s="390" t="s"/>
      <c r="D6" s="391" t="s"/>
      <c r="E6" s="392" t="s"/>
      <c r="F6" s="392" t="s"/>
      <c r="G6" s="392" t="s"/>
      <c r="H6" s="393" t="s"/>
      <c r="I6" s="394" t="s"/>
      <c r="J6" s="395" t="s"/>
      <c r="K6" s="396" t="s"/>
      <c r="L6" s="396" t="s"/>
      <c r="M6" s="397" t="s"/>
      <c r="N6" s="397" t="s"/>
      <c r="O6" s="397" t="s"/>
      <c r="P6" s="397" t="s"/>
      <c r="Q6" s="397" t="s"/>
      <c r="R6" s="398" t="s"/>
      <c r="S6" s="399" t="s"/>
      <c r="T6" s="400" t="s"/>
      <c r="U6" s="400" t="s"/>
      <c r="V6" s="401" t="s"/>
      <c r="W6" s="402" t="s"/>
      <c r="X6" s="403" t="s"/>
      <c r="Y6" s="401" t="s"/>
      <c r="Z6" s="400" t="s"/>
      <c r="AA6" s="400" t="s"/>
      <c r="AB6" s="401" t="s"/>
      <c r="AC6" s="402" t="s"/>
      <c r="AD6" s="42" t="s"/>
      <c r="AE6" s="401" t="s"/>
      <c r="AF6" s="400" t="s"/>
      <c r="AG6" s="400" t="s"/>
      <c r="AH6" s="400" t="s"/>
      <c r="AI6" s="387" t="s"/>
      <c r="AJ6" s="41" t="s"/>
      <c r="AK6" s="400" t="s"/>
      <c r="AL6" s="391" t="s"/>
      <c r="AM6" s="391" t="s"/>
      <c r="AN6" s="401" t="s"/>
      <c r="AO6" s="42" t="s"/>
      <c r="AP6" s="42" t="s"/>
      <c r="AQ6" s="401" t="s"/>
    </row>
    <row r="7" spans="1:43" s="999" customHeight="false">
      <c r="A7" s="404">
        <v>1</v>
      </c>
      <c r="B7" s="391" t="s">
        <v>586</v>
      </c>
      <c r="C7" s="391" t="s"/>
      <c r="D7" s="391" t="s">
        <v>587</v>
      </c>
      <c r="E7" s="404" t="s">
        <v>32</v>
      </c>
      <c r="F7" s="404">
        <v>1</v>
      </c>
      <c r="G7" s="404">
        <f>=416700</f>
        <v>416700</v>
      </c>
      <c r="H7" s="405">
        <f>=G7*F7</f>
        <v>416700</v>
      </c>
      <c r="I7" s="406">
        <v>1</v>
      </c>
      <c r="J7" s="407">
        <f>=AC7</f>
        <v>0.2</v>
      </c>
      <c r="K7" s="83">
        <f>=S7</f>
        <v>119200</v>
      </c>
      <c r="L7" s="83">
        <f>=F7*K7</f>
        <v>119200</v>
      </c>
      <c r="M7" s="398" t="s"/>
      <c r="N7" s="398" t="s"/>
      <c r="O7" s="398">
        <v>400000</v>
      </c>
      <c r="P7" s="398" t="s">
        <v>588</v>
      </c>
      <c r="Q7" s="398" t="s">
        <v>589</v>
      </c>
      <c r="R7" s="398">
        <f>=AVERAGE(X7,AD7,AJ7,AP7)</f>
        <v>299200</v>
      </c>
      <c r="S7" s="399">
        <f>=MIN(X7,AD7,AJ7,AP7)</f>
        <v>119200</v>
      </c>
      <c r="T7" s="400" t="s">
        <v>590</v>
      </c>
      <c r="U7" s="400" t="s">
        <v>591</v>
      </c>
      <c r="V7" s="391">
        <v>490000</v>
      </c>
      <c r="W7" s="383">
        <v>0.2</v>
      </c>
      <c r="X7" s="408">
        <f>=V7*(1-W7)</f>
        <v>392000</v>
      </c>
      <c r="Y7" s="391">
        <f>=X7*I7</f>
        <v>392000</v>
      </c>
      <c r="Z7" s="400" t="s">
        <v>592</v>
      </c>
      <c r="AA7" s="400" t="s">
        <v>593</v>
      </c>
      <c r="AB7" s="391">
        <v>149000</v>
      </c>
      <c r="AC7" s="383">
        <v>0.2</v>
      </c>
      <c r="AD7" s="41">
        <f>=AB7*(1-AC7)</f>
        <v>119200</v>
      </c>
      <c r="AE7" s="391">
        <f>=AB7*I7</f>
        <v>149000</v>
      </c>
      <c r="AF7" s="400" t="s">
        <v>594</v>
      </c>
      <c r="AG7" s="400" t="s">
        <v>595</v>
      </c>
      <c r="AH7" s="400">
        <v>386400</v>
      </c>
      <c r="AI7" s="387" t="s"/>
      <c r="AJ7" s="41">
        <f>=AH7*(1-AI7)</f>
        <v>386400</v>
      </c>
      <c r="AK7" s="400">
        <f>=AH7*I7</f>
        <v>386400</v>
      </c>
      <c r="AL7" s="400" t="s"/>
      <c r="AM7" s="400" t="s"/>
      <c r="AN7" s="391" t="s"/>
      <c r="AO7" s="41" t="s"/>
      <c r="AP7" s="41" t="s"/>
      <c r="AQ7" s="391" t="s"/>
    </row>
    <row r="8" spans="1:43" s="999" customHeight="false">
      <c r="A8" s="404">
        <v>3</v>
      </c>
      <c r="B8" s="391" t="s">
        <v>596</v>
      </c>
      <c r="C8" s="391" t="s"/>
      <c r="D8" s="391" t="s">
        <v>597</v>
      </c>
      <c r="E8" s="404" t="s">
        <v>32</v>
      </c>
      <c r="F8" s="404">
        <v>3</v>
      </c>
      <c r="G8" s="404">
        <v>123800</v>
      </c>
      <c r="H8" s="405">
        <f>=G8*F8</f>
        <v>371400</v>
      </c>
      <c r="I8" s="406">
        <v>3</v>
      </c>
      <c r="J8" s="407">
        <f>=AC8</f>
        <v>0.2</v>
      </c>
      <c r="K8" s="83">
        <f>=S8</f>
        <v>47920</v>
      </c>
      <c r="L8" s="83">
        <f>=F8*K8</f>
        <v>143760</v>
      </c>
      <c r="M8" s="398" t="s"/>
      <c r="N8" s="398" t="s"/>
      <c r="O8" s="398" t="s">
        <v>598</v>
      </c>
      <c r="P8" s="398" t="s">
        <v>599</v>
      </c>
      <c r="Q8" s="398" t="s">
        <v>600</v>
      </c>
      <c r="R8" s="398">
        <f>=AVERAGE(X8,AD8,AJ8,AP8)</f>
        <v>74760</v>
      </c>
      <c r="S8" s="399">
        <f>=MIN(X8,AD8,AJ8,AP8)</f>
        <v>47920</v>
      </c>
      <c r="T8" s="391" t="s">
        <v>590</v>
      </c>
      <c r="U8" s="400" t="s">
        <v>591</v>
      </c>
      <c r="V8" s="391">
        <v>118000</v>
      </c>
      <c r="W8" s="383">
        <v>0.2</v>
      </c>
      <c r="X8" s="408">
        <f>=V8*(1-W8)</f>
        <v>94400</v>
      </c>
      <c r="Y8" s="391">
        <f>=X8*I8</f>
        <v>283200</v>
      </c>
      <c r="Z8" s="391" t="s">
        <v>592</v>
      </c>
      <c r="AA8" s="391" t="s">
        <v>593</v>
      </c>
      <c r="AB8" s="391">
        <v>59900</v>
      </c>
      <c r="AC8" s="383">
        <v>0.2</v>
      </c>
      <c r="AD8" s="41">
        <f>=AB8*(1-AC8)</f>
        <v>47920</v>
      </c>
      <c r="AE8" s="391">
        <f>=AB8*I8</f>
        <v>179700</v>
      </c>
      <c r="AF8" s="400" t="s">
        <v>594</v>
      </c>
      <c r="AG8" s="400" t="s">
        <v>595</v>
      </c>
      <c r="AH8" s="391">
        <v>81960</v>
      </c>
      <c r="AI8" s="387" t="s"/>
      <c r="AJ8" s="41">
        <f>=AH8*(1-AI8)</f>
        <v>81960</v>
      </c>
      <c r="AK8" s="391">
        <f>=AH8*I8</f>
        <v>245880</v>
      </c>
      <c r="AL8" s="400" t="s"/>
      <c r="AM8" s="400" t="s"/>
      <c r="AN8" s="391" t="s"/>
      <c r="AO8" s="41" t="s"/>
      <c r="AP8" s="41" t="s"/>
      <c r="AQ8" s="391" t="s"/>
    </row>
    <row r="9" spans="1:43" s="999" customHeight="false">
      <c r="A9" s="404">
        <v>4</v>
      </c>
      <c r="B9" s="391" t="s">
        <v>601</v>
      </c>
      <c r="C9" s="391" t="s"/>
      <c r="D9" s="391" t="s">
        <v>602</v>
      </c>
      <c r="E9" s="404" t="s">
        <v>32</v>
      </c>
      <c r="F9" s="404">
        <v>2</v>
      </c>
      <c r="G9" s="404">
        <v>241700</v>
      </c>
      <c r="H9" s="405">
        <f>=G9*F9</f>
        <v>483400</v>
      </c>
      <c r="I9" s="406">
        <v>2</v>
      </c>
      <c r="J9" s="407">
        <f>=AC9</f>
        <v>0.2</v>
      </c>
      <c r="K9" s="83">
        <f>=S9</f>
        <v>228000</v>
      </c>
      <c r="L9" s="83">
        <f>=F9*K9</f>
        <v>456000</v>
      </c>
      <c r="M9" s="398" t="s"/>
      <c r="N9" s="398" t="s"/>
      <c r="O9" s="398" t="s"/>
      <c r="P9" s="398" t="s"/>
      <c r="Q9" s="398">
        <v>180000</v>
      </c>
      <c r="R9" s="398">
        <f>=AVERAGE(X9,AD9,AJ9,AP9)</f>
        <v>356533.333333333</v>
      </c>
      <c r="S9" s="399">
        <f>=MIN(X9,AD9,AJ9,AP9)</f>
        <v>228000</v>
      </c>
      <c r="T9" s="400" t="s">
        <v>590</v>
      </c>
      <c r="U9" s="400" t="s">
        <v>591</v>
      </c>
      <c r="V9" s="404">
        <v>650000</v>
      </c>
      <c r="W9" s="383">
        <v>0.2</v>
      </c>
      <c r="X9" s="408">
        <f>=V9*(1-W9)</f>
        <v>520000</v>
      </c>
      <c r="Y9" s="391">
        <f>=X9*I9</f>
        <v>1040000</v>
      </c>
      <c r="Z9" s="400" t="s">
        <v>592</v>
      </c>
      <c r="AA9" s="400" t="s">
        <v>593</v>
      </c>
      <c r="AB9" s="391">
        <v>285000</v>
      </c>
      <c r="AC9" s="383">
        <v>0.2</v>
      </c>
      <c r="AD9" s="41">
        <f>=AB9*(1-AC9)</f>
        <v>228000</v>
      </c>
      <c r="AE9" s="391">
        <f>=AB9*I9</f>
        <v>570000</v>
      </c>
      <c r="AF9" s="400" t="s">
        <v>594</v>
      </c>
      <c r="AG9" s="400" t="s">
        <v>595</v>
      </c>
      <c r="AH9" s="41">
        <v>321600</v>
      </c>
      <c r="AI9" s="387" t="s"/>
      <c r="AJ9" s="41">
        <f>=AH9*(1-AI9)</f>
        <v>321600</v>
      </c>
      <c r="AK9" s="41">
        <f>=AH9*I9</f>
        <v>643200</v>
      </c>
      <c r="AL9" s="400" t="s"/>
      <c r="AM9" s="400" t="s"/>
      <c r="AN9" s="391" t="s"/>
      <c r="AO9" s="41" t="s"/>
      <c r="AP9" s="41" t="s"/>
      <c r="AQ9" s="391" t="s"/>
    </row>
    <row r="10" spans="1:43" s="999" customHeight="false">
      <c r="A10" s="404">
        <v>5</v>
      </c>
      <c r="B10" s="391" t="s">
        <v>603</v>
      </c>
      <c r="C10" s="391" t="s"/>
      <c r="D10" s="391" t="s">
        <v>597</v>
      </c>
      <c r="E10" s="404" t="s">
        <v>32</v>
      </c>
      <c r="F10" s="404">
        <v>3</v>
      </c>
      <c r="G10" s="404">
        <v>123900</v>
      </c>
      <c r="H10" s="405">
        <f>=G10*F10</f>
        <v>371700</v>
      </c>
      <c r="I10" s="406">
        <v>3</v>
      </c>
      <c r="J10" s="407">
        <f>=AC10</f>
        <v>0.2</v>
      </c>
      <c r="K10" s="83">
        <f>=S10</f>
        <v>47920</v>
      </c>
      <c r="L10" s="83">
        <f>=F10*K10</f>
        <v>143760</v>
      </c>
      <c r="M10" s="398" t="s"/>
      <c r="N10" s="398" t="s"/>
      <c r="O10" s="398" t="s">
        <v>598</v>
      </c>
      <c r="P10" s="398" t="s">
        <v>599</v>
      </c>
      <c r="Q10" s="398">
        <v>107265</v>
      </c>
      <c r="R10" s="398">
        <f>=AVERAGE(X10,AD10,AJ10,AP10)</f>
        <v>74760</v>
      </c>
      <c r="S10" s="399">
        <f>=MIN(X10,AD10,AJ10,AP10)</f>
        <v>47920</v>
      </c>
      <c r="T10" s="400" t="s">
        <v>590</v>
      </c>
      <c r="U10" s="400" t="s">
        <v>591</v>
      </c>
      <c r="V10" s="391">
        <v>118000</v>
      </c>
      <c r="W10" s="383">
        <v>0.2</v>
      </c>
      <c r="X10" s="408">
        <f>=V10*(1-W10)</f>
        <v>94400</v>
      </c>
      <c r="Y10" s="391">
        <f>=X10*I10</f>
        <v>283200</v>
      </c>
      <c r="Z10" s="400" t="s">
        <v>592</v>
      </c>
      <c r="AA10" s="400" t="s">
        <v>593</v>
      </c>
      <c r="AB10" s="391">
        <v>59900</v>
      </c>
      <c r="AC10" s="383">
        <v>0.2</v>
      </c>
      <c r="AD10" s="41">
        <f>=AB10*(1-AC10)</f>
        <v>47920</v>
      </c>
      <c r="AE10" s="391">
        <f>=AB10*I10</f>
        <v>179700</v>
      </c>
      <c r="AF10" s="400" t="s">
        <v>594</v>
      </c>
      <c r="AG10" s="400" t="s">
        <v>595</v>
      </c>
      <c r="AH10" s="41">
        <v>81960</v>
      </c>
      <c r="AI10" s="387" t="s"/>
      <c r="AJ10" s="41">
        <f>=AH10*(1-AI10)</f>
        <v>81960</v>
      </c>
      <c r="AK10" s="41">
        <f>=AH10*I10</f>
        <v>245880</v>
      </c>
      <c r="AL10" s="400" t="s"/>
      <c r="AM10" s="400" t="s"/>
      <c r="AN10" s="391" t="s"/>
      <c r="AO10" s="41" t="s"/>
      <c r="AP10" s="41" t="s"/>
      <c r="AQ10" s="391" t="s"/>
    </row>
    <row r="11" spans="1:43" s="999" customHeight="false">
      <c r="A11" s="404">
        <v>6</v>
      </c>
      <c r="B11" s="391" t="s">
        <v>604</v>
      </c>
      <c r="C11" s="391" t="s"/>
      <c r="D11" s="391" t="s">
        <v>597</v>
      </c>
      <c r="E11" s="404" t="s">
        <v>32</v>
      </c>
      <c r="F11" s="404">
        <v>3</v>
      </c>
      <c r="G11" s="404">
        <v>124000</v>
      </c>
      <c r="H11" s="405">
        <f>=G11*F11</f>
        <v>372000</v>
      </c>
      <c r="I11" s="406">
        <v>3</v>
      </c>
      <c r="J11" s="407">
        <f>=AC11</f>
        <v>0.2</v>
      </c>
      <c r="K11" s="83">
        <f>=S11</f>
        <v>47920</v>
      </c>
      <c r="L11" s="83">
        <f>=F11*K11</f>
        <v>143760</v>
      </c>
      <c r="M11" s="398" t="s"/>
      <c r="N11" s="398" t="s"/>
      <c r="O11" s="398" t="s">
        <v>598</v>
      </c>
      <c r="P11" s="398" t="s">
        <v>599</v>
      </c>
      <c r="Q11" s="398">
        <v>107265</v>
      </c>
      <c r="R11" s="398">
        <f>=AVERAGE(X11,AD11,AJ11,AP11)</f>
        <v>74760</v>
      </c>
      <c r="S11" s="399">
        <f>=MIN(X11,AD11,AJ11,AP11)</f>
        <v>47920</v>
      </c>
      <c r="T11" s="400" t="s">
        <v>590</v>
      </c>
      <c r="U11" s="400" t="s">
        <v>591</v>
      </c>
      <c r="V11" s="391">
        <v>118000</v>
      </c>
      <c r="W11" s="383">
        <v>0.2</v>
      </c>
      <c r="X11" s="408">
        <f>=V11*(1-W11)</f>
        <v>94400</v>
      </c>
      <c r="Y11" s="391">
        <f>=X11*I11</f>
        <v>283200</v>
      </c>
      <c r="Z11" s="400" t="s">
        <v>592</v>
      </c>
      <c r="AA11" s="400" t="s">
        <v>593</v>
      </c>
      <c r="AB11" s="391">
        <v>59900</v>
      </c>
      <c r="AC11" s="383">
        <v>0.2</v>
      </c>
      <c r="AD11" s="41">
        <f>=AB11*(1-AC11)</f>
        <v>47920</v>
      </c>
      <c r="AE11" s="391">
        <f>=AB11*I11</f>
        <v>179700</v>
      </c>
      <c r="AF11" s="400" t="s">
        <v>594</v>
      </c>
      <c r="AG11" s="400" t="s">
        <v>595</v>
      </c>
      <c r="AH11" s="41">
        <v>81960</v>
      </c>
      <c r="AI11" s="387" t="s"/>
      <c r="AJ11" s="41">
        <f>=AH11*(1-AI11)</f>
        <v>81960</v>
      </c>
      <c r="AK11" s="41">
        <f>=AH11*I11</f>
        <v>245880</v>
      </c>
      <c r="AL11" s="400" t="s"/>
      <c r="AM11" s="400" t="s"/>
      <c r="AN11" s="391" t="s"/>
      <c r="AO11" s="41" t="s"/>
      <c r="AP11" s="41" t="s"/>
      <c r="AQ11" s="391" t="s"/>
    </row>
    <row r="12" spans="1:43" s="999" customHeight="false">
      <c r="A12" s="404">
        <v>7</v>
      </c>
      <c r="B12" s="391" t="s">
        <v>605</v>
      </c>
      <c r="C12" s="391" t="s"/>
      <c r="D12" s="391" t="s">
        <v>606</v>
      </c>
      <c r="E12" s="404" t="s">
        <v>32</v>
      </c>
      <c r="F12" s="404">
        <v>1</v>
      </c>
      <c r="G12" s="404">
        <v>50400</v>
      </c>
      <c r="H12" s="405">
        <f>=G12*F12</f>
        <v>50400</v>
      </c>
      <c r="I12" s="406">
        <v>1</v>
      </c>
      <c r="J12" s="407">
        <f>=W12</f>
        <v>0.2</v>
      </c>
      <c r="K12" s="83">
        <f>=S12</f>
        <v>54400</v>
      </c>
      <c r="L12" s="83">
        <f>=F12*K12</f>
        <v>54400</v>
      </c>
      <c r="M12" s="398" t="s"/>
      <c r="N12" s="398" t="s"/>
      <c r="O12" s="398" t="s">
        <v>607</v>
      </c>
      <c r="P12" s="398" t="s"/>
      <c r="Q12" s="398" t="s">
        <v>608</v>
      </c>
      <c r="R12" s="398">
        <f>=AVERAGE(X12,AD12,AJ12,AP12)</f>
        <v>88000</v>
      </c>
      <c r="S12" s="399">
        <f>=MIN(X12,AD12,AJ12,AP12)</f>
        <v>54400</v>
      </c>
      <c r="T12" s="400" t="s">
        <v>590</v>
      </c>
      <c r="U12" s="400" t="s">
        <v>591</v>
      </c>
      <c r="V12" s="404">
        <v>68000</v>
      </c>
      <c r="W12" s="383">
        <v>0.2</v>
      </c>
      <c r="X12" s="408">
        <f>=V12*(1-W12)</f>
        <v>54400</v>
      </c>
      <c r="Y12" s="391">
        <f>=X12*I12</f>
        <v>54400</v>
      </c>
      <c r="Z12" s="400" t="s">
        <v>592</v>
      </c>
      <c r="AA12" s="400" t="s">
        <v>593</v>
      </c>
      <c r="AB12" s="391">
        <v>115000</v>
      </c>
      <c r="AC12" s="383">
        <v>0.2</v>
      </c>
      <c r="AD12" s="41">
        <f>=AB12*(1-AC12)</f>
        <v>92000</v>
      </c>
      <c r="AE12" s="391">
        <f>=AB12*I12</f>
        <v>115000</v>
      </c>
      <c r="AF12" s="400" t="s">
        <v>594</v>
      </c>
      <c r="AG12" s="400" t="s">
        <v>595</v>
      </c>
      <c r="AH12" s="41">
        <v>117600</v>
      </c>
      <c r="AI12" s="387" t="s"/>
      <c r="AJ12" s="41">
        <f>=AH12*(1-AI12)</f>
        <v>117600</v>
      </c>
      <c r="AK12" s="41">
        <f>=AH12*I12</f>
        <v>117600</v>
      </c>
      <c r="AL12" s="400" t="s"/>
      <c r="AM12" s="400" t="s"/>
      <c r="AN12" s="391" t="s"/>
      <c r="AO12" s="41" t="s"/>
      <c r="AP12" s="41" t="s"/>
      <c r="AQ12" s="391" t="s"/>
    </row>
    <row r="13" spans="1:43" s="999" customHeight="false">
      <c r="A13" s="404">
        <v>8</v>
      </c>
      <c r="B13" s="391" t="s">
        <v>605</v>
      </c>
      <c r="C13" s="391" t="s"/>
      <c r="D13" s="391" t="s">
        <v>606</v>
      </c>
      <c r="E13" s="404" t="s">
        <v>32</v>
      </c>
      <c r="F13" s="404">
        <v>1</v>
      </c>
      <c r="G13" s="404">
        <v>66300</v>
      </c>
      <c r="H13" s="405">
        <f>=G13*F13</f>
        <v>66300</v>
      </c>
      <c r="I13" s="406">
        <v>1</v>
      </c>
      <c r="J13" s="407">
        <f>=W13</f>
        <v>0.2</v>
      </c>
      <c r="K13" s="83">
        <f>=S13</f>
        <v>54400</v>
      </c>
      <c r="L13" s="83">
        <f>=F13*K13</f>
        <v>54400</v>
      </c>
      <c r="M13" s="398" t="s"/>
      <c r="N13" s="398" t="s"/>
      <c r="O13" s="398" t="s">
        <v>607</v>
      </c>
      <c r="P13" s="398" t="s"/>
      <c r="Q13" s="398" t="s">
        <v>608</v>
      </c>
      <c r="R13" s="398">
        <f>=AVERAGE(X13,AD13,AJ13,AP13)</f>
        <v>88000</v>
      </c>
      <c r="S13" s="399">
        <f>=MIN(X13,AD13,AJ13,AP13)</f>
        <v>54400</v>
      </c>
      <c r="T13" s="400" t="s">
        <v>590</v>
      </c>
      <c r="U13" s="400" t="s">
        <v>591</v>
      </c>
      <c r="V13" s="404">
        <v>68000</v>
      </c>
      <c r="W13" s="383">
        <v>0.2</v>
      </c>
      <c r="X13" s="408">
        <f>=V13*(1-W13)</f>
        <v>54400</v>
      </c>
      <c r="Y13" s="391">
        <f>=X13*I13</f>
        <v>54400</v>
      </c>
      <c r="Z13" s="400" t="s">
        <v>592</v>
      </c>
      <c r="AA13" s="400" t="s">
        <v>593</v>
      </c>
      <c r="AB13" s="391">
        <v>115000</v>
      </c>
      <c r="AC13" s="383">
        <v>0.2</v>
      </c>
      <c r="AD13" s="41">
        <f>=AB13*(1-AC13)</f>
        <v>92000</v>
      </c>
      <c r="AE13" s="391">
        <f>=AB13*I13</f>
        <v>115000</v>
      </c>
      <c r="AF13" s="400" t="s">
        <v>594</v>
      </c>
      <c r="AG13" s="400" t="s">
        <v>595</v>
      </c>
      <c r="AH13" s="41">
        <v>117600</v>
      </c>
      <c r="AI13" s="387" t="s"/>
      <c r="AJ13" s="41">
        <f>=AH13*(1-AI13)</f>
        <v>117600</v>
      </c>
      <c r="AK13" s="41">
        <f>=AH13*I13</f>
        <v>117600</v>
      </c>
      <c r="AL13" s="400" t="s"/>
      <c r="AM13" s="400" t="s"/>
      <c r="AN13" s="391" t="s"/>
      <c r="AO13" s="41" t="s"/>
      <c r="AP13" s="41" t="s"/>
      <c r="AQ13" s="391" t="s"/>
    </row>
    <row r="14" spans="1:43" s="999" customHeight="false">
      <c r="A14" s="404">
        <v>9</v>
      </c>
      <c r="B14" s="391" t="s">
        <v>609</v>
      </c>
      <c r="C14" s="391" t="s"/>
      <c r="D14" s="391" t="s">
        <v>610</v>
      </c>
      <c r="E14" s="404" t="s">
        <v>45</v>
      </c>
      <c r="F14" s="404">
        <v>1</v>
      </c>
      <c r="G14" s="404">
        <v>5200</v>
      </c>
      <c r="H14" s="405">
        <f>=G14*F14</f>
        <v>5200</v>
      </c>
      <c r="I14" s="406">
        <v>1</v>
      </c>
      <c r="J14" s="407">
        <f>=AC14</f>
        <v>0.2</v>
      </c>
      <c r="K14" s="83">
        <f>=S14</f>
        <v>5200</v>
      </c>
      <c r="L14" s="83">
        <f>=F14*K14</f>
        <v>5200</v>
      </c>
      <c r="M14" s="398" t="s"/>
      <c r="N14" s="398" t="s"/>
      <c r="O14" s="398">
        <v>6000</v>
      </c>
      <c r="P14" s="398" t="s"/>
      <c r="Q14" s="398">
        <v>5000</v>
      </c>
      <c r="R14" s="398">
        <f>=AVERAGE(X14,AD14,AJ14,AP14)</f>
        <v>6466.66666666667</v>
      </c>
      <c r="S14" s="399">
        <f>=MIN(X14,AD14,AJ14,AP14)</f>
        <v>5200</v>
      </c>
      <c r="T14" s="400" t="s">
        <v>590</v>
      </c>
      <c r="U14" s="400" t="s">
        <v>591</v>
      </c>
      <c r="V14" s="404">
        <v>8000</v>
      </c>
      <c r="W14" s="383">
        <v>0.2</v>
      </c>
      <c r="X14" s="408">
        <f>=V14*(1-W14)</f>
        <v>6400</v>
      </c>
      <c r="Y14" s="391">
        <f>=X14*I14</f>
        <v>6400</v>
      </c>
      <c r="Z14" s="400" t="s">
        <v>592</v>
      </c>
      <c r="AA14" s="400" t="s">
        <v>593</v>
      </c>
      <c r="AB14" s="391">
        <v>6500</v>
      </c>
      <c r="AC14" s="383">
        <v>0.2</v>
      </c>
      <c r="AD14" s="41">
        <f>=AB14*(1-AC14)</f>
        <v>5200</v>
      </c>
      <c r="AE14" s="391">
        <f>=AB14*I14</f>
        <v>6500</v>
      </c>
      <c r="AF14" s="400" t="s">
        <v>594</v>
      </c>
      <c r="AG14" s="400" t="s">
        <v>595</v>
      </c>
      <c r="AH14" s="41">
        <v>7800</v>
      </c>
      <c r="AI14" s="387" t="s"/>
      <c r="AJ14" s="41">
        <f>=AH14*(1-AI14)</f>
        <v>7800</v>
      </c>
      <c r="AK14" s="41">
        <f>=AH14*I14</f>
        <v>7800</v>
      </c>
      <c r="AL14" s="400" t="s"/>
      <c r="AM14" s="400" t="s"/>
      <c r="AN14" s="391" t="s"/>
      <c r="AO14" s="41" t="s"/>
      <c r="AP14" s="41" t="s"/>
      <c r="AQ14" s="391" t="s"/>
    </row>
    <row r="15" spans="1:43" s="999" customHeight="false">
      <c r="A15" s="404">
        <v>10</v>
      </c>
      <c r="B15" s="391" t="s">
        <v>611</v>
      </c>
      <c r="C15" s="391" t="s"/>
      <c r="D15" s="391" t="s">
        <v>612</v>
      </c>
      <c r="E15" s="404" t="s">
        <v>32</v>
      </c>
      <c r="F15" s="404">
        <v>1</v>
      </c>
      <c r="G15" s="404">
        <v>33600</v>
      </c>
      <c r="H15" s="405">
        <f>=G15*F15</f>
        <v>33600</v>
      </c>
      <c r="I15" s="406">
        <v>1</v>
      </c>
      <c r="J15" s="407">
        <f>=AI15</f>
        <v>0</v>
      </c>
      <c r="K15" s="83">
        <f>=S15</f>
        <v>14500</v>
      </c>
      <c r="L15" s="83">
        <f>=F15*K15</f>
        <v>14500</v>
      </c>
      <c r="M15" s="398" t="s"/>
      <c r="N15" s="398" t="s"/>
      <c r="O15" s="398" t="s">
        <v>613</v>
      </c>
      <c r="P15" s="398">
        <v>30000</v>
      </c>
      <c r="Q15" s="398" t="s">
        <v>614</v>
      </c>
      <c r="R15" s="398">
        <f>=AVERAGE(X15,AD15,AJ15,AP15)</f>
        <v>48000</v>
      </c>
      <c r="S15" s="399">
        <f>=MIN(X15,AD15,AJ15,AP15)</f>
        <v>14500</v>
      </c>
      <c r="T15" s="400" t="s">
        <v>615</v>
      </c>
      <c r="U15" s="400" t="s">
        <v>616</v>
      </c>
      <c r="V15" s="404">
        <v>105000</v>
      </c>
      <c r="W15" s="383">
        <v>0.1</v>
      </c>
      <c r="X15" s="408">
        <f>=V15*(1-W15)</f>
        <v>94500</v>
      </c>
      <c r="Y15" s="391">
        <f>=X15*I15</f>
        <v>94500</v>
      </c>
      <c r="Z15" s="400" t="s">
        <v>617</v>
      </c>
      <c r="AA15" s="400" t="s">
        <v>618</v>
      </c>
      <c r="AB15" s="391">
        <v>35000</v>
      </c>
      <c r="AC15" s="383" t="s"/>
      <c r="AD15" s="41">
        <f>=AB15*(1-AC15)</f>
        <v>35000</v>
      </c>
      <c r="AE15" s="391">
        <f>=AB15*I15</f>
        <v>35000</v>
      </c>
      <c r="AF15" s="400" t="s">
        <v>619</v>
      </c>
      <c r="AG15" s="400" t="s">
        <v>620</v>
      </c>
      <c r="AH15" s="41">
        <v>14500</v>
      </c>
      <c r="AI15" s="387" t="s"/>
      <c r="AJ15" s="41">
        <f>=AH15*(1-AI15)</f>
        <v>14500</v>
      </c>
      <c r="AK15" s="41">
        <f>=AH15*I15</f>
        <v>14500</v>
      </c>
      <c r="AL15" s="400" t="s"/>
      <c r="AM15" s="400" t="s"/>
      <c r="AN15" s="391" t="s"/>
      <c r="AO15" s="41" t="s"/>
      <c r="AP15" s="41" t="s"/>
      <c r="AQ15" s="391" t="s"/>
    </row>
    <row r="16" spans="1:43" s="1000" customHeight="false">
      <c r="A16" s="409">
        <v>11</v>
      </c>
      <c r="B16" s="410" t="s">
        <v>621</v>
      </c>
      <c r="C16" s="410" t="s"/>
      <c r="D16" s="410" t="s">
        <v>622</v>
      </c>
      <c r="E16" s="409" t="s">
        <v>32</v>
      </c>
      <c r="F16" s="409">
        <v>1</v>
      </c>
      <c r="G16" s="409">
        <v>884500</v>
      </c>
      <c r="H16" s="411">
        <f>=G16*F16</f>
        <v>884500</v>
      </c>
      <c r="I16" s="412">
        <v>1</v>
      </c>
      <c r="J16" s="413">
        <f>=AC16</f>
        <v>0</v>
      </c>
      <c r="K16" s="83">
        <f>=S16</f>
        <v>847055</v>
      </c>
      <c r="L16" s="83">
        <f>=F16*K16</f>
        <v>847055</v>
      </c>
      <c r="M16" s="414">
        <f>=K16*0.85</f>
        <v>719996.75</v>
      </c>
      <c r="N16" s="398">
        <f>=M16*I16-I16*K16</f>
        <v>-127058.25</v>
      </c>
      <c r="O16" s="415" t="s">
        <v>623</v>
      </c>
      <c r="P16" s="415" t="s"/>
      <c r="Q16" s="415" t="s">
        <v>624</v>
      </c>
      <c r="R16" s="415">
        <f>=AVERAGE(X16,AD16,AJ16,AP16)</f>
        <v>1013076.525</v>
      </c>
      <c r="S16" s="399">
        <f>=MIN(X16,AD16,AJ16,AP16)</f>
        <v>847055</v>
      </c>
      <c r="T16" s="416" t="s">
        <v>625</v>
      </c>
      <c r="U16" s="416" t="s">
        <v>626</v>
      </c>
      <c r="V16" s="409">
        <v>1813997</v>
      </c>
      <c r="W16" s="417">
        <v>0.35</v>
      </c>
      <c r="X16" s="418">
        <f>=V16*(1-W16)</f>
        <v>1179098.05</v>
      </c>
      <c r="Y16" s="410">
        <f>=X16*I16</f>
        <v>1179098.05</v>
      </c>
      <c r="Z16" s="416" t="s">
        <v>627</v>
      </c>
      <c r="AA16" s="416" t="s">
        <v>628</v>
      </c>
      <c r="AB16" s="410">
        <v>847055</v>
      </c>
      <c r="AC16" s="419" t="s"/>
      <c r="AD16" s="420">
        <f>=AB16*(1-AC16)</f>
        <v>847055</v>
      </c>
      <c r="AE16" s="410">
        <f>=AB16*I16</f>
        <v>847055</v>
      </c>
      <c r="AF16" s="416" t="s">
        <v>629</v>
      </c>
      <c r="AG16" s="416" t="s">
        <v>630</v>
      </c>
      <c r="AH16" s="421" t="s">
        <v>631</v>
      </c>
      <c r="AI16" s="422" t="s"/>
      <c r="AJ16" s="421" t="s">
        <v>631</v>
      </c>
      <c r="AK16" s="421" t="s">
        <v>631</v>
      </c>
      <c r="AL16" s="416" t="s"/>
      <c r="AM16" s="416" t="s"/>
      <c r="AN16" s="410" t="s"/>
      <c r="AO16" s="420" t="s"/>
      <c r="AP16" s="420" t="s"/>
      <c r="AQ16" s="410" t="s"/>
    </row>
    <row r="17" spans="1:43" s="999" customHeight="false">
      <c r="A17" s="404">
        <v>12</v>
      </c>
      <c r="B17" s="391" t="s">
        <v>632</v>
      </c>
      <c r="C17" s="391" t="s"/>
      <c r="D17" s="410" t="s">
        <v>633</v>
      </c>
      <c r="E17" s="404" t="s">
        <v>45</v>
      </c>
      <c r="F17" s="404">
        <v>2</v>
      </c>
      <c r="G17" s="404">
        <v>162500</v>
      </c>
      <c r="H17" s="405">
        <f>=G17*F17</f>
        <v>325000</v>
      </c>
      <c r="I17" s="406">
        <v>2</v>
      </c>
      <c r="J17" s="407">
        <f>=AI17</f>
        <v>0</v>
      </c>
      <c r="K17" s="83">
        <f>=S17</f>
        <v>53234</v>
      </c>
      <c r="L17" s="83">
        <f>=F17*K17</f>
        <v>106468</v>
      </c>
      <c r="M17" s="415" t="s"/>
      <c r="N17" s="415" t="s"/>
      <c r="O17" s="423" t="s">
        <v>634</v>
      </c>
      <c r="P17" s="398" t="s"/>
      <c r="Q17" s="398">
        <v>51186</v>
      </c>
      <c r="R17" s="398">
        <f>=AVERAGE(X17,AD17,AJ17,AP17)</f>
        <v>83412.3333333333</v>
      </c>
      <c r="S17" s="399">
        <f>=MIN(X17,AD17,AJ17,AP17)</f>
        <v>53234</v>
      </c>
      <c r="T17" s="400" t="s">
        <v>625</v>
      </c>
      <c r="U17" s="400" t="s">
        <v>626</v>
      </c>
      <c r="V17" s="404">
        <v>158200</v>
      </c>
      <c r="W17" s="424">
        <v>0.35</v>
      </c>
      <c r="X17" s="408">
        <f>=V17*(1-W17)</f>
        <v>102830</v>
      </c>
      <c r="Y17" s="391">
        <f>=X17*I17</f>
        <v>205660</v>
      </c>
      <c r="Z17" s="400" t="s">
        <v>627</v>
      </c>
      <c r="AA17" s="400" t="s">
        <v>628</v>
      </c>
      <c r="AB17" s="391">
        <v>94173</v>
      </c>
      <c r="AC17" s="383" t="s"/>
      <c r="AD17" s="41">
        <f>=AB17*(1-AC17)</f>
        <v>94173</v>
      </c>
      <c r="AE17" s="391">
        <f>=AB17*I17</f>
        <v>188346</v>
      </c>
      <c r="AF17" s="400" t="s">
        <v>629</v>
      </c>
      <c r="AG17" s="400" t="s">
        <v>630</v>
      </c>
      <c r="AH17" s="425">
        <v>53234</v>
      </c>
      <c r="AI17" s="387" t="s"/>
      <c r="AJ17" s="41">
        <f>=AH17*(1-AI17)</f>
        <v>53234</v>
      </c>
      <c r="AK17" s="41">
        <f>=AH17*I17</f>
        <v>106468</v>
      </c>
      <c r="AL17" s="400" t="s"/>
      <c r="AM17" s="400" t="s"/>
      <c r="AN17" s="391" t="s"/>
      <c r="AO17" s="41" t="s"/>
      <c r="AP17" s="41" t="s"/>
      <c r="AQ17" s="391" t="s"/>
    </row>
    <row r="18" spans="1:43" s="999" customHeight="false">
      <c r="A18" s="404">
        <v>13</v>
      </c>
      <c r="B18" s="391" t="s">
        <v>635</v>
      </c>
      <c r="C18" s="391" t="s"/>
      <c r="D18" s="410" t="s">
        <v>633</v>
      </c>
      <c r="E18" s="404" t="s">
        <v>45</v>
      </c>
      <c r="F18" s="404">
        <v>2</v>
      </c>
      <c r="G18" s="404">
        <v>3200</v>
      </c>
      <c r="H18" s="405">
        <f>=G18*F18</f>
        <v>6400</v>
      </c>
      <c r="I18" s="406">
        <v>2</v>
      </c>
      <c r="J18" s="407">
        <f>=AI18</f>
        <v>0</v>
      </c>
      <c r="K18" s="83">
        <f>=S18</f>
        <v>6515</v>
      </c>
      <c r="L18" s="83">
        <f>=F18*K18</f>
        <v>13030</v>
      </c>
      <c r="M18" s="398" t="s"/>
      <c r="N18" s="398" t="s"/>
      <c r="O18" s="398" t="s">
        <v>636</v>
      </c>
      <c r="P18" s="398" t="s"/>
      <c r="Q18" s="398">
        <v>4830</v>
      </c>
      <c r="R18" s="398">
        <f>=AVERAGE(X18,AD18,AJ18,AP18)</f>
        <v>11286.0333333333</v>
      </c>
      <c r="S18" s="399">
        <f>=MIN(X18,AD18,AJ18,AP18)</f>
        <v>6515</v>
      </c>
      <c r="T18" s="400" t="s">
        <v>625</v>
      </c>
      <c r="U18" s="400" t="s">
        <v>626</v>
      </c>
      <c r="V18" s="404">
        <v>14534</v>
      </c>
      <c r="W18" s="424">
        <v>0.35</v>
      </c>
      <c r="X18" s="408">
        <f>=V18*(1-W18)</f>
        <v>9447.1</v>
      </c>
      <c r="Y18" s="391">
        <f>=X18*I18</f>
        <v>18894.2</v>
      </c>
      <c r="Z18" s="400" t="s">
        <v>627</v>
      </c>
      <c r="AA18" s="400" t="s">
        <v>628</v>
      </c>
      <c r="AB18" s="391">
        <v>17896</v>
      </c>
      <c r="AC18" s="383" t="s"/>
      <c r="AD18" s="41">
        <f>=AB18*(1-AC18)</f>
        <v>17896</v>
      </c>
      <c r="AE18" s="391">
        <f>=AB18*I18</f>
        <v>35792</v>
      </c>
      <c r="AF18" s="400" t="s">
        <v>629</v>
      </c>
      <c r="AG18" s="400" t="s">
        <v>630</v>
      </c>
      <c r="AH18" s="425">
        <v>6515</v>
      </c>
      <c r="AI18" s="387" t="s"/>
      <c r="AJ18" s="41">
        <f>=AH18*(1-AI18)</f>
        <v>6515</v>
      </c>
      <c r="AK18" s="41">
        <f>=AH18*I18</f>
        <v>13030</v>
      </c>
      <c r="AL18" s="400" t="s"/>
      <c r="AM18" s="400" t="s"/>
      <c r="AN18" s="391" t="s"/>
      <c r="AO18" s="41" t="s"/>
      <c r="AP18" s="41" t="s"/>
      <c r="AQ18" s="391" t="s"/>
    </row>
    <row r="19" spans="1:43" s="999" customHeight="false">
      <c r="A19" s="404">
        <v>14</v>
      </c>
      <c r="B19" s="391" t="s">
        <v>637</v>
      </c>
      <c r="C19" s="391" t="s"/>
      <c r="D19" s="410" t="s">
        <v>638</v>
      </c>
      <c r="E19" s="404" t="s">
        <v>45</v>
      </c>
      <c r="F19" s="404">
        <v>2</v>
      </c>
      <c r="G19" s="404">
        <v>87200</v>
      </c>
      <c r="H19" s="405">
        <f>=G19*F19</f>
        <v>174400</v>
      </c>
      <c r="I19" s="406">
        <v>2</v>
      </c>
      <c r="J19" s="407">
        <f>=W19</f>
        <v>0.35</v>
      </c>
      <c r="K19" s="83">
        <f>=S19</f>
        <v>61006.4</v>
      </c>
      <c r="L19" s="83">
        <f>=F19*K19</f>
        <v>122012.8</v>
      </c>
      <c r="M19" s="398" t="s"/>
      <c r="N19" s="398" t="s"/>
      <c r="O19" s="398" t="s">
        <v>639</v>
      </c>
      <c r="P19" s="398" t="s"/>
      <c r="Q19" s="398" t="s">
        <v>640</v>
      </c>
      <c r="R19" s="398">
        <f>=AVERAGE(X19,AD19,AJ19,AP19)</f>
        <v>76832.1333333334</v>
      </c>
      <c r="S19" s="399">
        <f>=MIN(X19,AD19,AJ19,AP19)</f>
        <v>61006.4</v>
      </c>
      <c r="T19" s="400" t="s">
        <v>625</v>
      </c>
      <c r="U19" s="400" t="s">
        <v>626</v>
      </c>
      <c r="V19" s="404">
        <v>93856</v>
      </c>
      <c r="W19" s="424">
        <v>0.35</v>
      </c>
      <c r="X19" s="408">
        <f>=V19*(1-W19)</f>
        <v>61006.4</v>
      </c>
      <c r="Y19" s="391">
        <f>=X19*I19</f>
        <v>122012.8</v>
      </c>
      <c r="Z19" s="400" t="s">
        <v>627</v>
      </c>
      <c r="AA19" s="400" t="s">
        <v>628</v>
      </c>
      <c r="AB19" s="391">
        <v>99108</v>
      </c>
      <c r="AC19" s="383" t="s"/>
      <c r="AD19" s="41">
        <f>=AB19*(1-AC19)</f>
        <v>99108</v>
      </c>
      <c r="AE19" s="391">
        <f>=AB19*I19</f>
        <v>198216</v>
      </c>
      <c r="AF19" s="400" t="s">
        <v>629</v>
      </c>
      <c r="AG19" s="400" t="s">
        <v>630</v>
      </c>
      <c r="AH19" s="425">
        <v>70382</v>
      </c>
      <c r="AI19" s="387" t="s"/>
      <c r="AJ19" s="41">
        <f>=AH19*(1-AI19)</f>
        <v>70382</v>
      </c>
      <c r="AK19" s="41">
        <f>=AH19*I19</f>
        <v>140764</v>
      </c>
      <c r="AL19" s="400" t="s"/>
      <c r="AM19" s="400" t="s"/>
      <c r="AN19" s="391" t="s"/>
      <c r="AO19" s="41" t="s"/>
      <c r="AP19" s="41" t="s"/>
      <c r="AQ19" s="391" t="s"/>
    </row>
    <row r="20" spans="1:43" s="999" customHeight="false">
      <c r="A20" s="404">
        <v>15</v>
      </c>
      <c r="B20" s="391" t="s">
        <v>635</v>
      </c>
      <c r="C20" s="391" t="s"/>
      <c r="D20" s="391" t="s">
        <v>641</v>
      </c>
      <c r="E20" s="404" t="s">
        <v>45</v>
      </c>
      <c r="F20" s="404">
        <v>1</v>
      </c>
      <c r="G20" s="404">
        <v>14200</v>
      </c>
      <c r="H20" s="405">
        <f>=G20*F20</f>
        <v>14200</v>
      </c>
      <c r="I20" s="406">
        <v>1</v>
      </c>
      <c r="J20" s="407">
        <f>=AI20</f>
        <v>0</v>
      </c>
      <c r="K20" s="83">
        <f>=S20</f>
        <v>17482</v>
      </c>
      <c r="L20" s="83">
        <f>=F20*K20</f>
        <v>17482</v>
      </c>
      <c r="M20" s="398" t="s"/>
      <c r="N20" s="398" t="s"/>
      <c r="O20" s="398">
        <v>46434</v>
      </c>
      <c r="P20" s="398" t="s"/>
      <c r="Q20" s="398" t="s">
        <v>642</v>
      </c>
      <c r="R20" s="398">
        <f>=AVERAGE(X20,AD20,AJ20,AP20)</f>
        <v>38090.95</v>
      </c>
      <c r="S20" s="399">
        <f>=MIN(X20,AD20,AJ20,AP20)</f>
        <v>17482</v>
      </c>
      <c r="T20" s="400" t="s">
        <v>625</v>
      </c>
      <c r="U20" s="400" t="s">
        <v>626</v>
      </c>
      <c r="V20" s="404">
        <v>55449</v>
      </c>
      <c r="W20" s="424">
        <v>0.35</v>
      </c>
      <c r="X20" s="408">
        <f>=V20*(1-W20)</f>
        <v>36041.85</v>
      </c>
      <c r="Y20" s="391">
        <f>=X20*I20</f>
        <v>36041.85</v>
      </c>
      <c r="Z20" s="400" t="s">
        <v>627</v>
      </c>
      <c r="AA20" s="400" t="s">
        <v>628</v>
      </c>
      <c r="AB20" s="391">
        <v>60749</v>
      </c>
      <c r="AC20" s="383" t="s"/>
      <c r="AD20" s="41">
        <f>=AB20*(1-AC20)</f>
        <v>60749</v>
      </c>
      <c r="AE20" s="391">
        <f>=AB20*I20</f>
        <v>60749</v>
      </c>
      <c r="AF20" s="400" t="s">
        <v>629</v>
      </c>
      <c r="AG20" s="400" t="s">
        <v>630</v>
      </c>
      <c r="AH20" s="425">
        <v>17482</v>
      </c>
      <c r="AI20" s="387" t="s"/>
      <c r="AJ20" s="41">
        <f>=AH20*(1-AI20)</f>
        <v>17482</v>
      </c>
      <c r="AK20" s="41">
        <f>=AH20*I20</f>
        <v>17482</v>
      </c>
      <c r="AL20" s="400" t="s"/>
      <c r="AM20" s="400" t="s"/>
      <c r="AN20" s="391" t="s"/>
      <c r="AO20" s="41" t="s"/>
      <c r="AP20" s="41" t="s"/>
      <c r="AQ20" s="391" t="s"/>
    </row>
    <row r="21" spans="1:43" s="999" customHeight="false">
      <c r="A21" s="404">
        <v>16</v>
      </c>
      <c r="B21" s="391" t="s">
        <v>637</v>
      </c>
      <c r="C21" s="391" t="s"/>
      <c r="D21" s="391" t="s">
        <v>643</v>
      </c>
      <c r="E21" s="404" t="s">
        <v>45</v>
      </c>
      <c r="F21" s="404">
        <v>2</v>
      </c>
      <c r="G21" s="404">
        <v>72700</v>
      </c>
      <c r="H21" s="405">
        <f>=G21*F21</f>
        <v>145400</v>
      </c>
      <c r="I21" s="406">
        <v>2</v>
      </c>
      <c r="J21" s="407">
        <f>=AI21</f>
        <v>0</v>
      </c>
      <c r="K21" s="83">
        <f>=S21</f>
        <v>40808</v>
      </c>
      <c r="L21" s="83">
        <f>=F21*K21</f>
        <v>81616</v>
      </c>
      <c r="M21" s="414" t="s"/>
      <c r="N21" s="398" t="s"/>
      <c r="O21" s="398" t="s">
        <v>644</v>
      </c>
      <c r="P21" s="398" t="s"/>
      <c r="Q21" s="398" t="s">
        <v>645</v>
      </c>
      <c r="R21" s="398">
        <f>=AVERAGE(X21,AD21,AJ21,AP21)</f>
        <v>57820.1166666667</v>
      </c>
      <c r="S21" s="399">
        <f>=MIN(X21,AD21,AJ21,AP21)</f>
        <v>40808</v>
      </c>
      <c r="T21" s="400" t="s">
        <v>625</v>
      </c>
      <c r="U21" s="400" t="s">
        <v>626</v>
      </c>
      <c r="V21" s="404">
        <v>77219</v>
      </c>
      <c r="W21" s="424">
        <v>0.35</v>
      </c>
      <c r="X21" s="408">
        <f>=V21*(1-W21)</f>
        <v>50192.35</v>
      </c>
      <c r="Y21" s="391">
        <f>=X21*I21</f>
        <v>100384.7</v>
      </c>
      <c r="Z21" s="400" t="s">
        <v>627</v>
      </c>
      <c r="AA21" s="400" t="s">
        <v>628</v>
      </c>
      <c r="AB21" s="391">
        <v>82460</v>
      </c>
      <c r="AC21" s="383" t="s"/>
      <c r="AD21" s="41">
        <f>=AB21*(1-AC21)</f>
        <v>82460</v>
      </c>
      <c r="AE21" s="391">
        <f>=AB21*I21</f>
        <v>164920</v>
      </c>
      <c r="AF21" s="400" t="s">
        <v>629</v>
      </c>
      <c r="AG21" s="400" t="s">
        <v>630</v>
      </c>
      <c r="AH21" s="425">
        <v>40808</v>
      </c>
      <c r="AI21" s="387" t="s"/>
      <c r="AJ21" s="41">
        <f>=AH21*(1-AI21)</f>
        <v>40808</v>
      </c>
      <c r="AK21" s="41">
        <f>=AH21*I21</f>
        <v>81616</v>
      </c>
      <c r="AL21" s="400" t="s"/>
      <c r="AM21" s="400" t="s"/>
      <c r="AN21" s="391" t="s"/>
      <c r="AO21" s="41" t="s"/>
      <c r="AP21" s="41" t="s"/>
      <c r="AQ21" s="391" t="s"/>
    </row>
    <row r="22" spans="1:43" s="999" customHeight="false">
      <c r="A22" s="404">
        <v>17</v>
      </c>
      <c r="B22" s="426" t="s">
        <v>646</v>
      </c>
      <c r="C22" s="426" t="s"/>
      <c r="D22" s="426" t="s">
        <v>647</v>
      </c>
      <c r="E22" s="404" t="s">
        <v>45</v>
      </c>
      <c r="F22" s="404">
        <v>1</v>
      </c>
      <c r="G22" s="404">
        <v>74100</v>
      </c>
      <c r="H22" s="405">
        <f>=G22*F22</f>
        <v>74100</v>
      </c>
      <c r="I22" s="406">
        <v>1</v>
      </c>
      <c r="J22" s="407">
        <f>=W22</f>
        <v>0.35</v>
      </c>
      <c r="K22" s="83">
        <f>=S22</f>
        <v>61425</v>
      </c>
      <c r="L22" s="83">
        <f>=F22*K22</f>
        <v>61425</v>
      </c>
      <c r="M22" s="398" t="s"/>
      <c r="N22" s="398" t="s"/>
      <c r="O22" s="398" t="s">
        <v>648</v>
      </c>
      <c r="P22" s="398" t="s"/>
      <c r="Q22" s="398" t="s">
        <v>649</v>
      </c>
      <c r="R22" s="398">
        <f>=AVERAGE(X22,AD22,AJ22,AP22)</f>
        <v>92438</v>
      </c>
      <c r="S22" s="399">
        <f>=MIN(X22,AD22,AJ22,AP22)</f>
        <v>61425</v>
      </c>
      <c r="T22" s="400" t="s">
        <v>625</v>
      </c>
      <c r="U22" s="400" t="s">
        <v>626</v>
      </c>
      <c r="V22" s="404">
        <v>94500</v>
      </c>
      <c r="W22" s="424">
        <v>0.35</v>
      </c>
      <c r="X22" s="408">
        <f>=V22*(1-W22)</f>
        <v>61425</v>
      </c>
      <c r="Y22" s="391">
        <f>=X22*I22</f>
        <v>61425</v>
      </c>
      <c r="Z22" s="400" t="s">
        <v>627</v>
      </c>
      <c r="AA22" s="400" t="s">
        <v>628</v>
      </c>
      <c r="AB22" s="391">
        <v>130451</v>
      </c>
      <c r="AC22" s="383" t="s"/>
      <c r="AD22" s="41">
        <f>=AB22*(1-AC22)</f>
        <v>130451</v>
      </c>
      <c r="AE22" s="391">
        <f>=AB22*I22</f>
        <v>130451</v>
      </c>
      <c r="AF22" s="400" t="s">
        <v>629</v>
      </c>
      <c r="AG22" s="400" t="s">
        <v>630</v>
      </c>
      <c r="AH22" s="425">
        <v>85438</v>
      </c>
      <c r="AI22" s="387" t="s"/>
      <c r="AJ22" s="41">
        <f>=AH22*(1-AI22)</f>
        <v>85438</v>
      </c>
      <c r="AK22" s="41">
        <f>=AH22*I22</f>
        <v>85438</v>
      </c>
      <c r="AL22" s="400" t="s"/>
      <c r="AM22" s="400" t="s"/>
      <c r="AN22" s="391" t="s"/>
      <c r="AO22" s="41" t="s"/>
      <c r="AP22" s="41" t="s"/>
      <c r="AQ22" s="391" t="s"/>
    </row>
    <row r="23" spans="1:43" s="999" customHeight="false">
      <c r="A23" s="427">
        <v>18</v>
      </c>
      <c r="B23" s="420" t="s">
        <v>632</v>
      </c>
      <c r="C23" s="420" t="s"/>
      <c r="D23" s="420" t="s">
        <v>650</v>
      </c>
      <c r="E23" s="428" t="s">
        <v>45</v>
      </c>
      <c r="F23" s="429">
        <v>2</v>
      </c>
      <c r="G23" s="429">
        <v>3837.6</v>
      </c>
      <c r="H23" s="430">
        <f>=G23*F23</f>
        <v>7675.2</v>
      </c>
      <c r="I23" s="429">
        <v>2</v>
      </c>
      <c r="J23" s="407">
        <f>=AI23</f>
        <v>0</v>
      </c>
      <c r="K23" s="83">
        <f>=S23</f>
        <v>43851</v>
      </c>
      <c r="L23" s="37">
        <f>=F23*K23</f>
        <v>87702</v>
      </c>
      <c r="M23" s="398" t="s"/>
      <c r="N23" s="398" t="s"/>
      <c r="O23" s="398" t="s">
        <v>634</v>
      </c>
      <c r="P23" s="398" t="s"/>
      <c r="Q23" s="398" t="s">
        <v>651</v>
      </c>
      <c r="R23" s="398">
        <f>=AVERAGE(X23,AD23,AJ23,AP23)</f>
        <v>50769</v>
      </c>
      <c r="S23" s="399">
        <f>=MIN(X23,AD23,AJ23,AP23)</f>
        <v>43851</v>
      </c>
      <c r="T23" s="400" t="s">
        <v>625</v>
      </c>
      <c r="U23" s="400" t="s">
        <v>626</v>
      </c>
      <c r="V23" s="429">
        <v>69300</v>
      </c>
      <c r="W23" s="424">
        <v>0.35</v>
      </c>
      <c r="X23" s="408">
        <f>=V23*(1-W23)</f>
        <v>45045</v>
      </c>
      <c r="Y23" s="391">
        <f>=X23*I23</f>
        <v>90090</v>
      </c>
      <c r="Z23" s="400" t="s">
        <v>627</v>
      </c>
      <c r="AA23" s="400" t="s">
        <v>628</v>
      </c>
      <c r="AB23" s="41">
        <v>63411</v>
      </c>
      <c r="AC23" s="383" t="s"/>
      <c r="AD23" s="41">
        <f>=AB23*(1-AC23)</f>
        <v>63411</v>
      </c>
      <c r="AE23" s="41">
        <f>=AB23*I23</f>
        <v>126822</v>
      </c>
      <c r="AF23" s="400" t="s">
        <v>629</v>
      </c>
      <c r="AG23" s="400" t="s">
        <v>630</v>
      </c>
      <c r="AH23" s="425">
        <v>43851</v>
      </c>
      <c r="AI23" s="387" t="s"/>
      <c r="AJ23" s="41">
        <f>=AH23*(1-AI23)</f>
        <v>43851</v>
      </c>
      <c r="AK23" s="41">
        <f>=AH23*I23</f>
        <v>87702</v>
      </c>
      <c r="AL23" s="41" t="s"/>
      <c r="AM23" s="41" t="s"/>
      <c r="AN23" s="41" t="s"/>
      <c r="AO23" s="41" t="s"/>
      <c r="AP23" s="41" t="s"/>
      <c r="AQ23" s="41" t="s"/>
    </row>
    <row r="24" spans="1:43" s="999" customHeight="false">
      <c r="A24" s="427">
        <v>19</v>
      </c>
      <c r="B24" s="420" t="s">
        <v>652</v>
      </c>
      <c r="C24" s="420" t="s"/>
      <c r="D24" s="420" t="s">
        <v>653</v>
      </c>
      <c r="E24" s="428" t="s">
        <v>45</v>
      </c>
      <c r="F24" s="429">
        <v>4</v>
      </c>
      <c r="G24" s="429">
        <v>288.725</v>
      </c>
      <c r="H24" s="430">
        <f>=G24*F24</f>
        <v>1154.9</v>
      </c>
      <c r="I24" s="429">
        <v>4</v>
      </c>
      <c r="J24" s="407">
        <f>=AI24</f>
        <v>0</v>
      </c>
      <c r="K24" s="83">
        <f>=S24</f>
        <v>515</v>
      </c>
      <c r="L24" s="37">
        <f>=F24*K24</f>
        <v>2060</v>
      </c>
      <c r="M24" s="398" t="s"/>
      <c r="N24" s="398" t="s"/>
      <c r="O24" s="398" t="s"/>
      <c r="P24" s="398" t="s"/>
      <c r="Q24" s="398" t="s">
        <v>654</v>
      </c>
      <c r="R24" s="398">
        <f>=AVERAGE(X24,AD24,AJ24,AP24)</f>
        <v>4024.5</v>
      </c>
      <c r="S24" s="399">
        <f>=MIN(X24,AD24,AJ24,AP24)</f>
        <v>515</v>
      </c>
      <c r="T24" s="400" t="s">
        <v>625</v>
      </c>
      <c r="U24" s="400" t="s">
        <v>626</v>
      </c>
      <c r="V24" s="429">
        <v>2030</v>
      </c>
      <c r="W24" s="424">
        <v>0.35</v>
      </c>
      <c r="X24" s="408">
        <f>=V24*(1-W24)</f>
        <v>1319.5</v>
      </c>
      <c r="Y24" s="391">
        <f>=X24*I24</f>
        <v>5278</v>
      </c>
      <c r="Z24" s="400" t="s">
        <v>627</v>
      </c>
      <c r="AA24" s="400" t="s">
        <v>628</v>
      </c>
      <c r="AB24" s="41">
        <v>10239</v>
      </c>
      <c r="AC24" s="383" t="s"/>
      <c r="AD24" s="41">
        <f>=AB24*(1-AC24)</f>
        <v>10239</v>
      </c>
      <c r="AE24" s="41">
        <f>=AB24*I24</f>
        <v>40956</v>
      </c>
      <c r="AF24" s="400" t="s">
        <v>629</v>
      </c>
      <c r="AG24" s="400" t="s">
        <v>630</v>
      </c>
      <c r="AH24" s="41">
        <v>515</v>
      </c>
      <c r="AI24" s="387" t="s"/>
      <c r="AJ24" s="41">
        <f>=AH24*(1-AI24)</f>
        <v>515</v>
      </c>
      <c r="AK24" s="41">
        <f>=AH24*I24</f>
        <v>2060</v>
      </c>
      <c r="AL24" s="41" t="s"/>
      <c r="AM24" s="41" t="s"/>
      <c r="AN24" s="41" t="s"/>
      <c r="AO24" s="41" t="s"/>
      <c r="AP24" s="41" t="s"/>
      <c r="AQ24" s="41" t="s"/>
    </row>
    <row r="25" spans="1:43" s="999" customHeight="false">
      <c r="A25" s="427">
        <v>20</v>
      </c>
      <c r="B25" s="420" t="s">
        <v>652</v>
      </c>
      <c r="C25" s="420" t="s"/>
      <c r="D25" s="420" t="s">
        <v>655</v>
      </c>
      <c r="E25" s="428" t="s">
        <v>45</v>
      </c>
      <c r="F25" s="429">
        <f>=6+5</f>
        <v>11</v>
      </c>
      <c r="G25" s="429">
        <v>465.253</v>
      </c>
      <c r="H25" s="430">
        <f>=G25*F25</f>
        <v>5117.783</v>
      </c>
      <c r="I25" s="429">
        <f>=6+5</f>
        <v>11</v>
      </c>
      <c r="J25" s="407">
        <f>=AI25</f>
        <v>0</v>
      </c>
      <c r="K25" s="83">
        <f>=S25</f>
        <v>904</v>
      </c>
      <c r="L25" s="37">
        <f>=F25*K25</f>
        <v>9944</v>
      </c>
      <c r="M25" s="398" t="s"/>
      <c r="N25" s="398" t="s"/>
      <c r="O25" s="398" t="s"/>
      <c r="P25" s="398" t="s"/>
      <c r="Q25" s="398">
        <v>1863</v>
      </c>
      <c r="R25" s="398">
        <f>=AVERAGE(X25,AD25,AJ25,AP25)</f>
        <v>4568.16666666667</v>
      </c>
      <c r="S25" s="399">
        <f>=MIN(X25,AD25,AJ25,AP25)</f>
        <v>904</v>
      </c>
      <c r="T25" s="400" t="s">
        <v>625</v>
      </c>
      <c r="U25" s="400" t="s">
        <v>626</v>
      </c>
      <c r="V25" s="429">
        <v>3010</v>
      </c>
      <c r="W25" s="424">
        <v>0.35</v>
      </c>
      <c r="X25" s="408">
        <f>=V25*(1-W25)</f>
        <v>1956.5</v>
      </c>
      <c r="Y25" s="391">
        <f>=X25*I25</f>
        <v>21521.5</v>
      </c>
      <c r="Z25" s="400" t="s">
        <v>627</v>
      </c>
      <c r="AA25" s="400" t="s">
        <v>628</v>
      </c>
      <c r="AB25" s="41">
        <v>10844</v>
      </c>
      <c r="AC25" s="383" t="s"/>
      <c r="AD25" s="41">
        <f>=AB25*(1-AC25)</f>
        <v>10844</v>
      </c>
      <c r="AE25" s="41">
        <f>=AB25*I25</f>
        <v>119284</v>
      </c>
      <c r="AF25" s="400" t="s">
        <v>629</v>
      </c>
      <c r="AG25" s="400" t="s">
        <v>630</v>
      </c>
      <c r="AH25" s="41">
        <v>904</v>
      </c>
      <c r="AI25" s="387" t="s"/>
      <c r="AJ25" s="41">
        <f>=AH25*(1-AI25)</f>
        <v>904</v>
      </c>
      <c r="AK25" s="41">
        <f>=AH25*I25</f>
        <v>9944</v>
      </c>
      <c r="AL25" s="41" t="s"/>
      <c r="AM25" s="41" t="s"/>
      <c r="AN25" s="41" t="s"/>
      <c r="AO25" s="41" t="s"/>
      <c r="AP25" s="41" t="s"/>
      <c r="AQ25" s="41" t="s"/>
    </row>
    <row r="26" spans="1:43" s="999" customHeight="false">
      <c r="A26" s="427">
        <v>21</v>
      </c>
      <c r="B26" s="420" t="s">
        <v>632</v>
      </c>
      <c r="C26" s="420" t="s"/>
      <c r="D26" s="420" t="s">
        <v>653</v>
      </c>
      <c r="E26" s="428" t="s">
        <v>45</v>
      </c>
      <c r="F26" s="429">
        <v>4</v>
      </c>
      <c r="G26" s="429" t="s"/>
      <c r="H26" s="430">
        <f>=G26*F26</f>
        <v>0</v>
      </c>
      <c r="I26" s="429">
        <v>4</v>
      </c>
      <c r="J26" s="407">
        <f>=W26</f>
        <v>0.35</v>
      </c>
      <c r="K26" s="83">
        <f>=S26</f>
        <v>1619.8</v>
      </c>
      <c r="L26" s="37">
        <f>=F26*K26</f>
        <v>6479.2</v>
      </c>
      <c r="M26" s="398" t="s"/>
      <c r="N26" s="398" t="s"/>
      <c r="O26" s="398" t="s"/>
      <c r="P26" s="398" t="s"/>
      <c r="Q26" s="398" t="s">
        <v>656</v>
      </c>
      <c r="R26" s="398">
        <f>=AVERAGE(X26,AD26,AJ26,AP26)</f>
        <v>2514.6</v>
      </c>
      <c r="S26" s="399">
        <f>=MIN(X26,AD26,AJ26,AP26)</f>
        <v>1619.8</v>
      </c>
      <c r="T26" s="400" t="s">
        <v>625</v>
      </c>
      <c r="U26" s="400" t="s">
        <v>626</v>
      </c>
      <c r="V26" s="429">
        <v>2492</v>
      </c>
      <c r="W26" s="424">
        <v>0.35</v>
      </c>
      <c r="X26" s="408">
        <f>=V26*(1-W26)</f>
        <v>1619.8</v>
      </c>
      <c r="Y26" s="391">
        <f>=X26*I26</f>
        <v>6479.2</v>
      </c>
      <c r="Z26" s="400" t="s">
        <v>627</v>
      </c>
      <c r="AA26" s="400" t="s">
        <v>628</v>
      </c>
      <c r="AB26" s="41">
        <v>4125</v>
      </c>
      <c r="AC26" s="383" t="s"/>
      <c r="AD26" s="41">
        <f>=AB26*(1-AC26)</f>
        <v>4125</v>
      </c>
      <c r="AE26" s="41">
        <f>=AB26*I26</f>
        <v>16500</v>
      </c>
      <c r="AF26" s="400" t="s">
        <v>629</v>
      </c>
      <c r="AG26" s="400" t="s">
        <v>630</v>
      </c>
      <c r="AH26" s="425">
        <v>1799</v>
      </c>
      <c r="AI26" s="387" t="s"/>
      <c r="AJ26" s="41">
        <f>=AH26*(1-AI26)</f>
        <v>1799</v>
      </c>
      <c r="AK26" s="41">
        <f>=AH26*I26</f>
        <v>7196</v>
      </c>
      <c r="AL26" s="41" t="s"/>
      <c r="AM26" s="41" t="s"/>
      <c r="AN26" s="41" t="s"/>
      <c r="AO26" s="41" t="s"/>
      <c r="AP26" s="41" t="s"/>
      <c r="AQ26" s="41" t="s"/>
    </row>
    <row r="27" spans="1:43" s="999" customHeight="false">
      <c r="A27" s="427">
        <v>22</v>
      </c>
      <c r="B27" s="420" t="s">
        <v>632</v>
      </c>
      <c r="C27" s="420" t="s"/>
      <c r="D27" s="420" t="s">
        <v>655</v>
      </c>
      <c r="E27" s="428" t="s">
        <v>45</v>
      </c>
      <c r="F27" s="429">
        <v>3</v>
      </c>
      <c r="G27" s="429">
        <v>2408</v>
      </c>
      <c r="H27" s="430">
        <f>=G27*F27</f>
        <v>7224</v>
      </c>
      <c r="I27" s="429">
        <v>3</v>
      </c>
      <c r="J27" s="407">
        <f>=AI27</f>
        <v>0</v>
      </c>
      <c r="K27" s="83">
        <f>=S27</f>
        <v>3047</v>
      </c>
      <c r="L27" s="37">
        <f>=F27*K27</f>
        <v>9141</v>
      </c>
      <c r="M27" s="398" t="s"/>
      <c r="N27" s="398" t="s"/>
      <c r="O27" s="398" t="s"/>
      <c r="P27" s="398" t="s"/>
      <c r="Q27" s="398">
        <v>3022.5</v>
      </c>
      <c r="R27" s="398">
        <f>=AVERAGE(X27,AD27,AJ27,AP27)</f>
        <v>3731.63333333333</v>
      </c>
      <c r="S27" s="399">
        <f>=MIN(X27,AD27,AJ27,AP27)</f>
        <v>3047</v>
      </c>
      <c r="T27" s="400" t="s">
        <v>625</v>
      </c>
      <c r="U27" s="400" t="s">
        <v>626</v>
      </c>
      <c r="V27" s="429">
        <v>4746</v>
      </c>
      <c r="W27" s="424">
        <v>0.35</v>
      </c>
      <c r="X27" s="408">
        <f>=V27*(1-W27)</f>
        <v>3084.9</v>
      </c>
      <c r="Y27" s="391">
        <f>=X27*I27</f>
        <v>9254.7</v>
      </c>
      <c r="Z27" s="400" t="s">
        <v>627</v>
      </c>
      <c r="AA27" s="400" t="s">
        <v>628</v>
      </c>
      <c r="AB27" s="41">
        <v>5063</v>
      </c>
      <c r="AC27" s="383" t="s"/>
      <c r="AD27" s="41">
        <f>=AB27*(1-AC27)</f>
        <v>5063</v>
      </c>
      <c r="AE27" s="41">
        <f>=AB27*I27</f>
        <v>15189</v>
      </c>
      <c r="AF27" s="400" t="s">
        <v>629</v>
      </c>
      <c r="AG27" s="400" t="s">
        <v>630</v>
      </c>
      <c r="AH27" s="425">
        <v>3047</v>
      </c>
      <c r="AI27" s="387" t="s"/>
      <c r="AJ27" s="41">
        <f>=AH27*(1-AI27)</f>
        <v>3047</v>
      </c>
      <c r="AK27" s="41">
        <f>=AH27*I27</f>
        <v>9141</v>
      </c>
      <c r="AL27" s="41" t="s"/>
      <c r="AM27" s="41" t="s"/>
      <c r="AN27" s="41" t="s"/>
      <c r="AO27" s="41" t="s"/>
      <c r="AP27" s="41" t="s"/>
      <c r="AQ27" s="41" t="s"/>
    </row>
    <row r="28" spans="1:43" s="999" customHeight="false">
      <c r="A28" s="427">
        <v>23</v>
      </c>
      <c r="B28" s="420" t="s">
        <v>657</v>
      </c>
      <c r="C28" s="420" t="s"/>
      <c r="D28" s="420" t="s">
        <v>658</v>
      </c>
      <c r="E28" s="428" t="s">
        <v>45</v>
      </c>
      <c r="F28" s="429">
        <v>5</v>
      </c>
      <c r="G28" s="429">
        <v>16.499</v>
      </c>
      <c r="H28" s="430">
        <f>=G28*F28</f>
        <v>82.495</v>
      </c>
      <c r="I28" s="429">
        <v>5</v>
      </c>
      <c r="J28" s="407">
        <f>=AI28</f>
        <v>0</v>
      </c>
      <c r="K28" s="83">
        <f>=S28</f>
        <v>215</v>
      </c>
      <c r="L28" s="37">
        <f>=F28*K28</f>
        <v>1075</v>
      </c>
      <c r="M28" s="398" t="s"/>
      <c r="N28" s="398" t="s"/>
      <c r="O28" s="398" t="s"/>
      <c r="P28" s="398" t="s"/>
      <c r="Q28" s="398" t="s">
        <v>659</v>
      </c>
      <c r="R28" s="398">
        <f>=AVERAGE(X28,AD28,AJ28,AP28)</f>
        <v>1518</v>
      </c>
      <c r="S28" s="399">
        <f>=MIN(X28,AD28,AJ28,AP28)</f>
        <v>215</v>
      </c>
      <c r="T28" s="400" t="s">
        <v>625</v>
      </c>
      <c r="U28" s="400" t="s">
        <v>626</v>
      </c>
      <c r="V28" s="429">
        <v>1280</v>
      </c>
      <c r="W28" s="424">
        <v>0.35</v>
      </c>
      <c r="X28" s="408">
        <f>=V28*(1-W28)</f>
        <v>832</v>
      </c>
      <c r="Y28" s="391">
        <f>=X28*I28</f>
        <v>4160</v>
      </c>
      <c r="Z28" s="400" t="s">
        <v>627</v>
      </c>
      <c r="AA28" s="400" t="s">
        <v>628</v>
      </c>
      <c r="AB28" s="41">
        <v>3507</v>
      </c>
      <c r="AC28" s="383" t="s"/>
      <c r="AD28" s="41">
        <f>=AB28*(1-AC28)</f>
        <v>3507</v>
      </c>
      <c r="AE28" s="41">
        <f>=AB28*I28</f>
        <v>17535</v>
      </c>
      <c r="AF28" s="400" t="s">
        <v>629</v>
      </c>
      <c r="AG28" s="400" t="s">
        <v>630</v>
      </c>
      <c r="AH28" s="41">
        <v>215</v>
      </c>
      <c r="AI28" s="387" t="s"/>
      <c r="AJ28" s="41">
        <f>=AH28*(1-AI28)</f>
        <v>215</v>
      </c>
      <c r="AK28" s="41">
        <f>=AH28*I28</f>
        <v>1075</v>
      </c>
      <c r="AL28" s="41" t="s"/>
      <c r="AM28" s="41" t="s"/>
      <c r="AN28" s="41" t="s"/>
      <c r="AO28" s="41" t="s"/>
      <c r="AP28" s="41" t="s"/>
      <c r="AQ28" s="41" t="s"/>
    </row>
    <row r="29" spans="1:43" s="999" customHeight="false">
      <c r="A29" s="427">
        <v>24</v>
      </c>
      <c r="B29" s="420" t="s">
        <v>652</v>
      </c>
      <c r="C29" s="420" t="s"/>
      <c r="D29" s="420" t="s">
        <v>660</v>
      </c>
      <c r="E29" s="428" t="s">
        <v>45</v>
      </c>
      <c r="F29" s="429">
        <v>2</v>
      </c>
      <c r="G29" s="429">
        <v>2437.948</v>
      </c>
      <c r="H29" s="430">
        <f>=G29*F29</f>
        <v>4875.896</v>
      </c>
      <c r="I29" s="429">
        <v>2</v>
      </c>
      <c r="J29" s="407">
        <f>=AI29</f>
        <v>0</v>
      </c>
      <c r="K29" s="83">
        <f>=S29</f>
        <v>1458</v>
      </c>
      <c r="L29" s="37">
        <f>=F29*K29</f>
        <v>2916</v>
      </c>
      <c r="M29" s="398" t="s"/>
      <c r="N29" s="398" t="s"/>
      <c r="O29" s="398" t="s"/>
      <c r="P29" s="398" t="s"/>
      <c r="Q29" s="398" t="s">
        <v>661</v>
      </c>
      <c r="R29" s="398">
        <f>=AVERAGE(X29,AD29,AJ29,AP29)</f>
        <v>5211.3</v>
      </c>
      <c r="S29" s="399">
        <f>=MIN(X29,AD29,AJ29,AP29)</f>
        <v>1458</v>
      </c>
      <c r="T29" s="400" t="s">
        <v>625</v>
      </c>
      <c r="U29" s="400" t="s">
        <v>626</v>
      </c>
      <c r="V29" s="429">
        <v>4326</v>
      </c>
      <c r="W29" s="424">
        <v>0.35</v>
      </c>
      <c r="X29" s="408">
        <f>=V29*(1-W29)</f>
        <v>2811.9</v>
      </c>
      <c r="Y29" s="391">
        <f>=X29*I29</f>
        <v>5623.8</v>
      </c>
      <c r="Z29" s="400" t="s">
        <v>627</v>
      </c>
      <c r="AA29" s="400" t="s">
        <v>628</v>
      </c>
      <c r="AB29" s="41">
        <v>11364</v>
      </c>
      <c r="AC29" s="383" t="s"/>
      <c r="AD29" s="41">
        <f>=AB29*(1-AC29)</f>
        <v>11364</v>
      </c>
      <c r="AE29" s="41">
        <f>=AB29*I29</f>
        <v>22728</v>
      </c>
      <c r="AF29" s="400" t="s">
        <v>629</v>
      </c>
      <c r="AG29" s="400" t="s">
        <v>630</v>
      </c>
      <c r="AH29" s="41">
        <v>1458</v>
      </c>
      <c r="AI29" s="387" t="s"/>
      <c r="AJ29" s="41">
        <f>=AH29*(1-AI29)</f>
        <v>1458</v>
      </c>
      <c r="AK29" s="41">
        <f>=AH29*I29</f>
        <v>2916</v>
      </c>
      <c r="AL29" s="41" t="s"/>
      <c r="AM29" s="41" t="s"/>
      <c r="AN29" s="41" t="s"/>
      <c r="AO29" s="41" t="s"/>
      <c r="AP29" s="41" t="s"/>
      <c r="AQ29" s="41" t="s"/>
    </row>
    <row r="30" spans="1:43" s="999" customHeight="false">
      <c r="A30" s="427">
        <v>25</v>
      </c>
      <c r="B30" s="420" t="s">
        <v>632</v>
      </c>
      <c r="C30" s="420" t="s"/>
      <c r="D30" s="420" t="s">
        <v>662</v>
      </c>
      <c r="E30" s="428" t="s">
        <v>45</v>
      </c>
      <c r="F30" s="429">
        <v>2</v>
      </c>
      <c r="G30" s="429">
        <v>138.4</v>
      </c>
      <c r="H30" s="430">
        <f>=G30*F30</f>
        <v>276.8</v>
      </c>
      <c r="I30" s="429">
        <v>2</v>
      </c>
      <c r="J30" s="407">
        <f>=W30</f>
        <v>0.35</v>
      </c>
      <c r="K30" s="83">
        <f>=S30</f>
        <v>800.8</v>
      </c>
      <c r="L30" s="37">
        <f>=F30*K30</f>
        <v>1601.6</v>
      </c>
      <c r="M30" s="398" t="s"/>
      <c r="N30" s="398" t="s"/>
      <c r="O30" s="398" t="s"/>
      <c r="P30" s="398" t="s"/>
      <c r="Q30" s="398" t="s">
        <v>654</v>
      </c>
      <c r="R30" s="398">
        <f>=AVERAGE(X30,AD30,AJ30,AP30)</f>
        <v>1767.93333333333</v>
      </c>
      <c r="S30" s="399">
        <f>=MIN(X30,AD30,AJ30,AP30)</f>
        <v>800.8</v>
      </c>
      <c r="T30" s="400" t="s">
        <v>625</v>
      </c>
      <c r="U30" s="400" t="s">
        <v>626</v>
      </c>
      <c r="V30" s="429">
        <v>1232</v>
      </c>
      <c r="W30" s="424">
        <v>0.35</v>
      </c>
      <c r="X30" s="408">
        <f>=V30*(1-W30)</f>
        <v>800.8</v>
      </c>
      <c r="Y30" s="391">
        <f>=X30*I30</f>
        <v>1601.6</v>
      </c>
      <c r="Z30" s="400" t="s">
        <v>627</v>
      </c>
      <c r="AA30" s="400" t="s">
        <v>628</v>
      </c>
      <c r="AB30" s="41">
        <v>3260</v>
      </c>
      <c r="AC30" s="383" t="s"/>
      <c r="AD30" s="41">
        <f>=AB30*(1-AC30)</f>
        <v>3260</v>
      </c>
      <c r="AE30" s="41">
        <f>=AB30*I30</f>
        <v>6520</v>
      </c>
      <c r="AF30" s="400" t="s">
        <v>629</v>
      </c>
      <c r="AG30" s="400" t="s">
        <v>630</v>
      </c>
      <c r="AH30" s="41">
        <v>1243</v>
      </c>
      <c r="AI30" s="387" t="s"/>
      <c r="AJ30" s="41">
        <f>=AH30*(1-AI30)</f>
        <v>1243</v>
      </c>
      <c r="AK30" s="41">
        <f>=AH30*I30</f>
        <v>2486</v>
      </c>
      <c r="AL30" s="41" t="s"/>
      <c r="AM30" s="41" t="s"/>
      <c r="AN30" s="41" t="s"/>
      <c r="AO30" s="41" t="s"/>
      <c r="AP30" s="41" t="s"/>
      <c r="AQ30" s="41" t="s"/>
    </row>
    <row r="31" spans="1:43" s="999" customHeight="false">
      <c r="A31" s="431">
        <v>26</v>
      </c>
      <c r="B31" s="432" t="s">
        <v>652</v>
      </c>
      <c r="C31" s="432" t="s"/>
      <c r="D31" s="432" t="s">
        <v>662</v>
      </c>
      <c r="E31" s="433" t="s">
        <v>45</v>
      </c>
      <c r="F31" s="434">
        <v>2</v>
      </c>
      <c r="G31" s="434">
        <v>210.004</v>
      </c>
      <c r="H31" s="435">
        <f>=G31*F31</f>
        <v>420.008</v>
      </c>
      <c r="I31" s="434">
        <v>2</v>
      </c>
      <c r="J31" s="436">
        <f>=AI31</f>
        <v>0</v>
      </c>
      <c r="K31" s="84">
        <f>=S31</f>
        <v>298</v>
      </c>
      <c r="L31" s="62">
        <f>=F31*K31</f>
        <v>596</v>
      </c>
      <c r="M31" s="374" t="s"/>
      <c r="N31" s="374" t="s"/>
      <c r="O31" s="374" t="s"/>
      <c r="P31" s="374" t="s"/>
      <c r="Q31" s="374" t="s">
        <v>654</v>
      </c>
      <c r="R31" s="374">
        <f>=AVERAGE(X31,AD31,AJ31,AP31)</f>
        <v>3561.66666666667</v>
      </c>
      <c r="S31" s="437">
        <f>=MIN(X31,AD31,AJ31,AP31)</f>
        <v>298</v>
      </c>
      <c r="T31" s="386" t="s">
        <v>625</v>
      </c>
      <c r="U31" s="386" t="s">
        <v>626</v>
      </c>
      <c r="V31" s="434">
        <v>1260</v>
      </c>
      <c r="W31" s="438">
        <v>0.35</v>
      </c>
      <c r="X31" s="439">
        <f>=V31*(1-W31)</f>
        <v>819</v>
      </c>
      <c r="Y31" s="440">
        <f>=X31*I31</f>
        <v>1638</v>
      </c>
      <c r="Z31" s="386" t="s">
        <v>627</v>
      </c>
      <c r="AA31" s="386" t="s">
        <v>628</v>
      </c>
      <c r="AB31" s="30">
        <v>9568</v>
      </c>
      <c r="AC31" s="441" t="s"/>
      <c r="AD31" s="30">
        <f>=AB31*(1-AC31)</f>
        <v>9568</v>
      </c>
      <c r="AE31" s="30">
        <f>=AB31*I31</f>
        <v>19136</v>
      </c>
      <c r="AF31" s="386" t="s">
        <v>629</v>
      </c>
      <c r="AG31" s="386" t="s">
        <v>630</v>
      </c>
      <c r="AH31" s="30">
        <v>298</v>
      </c>
      <c r="AI31" s="442" t="s"/>
      <c r="AJ31" s="30">
        <f>=AH31*(1-AI31)</f>
        <v>298</v>
      </c>
      <c r="AK31" s="30">
        <f>=AH31*I31</f>
        <v>596</v>
      </c>
      <c r="AL31" s="30" t="s"/>
      <c r="AM31" s="30" t="s"/>
      <c r="AN31" s="30" t="s"/>
      <c r="AO31" s="30" t="s"/>
      <c r="AP31" s="30" t="s"/>
      <c r="AQ31" s="30" t="s"/>
    </row>
    <row r="32" spans="1:43" s="999" customHeight="false">
      <c r="A32" s="443">
        <v>27</v>
      </c>
      <c r="B32" s="41" t="s">
        <v>663</v>
      </c>
      <c r="C32" s="41" t="s"/>
      <c r="D32" s="444" t="s">
        <v>662</v>
      </c>
      <c r="E32" s="428" t="s">
        <v>45</v>
      </c>
      <c r="F32" s="429">
        <v>4</v>
      </c>
      <c r="G32" s="429" t="s"/>
      <c r="H32" s="445">
        <f>=G32*F32</f>
        <v>0</v>
      </c>
      <c r="I32" s="443">
        <v>4</v>
      </c>
      <c r="J32" s="446">
        <v>0</v>
      </c>
      <c r="K32" s="37">
        <v>300</v>
      </c>
      <c r="L32" s="37">
        <f>=F32*K32</f>
        <v>1200</v>
      </c>
      <c r="M32" s="398" t="s"/>
      <c r="N32" s="398" t="s"/>
      <c r="O32" s="447" t="s"/>
      <c r="P32" s="447" t="s"/>
      <c r="Q32" s="447" t="s">
        <v>654</v>
      </c>
      <c r="R32" s="447">
        <f>=AVERAGE(X32,AD32,AJ32,AP32)</f>
        <v>100</v>
      </c>
      <c r="S32" s="448">
        <f>=MIN(X32,AD32,AJ32,AP32)</f>
        <v>0</v>
      </c>
      <c r="T32" s="41" t="s"/>
      <c r="U32" s="41" t="s"/>
      <c r="V32" s="429" t="s"/>
      <c r="W32" s="383" t="s"/>
      <c r="X32" s="384" t="s"/>
      <c r="Y32" s="41" t="s"/>
      <c r="Z32" s="41" t="s"/>
      <c r="AA32" s="41" t="s"/>
      <c r="AB32" s="41" t="s"/>
      <c r="AC32" s="383" t="s"/>
      <c r="AD32" s="41">
        <f>=AB32*(1-AC32)</f>
        <v>0</v>
      </c>
      <c r="AE32" s="41" t="s"/>
      <c r="AF32" s="41" t="s"/>
      <c r="AG32" s="41" t="s"/>
      <c r="AH32" s="41" t="s"/>
      <c r="AI32" s="387" t="s"/>
      <c r="AJ32" s="41">
        <f>=AH32*(1-AI32)</f>
        <v>0</v>
      </c>
      <c r="AK32" s="41" t="s"/>
      <c r="AL32" s="41" t="s"/>
      <c r="AM32" s="41" t="s"/>
      <c r="AN32" s="41" t="s"/>
      <c r="AO32" s="41" t="s">
        <v>664</v>
      </c>
      <c r="AP32" s="41">
        <v>300</v>
      </c>
      <c r="AQ32" s="41" t="s"/>
    </row>
    <row r="33" spans="1:43" s="999" customHeight="false">
      <c r="A33" s="449" t="s">
        <v>520</v>
      </c>
      <c r="B33" s="450" t="s">
        <v>665</v>
      </c>
      <c r="C33" s="9" t="s"/>
      <c r="D33" s="391" t="s"/>
      <c r="E33" s="451" t="s"/>
      <c r="F33" s="404" t="s"/>
      <c r="G33" s="404" t="s"/>
      <c r="H33" s="405" t="s"/>
      <c r="I33" s="406" t="s"/>
      <c r="J33" s="407" t="s"/>
      <c r="K33" s="83" t="s"/>
      <c r="L33" s="83" t="s"/>
      <c r="M33" s="398" t="s"/>
      <c r="N33" s="398" t="s"/>
      <c r="O33" s="398" t="s"/>
      <c r="P33" s="398" t="s"/>
      <c r="Q33" s="398" t="s"/>
      <c r="R33" s="398" t="s"/>
      <c r="S33" s="399" t="s"/>
      <c r="T33" s="400" t="s"/>
      <c r="U33" s="400" t="s"/>
      <c r="V33" s="404" t="s"/>
      <c r="W33" s="383" t="s"/>
      <c r="X33" s="384" t="s"/>
      <c r="Y33" s="391" t="s"/>
      <c r="Z33" s="400" t="s"/>
      <c r="AA33" s="400" t="s"/>
      <c r="AB33" s="391" t="s"/>
      <c r="AC33" s="383" t="s"/>
      <c r="AD33" s="41" t="s"/>
      <c r="AE33" s="391" t="s"/>
      <c r="AF33" s="400" t="s"/>
      <c r="AG33" s="400" t="s"/>
      <c r="AH33" s="41" t="s"/>
      <c r="AI33" s="452" t="s"/>
      <c r="AJ33" s="453" t="s"/>
      <c r="AK33" s="453" t="s"/>
      <c r="AL33" s="400" t="s"/>
      <c r="AM33" s="400" t="s"/>
      <c r="AN33" s="391" t="s"/>
      <c r="AO33" s="41" t="s"/>
      <c r="AP33" s="41" t="s"/>
      <c r="AQ33" s="391" t="s"/>
    </row>
    <row r="34" spans="1:43" s="999" customHeight="false">
      <c r="A34" s="404">
        <v>1</v>
      </c>
      <c r="B34" s="454" t="s">
        <v>666</v>
      </c>
      <c r="C34" s="454" t="s"/>
      <c r="D34" s="454" t="s">
        <v>667</v>
      </c>
      <c r="E34" s="404" t="s">
        <v>32</v>
      </c>
      <c r="F34" s="404">
        <v>8</v>
      </c>
      <c r="G34" s="404">
        <v>88300</v>
      </c>
      <c r="H34" s="405">
        <f>=G34*F34</f>
        <v>706400</v>
      </c>
      <c r="I34" s="406">
        <v>8</v>
      </c>
      <c r="J34" s="407">
        <f>=AC34</f>
        <v>0.2</v>
      </c>
      <c r="K34" s="84">
        <f>=S34</f>
        <v>40400</v>
      </c>
      <c r="L34" s="83">
        <f>=K34*I34</f>
        <v>323200</v>
      </c>
      <c r="M34" s="398" t="s"/>
      <c r="N34" s="398" t="s"/>
      <c r="O34" s="398" t="s">
        <v>668</v>
      </c>
      <c r="P34" s="398" t="s"/>
      <c r="Q34" s="398" t="s">
        <v>669</v>
      </c>
      <c r="R34" s="398">
        <f>=AVERAGE(X34,AD34,AJ34,AP34)</f>
        <v>57533.3333333333</v>
      </c>
      <c r="S34" s="399">
        <f>=MIN(X34,AD34,AJ34,AP34)</f>
        <v>40400</v>
      </c>
      <c r="T34" s="400" t="s">
        <v>590</v>
      </c>
      <c r="U34" s="400" t="s">
        <v>591</v>
      </c>
      <c r="V34" s="391">
        <v>88000</v>
      </c>
      <c r="W34" s="383">
        <v>0.2</v>
      </c>
      <c r="X34" s="408">
        <f>=V34*(1-W34)</f>
        <v>70400</v>
      </c>
      <c r="Y34" s="391">
        <f>=X34*I34</f>
        <v>563200</v>
      </c>
      <c r="Z34" s="400" t="s">
        <v>592</v>
      </c>
      <c r="AA34" s="400" t="s">
        <v>593</v>
      </c>
      <c r="AB34" s="391">
        <v>50500</v>
      </c>
      <c r="AC34" s="383">
        <v>0.2</v>
      </c>
      <c r="AD34" s="41">
        <f>=AB34*(1-AC34)</f>
        <v>40400</v>
      </c>
      <c r="AE34" s="41">
        <f>=AB34*I34</f>
        <v>404000</v>
      </c>
      <c r="AF34" s="400" t="s">
        <v>594</v>
      </c>
      <c r="AG34" s="400" t="s">
        <v>595</v>
      </c>
      <c r="AH34" s="41">
        <v>61800</v>
      </c>
      <c r="AI34" s="387" t="s"/>
      <c r="AJ34" s="41">
        <f>=AH34*(1-AI34)</f>
        <v>61800</v>
      </c>
      <c r="AK34" s="41">
        <f>=AH34*I34</f>
        <v>494400</v>
      </c>
      <c r="AL34" s="400" t="s"/>
      <c r="AM34" s="400" t="s"/>
      <c r="AN34" s="391" t="s"/>
      <c r="AO34" s="41" t="s"/>
      <c r="AP34" s="41" t="s"/>
      <c r="AQ34" s="391" t="s"/>
    </row>
    <row r="35" spans="1:43" s="999" customHeight="false">
      <c r="A35" s="404">
        <v>2</v>
      </c>
      <c r="B35" s="391" t="s">
        <v>609</v>
      </c>
      <c r="C35" s="391" t="s"/>
      <c r="D35" s="391" t="s">
        <v>670</v>
      </c>
      <c r="E35" s="404" t="s">
        <v>32</v>
      </c>
      <c r="F35" s="404">
        <v>1</v>
      </c>
      <c r="G35" s="404">
        <v>5200</v>
      </c>
      <c r="H35" s="405">
        <f>=G35*F35</f>
        <v>5200</v>
      </c>
      <c r="I35" s="406">
        <v>1</v>
      </c>
      <c r="J35" s="407">
        <f>=AC35</f>
        <v>0.2</v>
      </c>
      <c r="K35" s="84">
        <f>=S35</f>
        <v>5200</v>
      </c>
      <c r="L35" s="83">
        <f>=K35*I35</f>
        <v>5200</v>
      </c>
      <c r="M35" s="398" t="s"/>
      <c r="N35" s="398" t="s"/>
      <c r="O35" s="398">
        <v>6000</v>
      </c>
      <c r="P35" s="398" t="s"/>
      <c r="Q35" s="398">
        <v>5000</v>
      </c>
      <c r="R35" s="398">
        <f>=AVERAGE(X35,AD35,AJ35,AP35)</f>
        <v>6466.66666666667</v>
      </c>
      <c r="S35" s="399">
        <f>=MIN(X35,AD35,AJ35,AP35)</f>
        <v>5200</v>
      </c>
      <c r="T35" s="400" t="s">
        <v>590</v>
      </c>
      <c r="U35" s="400" t="s">
        <v>591</v>
      </c>
      <c r="V35" s="391">
        <v>8000</v>
      </c>
      <c r="W35" s="383">
        <v>0.2</v>
      </c>
      <c r="X35" s="408">
        <f>=V35*(1-W35)</f>
        <v>6400</v>
      </c>
      <c r="Y35" s="391">
        <f>=X35*I35</f>
        <v>6400</v>
      </c>
      <c r="Z35" s="400" t="s">
        <v>592</v>
      </c>
      <c r="AA35" s="400" t="s">
        <v>593</v>
      </c>
      <c r="AB35" s="391">
        <v>6500</v>
      </c>
      <c r="AC35" s="383">
        <v>0.2</v>
      </c>
      <c r="AD35" s="41">
        <f>=AB35*(1-AC35)</f>
        <v>5200</v>
      </c>
      <c r="AE35" s="41">
        <f>=AB35*I35</f>
        <v>6500</v>
      </c>
      <c r="AF35" s="400" t="s">
        <v>594</v>
      </c>
      <c r="AG35" s="400" t="s">
        <v>595</v>
      </c>
      <c r="AH35" s="41">
        <v>7800</v>
      </c>
      <c r="AI35" s="387" t="s"/>
      <c r="AJ35" s="41">
        <f>=AH35*(1-AI35)</f>
        <v>7800</v>
      </c>
      <c r="AK35" s="41">
        <f>=AH35*I35</f>
        <v>7800</v>
      </c>
      <c r="AL35" s="400" t="s"/>
      <c r="AM35" s="400" t="s"/>
      <c r="AN35" s="391" t="s"/>
      <c r="AO35" s="41" t="s"/>
      <c r="AP35" s="41" t="s"/>
      <c r="AQ35" s="391" t="s"/>
    </row>
    <row r="36" spans="1:43" s="999" customHeight="false">
      <c r="A36" s="455" t="s">
        <v>564</v>
      </c>
      <c r="B36" s="456" t="s">
        <v>394</v>
      </c>
      <c r="C36" s="390" t="s"/>
      <c r="D36" s="391" t="s"/>
      <c r="E36" s="404" t="s"/>
      <c r="F36" s="404" t="s"/>
      <c r="G36" s="404" t="s"/>
      <c r="H36" s="405" t="s"/>
      <c r="I36" s="406" t="s"/>
      <c r="J36" s="407" t="s"/>
      <c r="K36" s="83" t="s"/>
      <c r="L36" s="457" t="s"/>
      <c r="M36" s="458" t="s"/>
      <c r="N36" s="458" t="s"/>
      <c r="O36" s="398" t="s"/>
      <c r="P36" s="398" t="s"/>
      <c r="Q36" s="398" t="s"/>
      <c r="R36" s="398" t="s"/>
      <c r="S36" s="399" t="s"/>
      <c r="T36" s="400" t="s"/>
      <c r="U36" s="400" t="s"/>
      <c r="V36" s="404" t="s"/>
      <c r="W36" s="383" t="s"/>
      <c r="X36" s="384" t="s"/>
      <c r="Y36" s="391" t="s"/>
      <c r="Z36" s="400" t="s"/>
      <c r="AA36" s="400" t="s"/>
      <c r="AB36" s="391" t="s"/>
      <c r="AC36" s="383" t="s"/>
      <c r="AD36" s="41" t="s"/>
      <c r="AE36" s="391" t="s"/>
      <c r="AF36" s="400" t="s"/>
      <c r="AG36" s="400" t="s"/>
      <c r="AH36" s="453" t="s"/>
      <c r="AI36" s="452" t="s"/>
      <c r="AJ36" s="453" t="s"/>
      <c r="AK36" s="453" t="s"/>
      <c r="AL36" s="400" t="s"/>
      <c r="AM36" s="400" t="s"/>
      <c r="AN36" s="391" t="s"/>
      <c r="AO36" s="41" t="s"/>
      <c r="AP36" s="41" t="s"/>
      <c r="AQ36" s="391" t="s"/>
    </row>
    <row r="37" spans="1:43" s="999" customHeight="false">
      <c r="A37" s="404">
        <v>1</v>
      </c>
      <c r="B37" s="391" t="s">
        <v>671</v>
      </c>
      <c r="C37" s="391" t="s"/>
      <c r="D37" s="400" t="s">
        <v>672</v>
      </c>
      <c r="E37" s="404" t="s">
        <v>36</v>
      </c>
      <c r="F37" s="404">
        <v>2</v>
      </c>
      <c r="G37" s="404">
        <v>85600</v>
      </c>
      <c r="H37" s="405">
        <f>=G37*F37</f>
        <v>171200</v>
      </c>
      <c r="I37" s="406">
        <v>2</v>
      </c>
      <c r="J37" s="407">
        <f>=AC37</f>
        <v>0.2</v>
      </c>
      <c r="K37" s="84">
        <f>=S37</f>
        <v>50800</v>
      </c>
      <c r="L37" s="80">
        <f>=K37*I37</f>
        <v>101600</v>
      </c>
      <c r="M37" s="358" t="s"/>
      <c r="N37" s="358" t="s"/>
      <c r="O37" s="459" t="s">
        <v>598</v>
      </c>
      <c r="P37" s="398" t="s"/>
      <c r="Q37" s="398" t="s">
        <v>673</v>
      </c>
      <c r="R37" s="398">
        <f>=AVERAGE(X37,AD37,AJ37,AP37)</f>
        <v>85000</v>
      </c>
      <c r="S37" s="399">
        <f>=MIN(X37,AD37,AJ37,AP37)</f>
        <v>50800</v>
      </c>
      <c r="T37" s="400" t="s">
        <v>590</v>
      </c>
      <c r="U37" s="400" t="s">
        <v>591</v>
      </c>
      <c r="V37" s="391">
        <v>118000</v>
      </c>
      <c r="W37" s="383">
        <v>0.2</v>
      </c>
      <c r="X37" s="408">
        <f>=V37*(1-W37)</f>
        <v>94400</v>
      </c>
      <c r="Y37" s="391">
        <f>=X37*I37</f>
        <v>188800</v>
      </c>
      <c r="Z37" s="400" t="s">
        <v>592</v>
      </c>
      <c r="AA37" s="400" t="s">
        <v>593</v>
      </c>
      <c r="AB37" s="391">
        <v>63500</v>
      </c>
      <c r="AC37" s="383">
        <v>0.2</v>
      </c>
      <c r="AD37" s="41">
        <f>=AB37*(1-AC37)</f>
        <v>50800</v>
      </c>
      <c r="AE37" s="41">
        <f>=AB37*I37</f>
        <v>127000</v>
      </c>
      <c r="AF37" s="400" t="s">
        <v>594</v>
      </c>
      <c r="AG37" s="400" t="s">
        <v>595</v>
      </c>
      <c r="AH37" s="41">
        <v>109800</v>
      </c>
      <c r="AI37" s="387" t="s"/>
      <c r="AJ37" s="41">
        <f>=AH37*(1-AI37)</f>
        <v>109800</v>
      </c>
      <c r="AK37" s="41">
        <f>=AH37*I37</f>
        <v>219600</v>
      </c>
      <c r="AL37" s="400" t="s"/>
      <c r="AM37" s="400" t="s"/>
      <c r="AN37" s="391" t="s"/>
      <c r="AO37" s="41" t="s"/>
      <c r="AP37" s="41" t="s"/>
      <c r="AQ37" s="391" t="s"/>
    </row>
    <row r="38" spans="1:43" s="999" ht="21" customHeight="true">
      <c r="A38" s="404">
        <v>2</v>
      </c>
      <c r="B38" s="391" t="s">
        <v>674</v>
      </c>
      <c r="C38" s="391" t="s"/>
      <c r="D38" s="460" t="s">
        <v>675</v>
      </c>
      <c r="E38" s="404" t="s">
        <v>36</v>
      </c>
      <c r="F38" s="404">
        <v>2</v>
      </c>
      <c r="G38" s="404">
        <v>136200</v>
      </c>
      <c r="H38" s="405">
        <f>=G38*F38</f>
        <v>272400</v>
      </c>
      <c r="I38" s="404">
        <v>2</v>
      </c>
      <c r="J38" s="108">
        <f>=W38</f>
        <v>0.2</v>
      </c>
      <c r="K38" s="62">
        <f>=S38</f>
        <v>156800</v>
      </c>
      <c r="L38" s="80">
        <f>=K38*I38</f>
        <v>313600</v>
      </c>
      <c r="M38" s="358" t="s"/>
      <c r="N38" s="358" t="s"/>
      <c r="O38" s="461" t="s">
        <v>676</v>
      </c>
      <c r="P38" s="398" t="s"/>
      <c r="Q38" s="398" t="s">
        <v>677</v>
      </c>
      <c r="R38" s="447">
        <f>=AVERAGE(X38,AD38,AJ38,AP38)</f>
        <v>204933.333333333</v>
      </c>
      <c r="S38" s="462">
        <f>=MIN(X38,AD38,AJ38,AP38)</f>
        <v>156800</v>
      </c>
      <c r="T38" s="400" t="s">
        <v>590</v>
      </c>
      <c r="U38" s="400" t="s">
        <v>591</v>
      </c>
      <c r="V38" s="391">
        <v>196000</v>
      </c>
      <c r="W38" s="383">
        <v>0.2</v>
      </c>
      <c r="X38" s="408">
        <f>=V38*(1-W38)</f>
        <v>156800</v>
      </c>
      <c r="Y38" s="391">
        <f>=X38*I38</f>
        <v>313600</v>
      </c>
      <c r="Z38" s="400" t="s">
        <v>592</v>
      </c>
      <c r="AA38" s="400" t="s">
        <v>593</v>
      </c>
      <c r="AB38" s="391">
        <v>295000</v>
      </c>
      <c r="AC38" s="383">
        <v>0.2</v>
      </c>
      <c r="AD38" s="41">
        <f>=AB38*(1-AC38)</f>
        <v>236000</v>
      </c>
      <c r="AE38" s="41">
        <f>=AB38*I38</f>
        <v>590000</v>
      </c>
      <c r="AF38" s="400" t="s">
        <v>594</v>
      </c>
      <c r="AG38" s="400" t="s">
        <v>595</v>
      </c>
      <c r="AH38" s="41">
        <v>222000</v>
      </c>
      <c r="AI38" s="387" t="s"/>
      <c r="AJ38" s="41">
        <f>=AH38*(1-AI38)</f>
        <v>222000</v>
      </c>
      <c r="AK38" s="41">
        <f>=AH38*I38</f>
        <v>444000</v>
      </c>
      <c r="AL38" s="400" t="s"/>
      <c r="AM38" s="400" t="s"/>
      <c r="AN38" s="391" t="s"/>
      <c r="AO38" s="41" t="s"/>
      <c r="AP38" s="41" t="s"/>
      <c r="AQ38" s="391" t="s"/>
    </row>
    <row r="39" spans="1:43" s="999" ht="21" customHeight="true">
      <c r="A39" s="404">
        <v>3</v>
      </c>
      <c r="B39" s="391" t="s">
        <v>678</v>
      </c>
      <c r="C39" s="391" t="s"/>
      <c r="D39" s="391" t="s">
        <v>679</v>
      </c>
      <c r="E39" s="404" t="s">
        <v>36</v>
      </c>
      <c r="F39" s="404">
        <v>4</v>
      </c>
      <c r="G39" s="404">
        <v>29900</v>
      </c>
      <c r="H39" s="405">
        <f>=G39*F39</f>
        <v>119600</v>
      </c>
      <c r="I39" s="406">
        <v>4</v>
      </c>
      <c r="J39" s="407">
        <f>=W39</f>
        <v>0.2</v>
      </c>
      <c r="K39" s="84">
        <f>=S39</f>
        <v>8000</v>
      </c>
      <c r="L39" s="80">
        <f>=K39*I39</f>
        <v>32000</v>
      </c>
      <c r="M39" s="380" t="s"/>
      <c r="N39" s="380" t="s"/>
      <c r="O39" s="463" t="s"/>
      <c r="P39" s="398" t="s"/>
      <c r="Q39" s="398" t="s">
        <v>680</v>
      </c>
      <c r="R39" s="398">
        <f>=AVERAGE(X39,AD39,AJ39,AP39)</f>
        <v>36266.6666666667</v>
      </c>
      <c r="S39" s="399">
        <f>=MIN(X39,AD39,AJ39,AP39)</f>
        <v>8000</v>
      </c>
      <c r="T39" s="400" t="s">
        <v>590</v>
      </c>
      <c r="U39" s="400" t="s">
        <v>591</v>
      </c>
      <c r="V39" s="391">
        <v>10000</v>
      </c>
      <c r="W39" s="383">
        <v>0.2</v>
      </c>
      <c r="X39" s="408">
        <f>=V39*(1-W39)</f>
        <v>8000</v>
      </c>
      <c r="Y39" s="391">
        <f>=X39*I39</f>
        <v>32000</v>
      </c>
      <c r="Z39" s="400" t="s">
        <v>592</v>
      </c>
      <c r="AA39" s="400" t="s">
        <v>593</v>
      </c>
      <c r="AB39" s="391">
        <v>28500</v>
      </c>
      <c r="AC39" s="383">
        <v>0.2</v>
      </c>
      <c r="AD39" s="41">
        <f>=AB39*(1-AC39)</f>
        <v>22800</v>
      </c>
      <c r="AE39" s="41">
        <f>=AB39*I39</f>
        <v>114000</v>
      </c>
      <c r="AF39" s="400" t="s">
        <v>594</v>
      </c>
      <c r="AG39" s="400" t="s">
        <v>595</v>
      </c>
      <c r="AH39" s="41">
        <v>78000</v>
      </c>
      <c r="AI39" s="387" t="s"/>
      <c r="AJ39" s="41">
        <f>=AH39*(1-AI39)</f>
        <v>78000</v>
      </c>
      <c r="AK39" s="41">
        <f>=AH39*I39</f>
        <v>312000</v>
      </c>
      <c r="AL39" s="400" t="s"/>
      <c r="AM39" s="400" t="s"/>
      <c r="AN39" s="391" t="s"/>
      <c r="AO39" s="41" t="s"/>
      <c r="AP39" s="41" t="s"/>
      <c r="AQ39" s="391" t="s"/>
    </row>
    <row r="40" spans="1:43" s="999" ht="21" customHeight="true">
      <c r="A40" s="404">
        <v>4</v>
      </c>
      <c r="B40" s="391" t="s">
        <v>681</v>
      </c>
      <c r="C40" s="391" t="s"/>
      <c r="D40" s="400" t="s">
        <v>682</v>
      </c>
      <c r="E40" s="404" t="s">
        <v>36</v>
      </c>
      <c r="F40" s="404">
        <v>2</v>
      </c>
      <c r="G40" s="404">
        <v>61300</v>
      </c>
      <c r="H40" s="405">
        <f>=G40*F40</f>
        <v>122600</v>
      </c>
      <c r="I40" s="406">
        <v>2</v>
      </c>
      <c r="J40" s="407">
        <f>=W40</f>
        <v>0.2</v>
      </c>
      <c r="K40" s="84">
        <f>=S40</f>
        <v>57600</v>
      </c>
      <c r="L40" s="80">
        <f>=K40*I40</f>
        <v>115200</v>
      </c>
      <c r="M40" s="380" t="s"/>
      <c r="N40" s="380" t="s"/>
      <c r="O40" s="463" t="s"/>
      <c r="P40" s="398" t="s"/>
      <c r="Q40" s="398">
        <v>80000</v>
      </c>
      <c r="R40" s="398">
        <f>=AVERAGE(X40,AD40,AJ40,AP40)</f>
        <v>74000</v>
      </c>
      <c r="S40" s="399">
        <f>=MIN(X40,AD40,AJ40,AP40)</f>
        <v>57600</v>
      </c>
      <c r="T40" s="400" t="s">
        <v>590</v>
      </c>
      <c r="U40" s="400" t="s">
        <v>591</v>
      </c>
      <c r="V40" s="391">
        <v>72000</v>
      </c>
      <c r="W40" s="383">
        <v>0.2</v>
      </c>
      <c r="X40" s="408">
        <f>=V40*(1-W40)</f>
        <v>57600</v>
      </c>
      <c r="Y40" s="391">
        <f>=X40*I40</f>
        <v>115200</v>
      </c>
      <c r="Z40" s="400" t="s">
        <v>592</v>
      </c>
      <c r="AA40" s="400" t="s">
        <v>593</v>
      </c>
      <c r="AB40" s="391">
        <v>78000</v>
      </c>
      <c r="AC40" s="383">
        <v>0.2</v>
      </c>
      <c r="AD40" s="41">
        <f>=AB40*(1-AC40)</f>
        <v>62400</v>
      </c>
      <c r="AE40" s="41">
        <f>=AB40*I40</f>
        <v>156000</v>
      </c>
      <c r="AF40" s="400" t="s">
        <v>594</v>
      </c>
      <c r="AG40" s="400" t="s">
        <v>595</v>
      </c>
      <c r="AH40" s="41">
        <v>102000</v>
      </c>
      <c r="AI40" s="387" t="s"/>
      <c r="AJ40" s="41">
        <f>=AH40*(1-AI40)</f>
        <v>102000</v>
      </c>
      <c r="AK40" s="41">
        <f>=AH40*I40</f>
        <v>204000</v>
      </c>
      <c r="AL40" s="400" t="s"/>
      <c r="AM40" s="400" t="s"/>
      <c r="AN40" s="391" t="s"/>
      <c r="AO40" s="41" t="s"/>
      <c r="AP40" s="41" t="s"/>
      <c r="AQ40" s="391" t="s"/>
    </row>
    <row r="41" spans="1:43" s="999" ht="21" customHeight="true">
      <c r="A41" s="404">
        <v>5</v>
      </c>
      <c r="B41" s="391" t="s">
        <v>609</v>
      </c>
      <c r="C41" s="391" t="s"/>
      <c r="D41" s="391" t="s">
        <v>683</v>
      </c>
      <c r="E41" s="404" t="s">
        <v>45</v>
      </c>
      <c r="F41" s="404">
        <v>1</v>
      </c>
      <c r="G41" s="404">
        <v>5200</v>
      </c>
      <c r="H41" s="405">
        <f>=G41*F41</f>
        <v>5200</v>
      </c>
      <c r="I41" s="406">
        <v>1</v>
      </c>
      <c r="J41" s="407">
        <f>=AC41</f>
        <v>0.2</v>
      </c>
      <c r="K41" s="84">
        <f>=S41</f>
        <v>5200</v>
      </c>
      <c r="L41" s="80">
        <f>=K41*I41</f>
        <v>5200</v>
      </c>
      <c r="M41" s="380" t="s"/>
      <c r="N41" s="380" t="s"/>
      <c r="O41" s="464" t="s"/>
      <c r="P41" s="398" t="s"/>
      <c r="Q41" s="398">
        <v>5000</v>
      </c>
      <c r="R41" s="398">
        <f>=AVERAGE(X41,AD41,AJ41,AP41)</f>
        <v>6466.66666666667</v>
      </c>
      <c r="S41" s="399">
        <f>=MIN(X41,AD41,AJ41,AP41)</f>
        <v>5200</v>
      </c>
      <c r="T41" s="400" t="s">
        <v>590</v>
      </c>
      <c r="U41" s="400" t="s">
        <v>591</v>
      </c>
      <c r="V41" s="391">
        <v>8000</v>
      </c>
      <c r="W41" s="383">
        <v>0.2</v>
      </c>
      <c r="X41" s="408">
        <f>=V41*(1-W41)</f>
        <v>6400</v>
      </c>
      <c r="Y41" s="391">
        <f>=X41*I41</f>
        <v>6400</v>
      </c>
      <c r="Z41" s="400" t="s">
        <v>592</v>
      </c>
      <c r="AA41" s="400" t="s">
        <v>593</v>
      </c>
      <c r="AB41" s="391">
        <v>6500</v>
      </c>
      <c r="AC41" s="383">
        <v>0.2</v>
      </c>
      <c r="AD41" s="41">
        <f>=AB41*(1-AC41)</f>
        <v>5200</v>
      </c>
      <c r="AE41" s="41">
        <f>=AB41*I41</f>
        <v>6500</v>
      </c>
      <c r="AF41" s="400" t="s">
        <v>594</v>
      </c>
      <c r="AG41" s="400" t="s">
        <v>595</v>
      </c>
      <c r="AH41" s="41">
        <v>7800</v>
      </c>
      <c r="AI41" s="387" t="s"/>
      <c r="AJ41" s="41">
        <f>=AH41*(1-AI41)</f>
        <v>7800</v>
      </c>
      <c r="AK41" s="41">
        <f>=AH41*I41</f>
        <v>7800</v>
      </c>
      <c r="AL41" s="400" t="s"/>
      <c r="AM41" s="400" t="s"/>
      <c r="AN41" s="391" t="s"/>
      <c r="AO41" s="41" t="s"/>
      <c r="AP41" s="41" t="s"/>
      <c r="AQ41" s="391" t="s"/>
    </row>
    <row r="42" spans="1:43" s="999" customHeight="false">
      <c r="A42" s="404">
        <v>6</v>
      </c>
      <c r="B42" s="391" t="s">
        <v>684</v>
      </c>
      <c r="C42" s="391" t="s"/>
      <c r="D42" s="391" t="s">
        <v>685</v>
      </c>
      <c r="E42" s="404" t="s">
        <v>686</v>
      </c>
      <c r="F42" s="404">
        <v>160</v>
      </c>
      <c r="G42" s="404">
        <v>2000</v>
      </c>
      <c r="H42" s="405">
        <f>=G42*F42</f>
        <v>320000</v>
      </c>
      <c r="I42" s="406">
        <v>160</v>
      </c>
      <c r="J42" s="407">
        <f>=AC42</f>
        <v>0.2</v>
      </c>
      <c r="K42" s="84">
        <f>=S42</f>
        <v>304</v>
      </c>
      <c r="L42" s="396">
        <f>=K42*I42</f>
        <v>48640</v>
      </c>
      <c r="M42" s="465" t="s"/>
      <c r="N42" s="465" t="s"/>
      <c r="O42" s="398" t="s"/>
      <c r="P42" s="398" t="s"/>
      <c r="Q42" s="398">
        <v>220</v>
      </c>
      <c r="R42" s="398">
        <f>=AVERAGE(X42,AD42,AJ42,AP42)</f>
        <v>1121.33333333333</v>
      </c>
      <c r="S42" s="399">
        <f>=MIN(X42,AD42,AJ42,AP42)</f>
        <v>304</v>
      </c>
      <c r="T42" s="400" t="s">
        <v>590</v>
      </c>
      <c r="U42" s="400" t="s">
        <v>591</v>
      </c>
      <c r="V42" s="391">
        <v>3000</v>
      </c>
      <c r="W42" s="383">
        <v>0.2</v>
      </c>
      <c r="X42" s="408">
        <f>=V42*(1-W42)</f>
        <v>2400</v>
      </c>
      <c r="Y42" s="391">
        <f>=X42*I42</f>
        <v>384000</v>
      </c>
      <c r="Z42" s="400" t="s">
        <v>592</v>
      </c>
      <c r="AA42" s="400" t="s">
        <v>593</v>
      </c>
      <c r="AB42" s="391">
        <v>380</v>
      </c>
      <c r="AC42" s="383">
        <v>0.2</v>
      </c>
      <c r="AD42" s="41">
        <f>=AB42*(1-AC42)</f>
        <v>304</v>
      </c>
      <c r="AE42" s="41">
        <f>=AB42*I42</f>
        <v>60800</v>
      </c>
      <c r="AF42" s="400" t="s">
        <v>594</v>
      </c>
      <c r="AG42" s="400" t="s">
        <v>595</v>
      </c>
      <c r="AH42" s="41">
        <v>660</v>
      </c>
      <c r="AI42" s="387" t="s"/>
      <c r="AJ42" s="41">
        <f>=AH42*(1-AI42)</f>
        <v>660</v>
      </c>
      <c r="AK42" s="41">
        <f>=AH42*I42</f>
        <v>105600</v>
      </c>
      <c r="AL42" s="400" t="s"/>
      <c r="AM42" s="400" t="s"/>
      <c r="AN42" s="391" t="s"/>
      <c r="AO42" s="41" t="s"/>
      <c r="AP42" s="41" t="s"/>
      <c r="AQ42" s="391" t="s"/>
    </row>
    <row r="43" spans="1:43" s="999" customHeight="false">
      <c r="A43" s="404">
        <v>7</v>
      </c>
      <c r="B43" s="391" t="s">
        <v>687</v>
      </c>
      <c r="C43" s="391" t="s"/>
      <c r="D43" s="391" t="s">
        <v>688</v>
      </c>
      <c r="E43" s="404" t="s">
        <v>32</v>
      </c>
      <c r="F43" s="404">
        <v>3</v>
      </c>
      <c r="G43" s="404">
        <v>361000</v>
      </c>
      <c r="H43" s="405">
        <f>=G43*F43</f>
        <v>1083000</v>
      </c>
      <c r="I43" s="406">
        <v>3</v>
      </c>
      <c r="J43" s="407">
        <f>=AC43</f>
        <v>0</v>
      </c>
      <c r="K43" s="84">
        <f>=S43</f>
        <v>23300</v>
      </c>
      <c r="L43" s="83">
        <f>=K43*I43</f>
        <v>69900</v>
      </c>
      <c r="M43" s="398" t="s"/>
      <c r="N43" s="398" t="s"/>
      <c r="O43" s="398" t="s"/>
      <c r="P43" s="398" t="s"/>
      <c r="Q43" s="398" t="s">
        <v>689</v>
      </c>
      <c r="R43" s="398">
        <f>=AVERAGE(X43,AD43,AJ43,AP43)</f>
        <v>72188.89</v>
      </c>
      <c r="S43" s="399">
        <f>=MIN(X43,AD43,AJ43,AP43)</f>
        <v>23300</v>
      </c>
      <c r="T43" s="400" t="s">
        <v>690</v>
      </c>
      <c r="U43" s="400" t="s">
        <v>691</v>
      </c>
      <c r="V43" s="391">
        <v>33266.67</v>
      </c>
      <c r="W43" s="383" t="s"/>
      <c r="X43" s="408">
        <f>=V43*(1-W43)</f>
        <v>33266.67</v>
      </c>
      <c r="Y43" s="391">
        <f>=X43*I43</f>
        <v>99800.01</v>
      </c>
      <c r="Z43" s="400" t="s">
        <v>692</v>
      </c>
      <c r="AA43" s="400" t="s">
        <v>693</v>
      </c>
      <c r="AB43" s="391">
        <v>23300</v>
      </c>
      <c r="AC43" s="383" t="s"/>
      <c r="AD43" s="41">
        <f>=AB43*(1-AC43)</f>
        <v>23300</v>
      </c>
      <c r="AE43" s="41">
        <f>=AB43*I43</f>
        <v>69900</v>
      </c>
      <c r="AF43" s="400" t="s">
        <v>694</v>
      </c>
      <c r="AG43" s="400" t="s">
        <v>695</v>
      </c>
      <c r="AH43" s="400">
        <v>160000</v>
      </c>
      <c r="AI43" s="387" t="s"/>
      <c r="AJ43" s="41">
        <f>=AH43*(1-AI43)</f>
        <v>160000</v>
      </c>
      <c r="AK43" s="41">
        <f>=AH43*I43</f>
        <v>480000</v>
      </c>
      <c r="AL43" s="400" t="s">
        <v>696</v>
      </c>
      <c r="AM43" s="400" t="s">
        <v>697</v>
      </c>
      <c r="AN43" s="391">
        <v>550000</v>
      </c>
      <c r="AO43" s="41" t="s"/>
      <c r="AP43" s="41" t="s"/>
      <c r="AQ43" s="391">
        <f>=AN43*I43</f>
        <v>1650000</v>
      </c>
    </row>
    <row r="44" spans="1:43" s="999" customHeight="false">
      <c r="A44" s="404">
        <v>8</v>
      </c>
      <c r="B44" s="391" t="s">
        <v>698</v>
      </c>
      <c r="C44" s="391" t="s"/>
      <c r="D44" s="391" t="s">
        <v>699</v>
      </c>
      <c r="E44" s="404" t="s">
        <v>32</v>
      </c>
      <c r="F44" s="404">
        <v>3</v>
      </c>
      <c r="G44" s="404">
        <v>24900</v>
      </c>
      <c r="H44" s="405">
        <f>=G44*F44</f>
        <v>74700</v>
      </c>
      <c r="I44" s="404">
        <v>3</v>
      </c>
      <c r="J44" s="108">
        <f>=W44</f>
        <v>0.35</v>
      </c>
      <c r="K44" s="62">
        <f>=S44</f>
        <v>28923.7</v>
      </c>
      <c r="L44" s="37">
        <f>=K44*I44</f>
        <v>86771.1</v>
      </c>
      <c r="M44" s="398" t="s"/>
      <c r="N44" s="398" t="s"/>
      <c r="O44" s="398">
        <v>10500</v>
      </c>
      <c r="P44" s="398" t="s"/>
      <c r="Q44" s="398" t="s">
        <v>700</v>
      </c>
      <c r="R44" s="447">
        <f>=AVERAGE(X44,AD44,AJ44,AP44)</f>
        <v>40244.9</v>
      </c>
      <c r="S44" s="462">
        <f>=MIN(X44,AD44,AJ44,AP44)</f>
        <v>28923.7</v>
      </c>
      <c r="T44" s="400" t="s">
        <v>625</v>
      </c>
      <c r="U44" s="400" t="s">
        <v>626</v>
      </c>
      <c r="V44" s="404">
        <v>44498</v>
      </c>
      <c r="W44" s="383">
        <v>0.35</v>
      </c>
      <c r="X44" s="408">
        <f>=V44*(1-W44)</f>
        <v>28923.7</v>
      </c>
      <c r="Y44" s="391">
        <f>=X44*I44</f>
        <v>86771.1</v>
      </c>
      <c r="Z44" s="400" t="s">
        <v>627</v>
      </c>
      <c r="AA44" s="400" t="s">
        <v>628</v>
      </c>
      <c r="AB44" s="391">
        <v>49865</v>
      </c>
      <c r="AC44" s="383" t="s"/>
      <c r="AD44" s="41">
        <f>=AB44*(1-AC44)</f>
        <v>49865</v>
      </c>
      <c r="AE44" s="41">
        <f>=AB44*I44</f>
        <v>149595</v>
      </c>
      <c r="AF44" s="400" t="s">
        <v>629</v>
      </c>
      <c r="AG44" s="400" t="s">
        <v>630</v>
      </c>
      <c r="AH44" s="41">
        <v>41946</v>
      </c>
      <c r="AI44" s="387" t="s"/>
      <c r="AJ44" s="41">
        <f>=AH44*(1-AI44)</f>
        <v>41946</v>
      </c>
      <c r="AK44" s="41">
        <f>=AH44*I44</f>
        <v>125838</v>
      </c>
      <c r="AL44" s="400" t="s"/>
      <c r="AM44" s="400" t="s"/>
      <c r="AN44" s="391" t="s"/>
      <c r="AO44" s="41" t="s"/>
      <c r="AP44" s="41" t="s"/>
      <c r="AQ44" s="391" t="s"/>
    </row>
    <row r="45" spans="1:43" s="999" customHeight="false">
      <c r="A45" s="466" t="s">
        <v>566</v>
      </c>
      <c r="B45" s="467" t="s">
        <v>701</v>
      </c>
      <c r="C45" s="390" t="s"/>
      <c r="D45" s="41" t="s"/>
      <c r="E45" s="429" t="s"/>
      <c r="F45" s="429" t="s"/>
      <c r="G45" s="429" t="s"/>
      <c r="H45" s="430" t="s"/>
      <c r="I45" s="429" t="s"/>
      <c r="J45" s="108" t="s"/>
      <c r="K45" s="80" t="s"/>
      <c r="L45" s="80" t="s"/>
      <c r="M45" s="358" t="s"/>
      <c r="N45" s="358" t="s"/>
      <c r="O45" s="358" t="s"/>
      <c r="P45" s="358" t="s"/>
      <c r="Q45" s="358" t="s"/>
      <c r="R45" s="358" t="s"/>
      <c r="S45" s="468" t="s"/>
      <c r="T45" s="41" t="s"/>
      <c r="U45" s="41" t="s"/>
      <c r="V45" s="469" t="s"/>
      <c r="W45" s="470" t="s"/>
      <c r="X45" s="471" t="s"/>
      <c r="Y45" s="41" t="s"/>
      <c r="Z45" s="41" t="s"/>
      <c r="AA45" s="41" t="s"/>
      <c r="AB45" s="429" t="s"/>
      <c r="AC45" s="424" t="s"/>
      <c r="AD45" s="41" t="s"/>
      <c r="AE45" s="429" t="s"/>
      <c r="AF45" s="41" t="s"/>
      <c r="AG45" s="41" t="s"/>
      <c r="AH45" s="453" t="s"/>
      <c r="AI45" s="452" t="s"/>
      <c r="AJ45" s="453" t="s"/>
      <c r="AK45" s="453" t="s"/>
      <c r="AL45" s="41" t="s"/>
      <c r="AM45" s="41" t="s"/>
      <c r="AN45" s="41" t="s"/>
      <c r="AO45" s="41" t="s"/>
      <c r="AP45" s="41" t="s"/>
      <c r="AQ45" s="41" t="s"/>
    </row>
    <row r="46" spans="1:43" s="999" customHeight="false">
      <c r="A46" s="404">
        <v>1</v>
      </c>
      <c r="B46" s="391" t="s">
        <v>596</v>
      </c>
      <c r="C46" s="391" t="s"/>
      <c r="D46" s="391" t="s">
        <v>702</v>
      </c>
      <c r="E46" s="404" t="s">
        <v>32</v>
      </c>
      <c r="F46" s="404">
        <v>10</v>
      </c>
      <c r="G46" s="404">
        <v>24800</v>
      </c>
      <c r="H46" s="405">
        <f>=G46*F46</f>
        <v>248000</v>
      </c>
      <c r="I46" s="404">
        <v>10</v>
      </c>
      <c r="J46" s="108">
        <f>=AC46</f>
        <v>0.2</v>
      </c>
      <c r="K46" s="62">
        <f>=S46</f>
        <v>42800</v>
      </c>
      <c r="L46" s="37">
        <f>=K46*I46</f>
        <v>428000</v>
      </c>
      <c r="M46" s="398" t="s"/>
      <c r="N46" s="398" t="s"/>
      <c r="O46" s="398" t="s">
        <v>703</v>
      </c>
      <c r="P46" s="398" t="s"/>
      <c r="Q46" s="398" t="s"/>
      <c r="R46" s="447">
        <f>=AVERAGE(X46,AD46,AJ46,AP46)</f>
        <v>56133.3333333333</v>
      </c>
      <c r="S46" s="462">
        <f>=MIN(X46,AD46,AJ46,AP46)</f>
        <v>42800</v>
      </c>
      <c r="T46" s="400" t="s">
        <v>590</v>
      </c>
      <c r="U46" s="400" t="s">
        <v>591</v>
      </c>
      <c r="V46" s="391">
        <v>55000</v>
      </c>
      <c r="W46" s="383">
        <v>0.2</v>
      </c>
      <c r="X46" s="408">
        <f>=V46*(1-W46)</f>
        <v>44000</v>
      </c>
      <c r="Y46" s="391">
        <f>=X46*I46</f>
        <v>440000</v>
      </c>
      <c r="Z46" s="400" t="s">
        <v>592</v>
      </c>
      <c r="AA46" s="400" t="s">
        <v>593</v>
      </c>
      <c r="AB46" s="391">
        <v>53500</v>
      </c>
      <c r="AC46" s="383">
        <v>0.2</v>
      </c>
      <c r="AD46" s="41">
        <f>=AB46*(1-AC46)</f>
        <v>42800</v>
      </c>
      <c r="AE46" s="41">
        <f>=AB46*I46</f>
        <v>535000</v>
      </c>
      <c r="AF46" s="400" t="s">
        <v>594</v>
      </c>
      <c r="AG46" s="400" t="s">
        <v>595</v>
      </c>
      <c r="AH46" s="41">
        <v>81600</v>
      </c>
      <c r="AI46" s="387" t="s"/>
      <c r="AJ46" s="41">
        <f>=AH46*(1-AI46)</f>
        <v>81600</v>
      </c>
      <c r="AK46" s="41">
        <f>=AH46*I46</f>
        <v>816000</v>
      </c>
      <c r="AL46" s="400" t="s"/>
      <c r="AM46" s="400" t="s"/>
      <c r="AN46" s="391" t="s"/>
      <c r="AO46" s="41" t="s"/>
      <c r="AP46" s="41" t="s"/>
      <c r="AQ46" s="391" t="s"/>
    </row>
    <row r="47" spans="1:43" s="999" customHeight="false">
      <c r="A47" s="404">
        <v>2</v>
      </c>
      <c r="B47" s="391" t="s">
        <v>609</v>
      </c>
      <c r="C47" s="391" t="s"/>
      <c r="D47" s="391" t="s">
        <v>670</v>
      </c>
      <c r="E47" s="404" t="s">
        <v>36</v>
      </c>
      <c r="F47" s="404">
        <v>1</v>
      </c>
      <c r="G47" s="404">
        <v>5200</v>
      </c>
      <c r="H47" s="405">
        <f>=G47*F47</f>
        <v>5200</v>
      </c>
      <c r="I47" s="404">
        <v>1</v>
      </c>
      <c r="J47" s="108">
        <f>=AC47</f>
        <v>0.2</v>
      </c>
      <c r="K47" s="62">
        <f>=S47</f>
        <v>5200</v>
      </c>
      <c r="L47" s="37">
        <f>=K47*I47</f>
        <v>5200</v>
      </c>
      <c r="M47" s="398" t="s"/>
      <c r="N47" s="398" t="s"/>
      <c r="O47" s="398">
        <v>6000</v>
      </c>
      <c r="P47" s="398" t="s"/>
      <c r="Q47" s="398">
        <v>5000</v>
      </c>
      <c r="R47" s="447">
        <f>=AVERAGE(X47,AD47,AJ47,AP47)</f>
        <v>6466.66666666667</v>
      </c>
      <c r="S47" s="462">
        <f>=MIN(X47,AD47,AJ47,AP47)</f>
        <v>5200</v>
      </c>
      <c r="T47" s="400" t="s">
        <v>590</v>
      </c>
      <c r="U47" s="400" t="s">
        <v>591</v>
      </c>
      <c r="V47" s="391">
        <v>8000</v>
      </c>
      <c r="W47" s="383">
        <v>0.2</v>
      </c>
      <c r="X47" s="408">
        <f>=V47*(1-W47)</f>
        <v>6400</v>
      </c>
      <c r="Y47" s="391">
        <f>=X47*I47</f>
        <v>6400</v>
      </c>
      <c r="Z47" s="400" t="s">
        <v>592</v>
      </c>
      <c r="AA47" s="400" t="s">
        <v>593</v>
      </c>
      <c r="AB47" s="391">
        <v>6500</v>
      </c>
      <c r="AC47" s="383">
        <v>0.2</v>
      </c>
      <c r="AD47" s="41">
        <f>=AB47*(1-AC47)</f>
        <v>5200</v>
      </c>
      <c r="AE47" s="41">
        <f>=AB47*I47</f>
        <v>6500</v>
      </c>
      <c r="AF47" s="400" t="s">
        <v>594</v>
      </c>
      <c r="AG47" s="400" t="s">
        <v>595</v>
      </c>
      <c r="AH47" s="41">
        <v>7800</v>
      </c>
      <c r="AI47" s="387" t="s"/>
      <c r="AJ47" s="41">
        <f>=AH47*(1-AI47)</f>
        <v>7800</v>
      </c>
      <c r="AK47" s="41">
        <f>=AH47*I47</f>
        <v>7800</v>
      </c>
      <c r="AL47" s="400" t="s"/>
      <c r="AM47" s="400" t="s"/>
      <c r="AN47" s="391" t="s"/>
      <c r="AO47" s="41" t="s"/>
      <c r="AP47" s="41" t="s"/>
      <c r="AQ47" s="391" t="s"/>
    </row>
    <row r="48" spans="1:43" s="999" customHeight="false">
      <c r="A48" s="404">
        <v>3</v>
      </c>
      <c r="B48" s="391" t="s">
        <v>698</v>
      </c>
      <c r="C48" s="391" t="s"/>
      <c r="D48" s="391" t="s">
        <v>704</v>
      </c>
      <c r="E48" s="404" t="s">
        <v>45</v>
      </c>
      <c r="F48" s="404">
        <v>4</v>
      </c>
      <c r="G48" s="404">
        <v>87200</v>
      </c>
      <c r="H48" s="405">
        <f>=G48*F48</f>
        <v>348800</v>
      </c>
      <c r="I48" s="404">
        <v>4</v>
      </c>
      <c r="J48" s="108">
        <f>=W48</f>
        <v>0.35</v>
      </c>
      <c r="K48" s="62">
        <f>=S48</f>
        <v>63811.15</v>
      </c>
      <c r="L48" s="37">
        <f>=K48*I48</f>
        <v>255244.6</v>
      </c>
      <c r="M48" s="398" t="s"/>
      <c r="N48" s="398" t="s"/>
      <c r="O48" s="398" t="s">
        <v>705</v>
      </c>
      <c r="P48" s="398" t="s"/>
      <c r="Q48" s="398" t="s">
        <v>706</v>
      </c>
      <c r="R48" s="447">
        <f>=AVERAGE(X48,AD48,AJ48,AP48)</f>
        <v>85832.7166666667</v>
      </c>
      <c r="S48" s="462">
        <f>=MIN(X48,AD48,AJ48,AP48)</f>
        <v>63811.15</v>
      </c>
      <c r="T48" s="400" t="s">
        <v>625</v>
      </c>
      <c r="U48" s="400" t="s">
        <v>626</v>
      </c>
      <c r="V48" s="404">
        <v>98171</v>
      </c>
      <c r="W48" s="383">
        <v>0.35</v>
      </c>
      <c r="X48" s="408">
        <f>=V48*(1-W48)</f>
        <v>63811.15</v>
      </c>
      <c r="Y48" s="391">
        <f>=X48*I48</f>
        <v>255244.6</v>
      </c>
      <c r="Z48" s="400" t="s">
        <v>627</v>
      </c>
      <c r="AA48" s="400" t="s">
        <v>628</v>
      </c>
      <c r="AB48" s="391">
        <v>109913</v>
      </c>
      <c r="AC48" s="383" t="s"/>
      <c r="AD48" s="41">
        <f>=AB48*(1-AC48)</f>
        <v>109913</v>
      </c>
      <c r="AE48" s="41">
        <f>=AB48*I48</f>
        <v>439652</v>
      </c>
      <c r="AF48" s="400" t="s">
        <v>629</v>
      </c>
      <c r="AG48" s="400" t="s">
        <v>630</v>
      </c>
      <c r="AH48" s="41">
        <v>83774</v>
      </c>
      <c r="AI48" s="387" t="s"/>
      <c r="AJ48" s="41">
        <f>=AH48*(1-AI48)</f>
        <v>83774</v>
      </c>
      <c r="AK48" s="41">
        <f>=AH48*I48</f>
        <v>335096</v>
      </c>
      <c r="AL48" s="400" t="s"/>
      <c r="AM48" s="400" t="s"/>
      <c r="AN48" s="391" t="s"/>
      <c r="AO48" s="41" t="s"/>
      <c r="AP48" s="41" t="s"/>
      <c r="AQ48" s="391" t="s"/>
    </row>
    <row r="49" spans="1:43" s="999" customHeight="false">
      <c r="A49" s="455" t="s">
        <v>568</v>
      </c>
      <c r="B49" s="456" t="s">
        <v>707</v>
      </c>
      <c r="C49" s="390" t="s"/>
      <c r="D49" s="391" t="s"/>
      <c r="E49" s="404" t="s"/>
      <c r="F49" s="404" t="s"/>
      <c r="G49" s="404" t="s"/>
      <c r="H49" s="405" t="s"/>
      <c r="I49" s="404" t="s"/>
      <c r="J49" s="108" t="s"/>
      <c r="K49" s="80" t="s"/>
      <c r="L49" s="80" t="s"/>
      <c r="M49" s="358" t="s"/>
      <c r="N49" s="358" t="s"/>
      <c r="O49" s="358" t="s"/>
      <c r="P49" s="358" t="s"/>
      <c r="Q49" s="358" t="s"/>
      <c r="R49" s="358" t="s"/>
      <c r="S49" s="468" t="s"/>
      <c r="T49" s="400" t="s"/>
      <c r="U49" s="400" t="s"/>
      <c r="V49" s="406" t="s"/>
      <c r="W49" s="470" t="s"/>
      <c r="X49" s="471" t="s"/>
      <c r="Y49" s="391" t="s"/>
      <c r="Z49" s="400" t="s"/>
      <c r="AA49" s="400" t="s"/>
      <c r="AB49" s="404" t="s"/>
      <c r="AC49" s="424" t="s"/>
      <c r="AD49" s="41" t="s"/>
      <c r="AE49" s="404" t="s"/>
      <c r="AF49" s="400" t="s"/>
      <c r="AG49" s="400" t="s"/>
      <c r="AH49" s="41" t="s"/>
      <c r="AI49" s="452" t="s"/>
      <c r="AJ49" s="453" t="s"/>
      <c r="AK49" s="453" t="s"/>
      <c r="AL49" s="400" t="s"/>
      <c r="AM49" s="400" t="s"/>
      <c r="AN49" s="391" t="s"/>
      <c r="AO49" s="41" t="s"/>
      <c r="AP49" s="41" t="s"/>
      <c r="AQ49" s="391" t="s"/>
    </row>
    <row r="50" spans="1:43" s="999" customHeight="false">
      <c r="A50" s="404">
        <v>1</v>
      </c>
      <c r="B50" s="391" t="s">
        <v>708</v>
      </c>
      <c r="C50" s="391" t="s"/>
      <c r="D50" s="391" t="s">
        <v>709</v>
      </c>
      <c r="E50" s="404" t="s">
        <v>710</v>
      </c>
      <c r="F50" s="404">
        <v>2</v>
      </c>
      <c r="G50" s="472">
        <f>=1404.62*3.25*0.35</f>
        <v>1597.75525</v>
      </c>
      <c r="H50" s="405">
        <f>=F50*G50</f>
        <v>3195.5105</v>
      </c>
      <c r="I50" s="404">
        <v>2</v>
      </c>
      <c r="J50" s="108">
        <f>=AC50</f>
        <v>0.2</v>
      </c>
      <c r="K50" s="62">
        <f>=S50</f>
        <v>960</v>
      </c>
      <c r="L50" s="37">
        <f>=K50*I50</f>
        <v>1920</v>
      </c>
      <c r="M50" s="398" t="s"/>
      <c r="N50" s="398" t="s"/>
      <c r="O50" s="398" t="s"/>
      <c r="P50" s="398" t="s"/>
      <c r="Q50" s="398">
        <v>1500</v>
      </c>
      <c r="R50" s="447">
        <f>=AVERAGE(X50,AD50,AJ50,AP50)</f>
        <v>5112</v>
      </c>
      <c r="S50" s="462">
        <f>=MIN(X50,AD50,AJ50,AP50)</f>
        <v>960</v>
      </c>
      <c r="T50" s="400" t="s">
        <v>590</v>
      </c>
      <c r="U50" s="400" t="s">
        <v>591</v>
      </c>
      <c r="V50" s="391">
        <v>15000</v>
      </c>
      <c r="W50" s="383">
        <v>0.2</v>
      </c>
      <c r="X50" s="408">
        <f>=V50*(1-W50)</f>
        <v>12000</v>
      </c>
      <c r="Y50" s="391">
        <f>=X50*I50</f>
        <v>24000</v>
      </c>
      <c r="Z50" s="400" t="s">
        <v>592</v>
      </c>
      <c r="AA50" s="400" t="s">
        <v>593</v>
      </c>
      <c r="AB50" s="391">
        <v>1200</v>
      </c>
      <c r="AC50" s="383">
        <v>0.2</v>
      </c>
      <c r="AD50" s="41">
        <f>=AB50*(1-AC50)</f>
        <v>960</v>
      </c>
      <c r="AE50" s="41">
        <f>=AB50*I50</f>
        <v>2400</v>
      </c>
      <c r="AF50" s="400" t="s">
        <v>594</v>
      </c>
      <c r="AG50" s="400" t="s">
        <v>595</v>
      </c>
      <c r="AH50" s="41">
        <v>2376</v>
      </c>
      <c r="AI50" s="387" t="s"/>
      <c r="AJ50" s="41">
        <f>=AH50*(1-AI50)</f>
        <v>2376</v>
      </c>
      <c r="AK50" s="41">
        <f>=AH50*I50</f>
        <v>4752</v>
      </c>
      <c r="AL50" s="400" t="s"/>
      <c r="AM50" s="400" t="s"/>
      <c r="AN50" s="391" t="s"/>
      <c r="AO50" s="41" t="s"/>
      <c r="AP50" s="41" t="s"/>
      <c r="AQ50" s="391" t="s"/>
    </row>
    <row r="51" spans="1:43" s="999" customHeight="false">
      <c r="A51" s="404">
        <v>2</v>
      </c>
      <c r="B51" s="391" t="s">
        <v>708</v>
      </c>
      <c r="C51" s="391" t="s"/>
      <c r="D51" s="400" t="s">
        <v>711</v>
      </c>
      <c r="E51" s="404" t="s">
        <v>710</v>
      </c>
      <c r="F51" s="404">
        <v>4</v>
      </c>
      <c r="G51" s="472">
        <f>=1404.62*2.9*0.35</f>
        <v>1425.6893</v>
      </c>
      <c r="H51" s="405">
        <f>=F51*G51</f>
        <v>5702.7572</v>
      </c>
      <c r="I51" s="406">
        <v>4</v>
      </c>
      <c r="J51" s="108">
        <f>=AC51</f>
        <v>0.2</v>
      </c>
      <c r="K51" s="84">
        <f>=S51</f>
        <v>880</v>
      </c>
      <c r="L51" s="83">
        <f>=K51*I51</f>
        <v>3520</v>
      </c>
      <c r="M51" s="398" t="s"/>
      <c r="N51" s="398" t="s"/>
      <c r="O51" s="398" t="s"/>
      <c r="P51" s="398" t="s"/>
      <c r="Q51" s="398">
        <v>1500</v>
      </c>
      <c r="R51" s="447">
        <f>=AVERAGE(X51,AD51,AJ51,AP51)</f>
        <v>4201.33333333333</v>
      </c>
      <c r="S51" s="462">
        <f>=MIN(X51,AD51,AJ51,AP51)</f>
        <v>880</v>
      </c>
      <c r="T51" s="400" t="s">
        <v>590</v>
      </c>
      <c r="U51" s="400" t="s">
        <v>591</v>
      </c>
      <c r="V51" s="391">
        <v>12000</v>
      </c>
      <c r="W51" s="383">
        <v>0.2</v>
      </c>
      <c r="X51" s="408">
        <f>=V51*(1-W51)</f>
        <v>9600</v>
      </c>
      <c r="Y51" s="391">
        <f>=X51*I51</f>
        <v>38400</v>
      </c>
      <c r="Z51" s="400" t="s">
        <v>592</v>
      </c>
      <c r="AA51" s="400" t="s">
        <v>593</v>
      </c>
      <c r="AB51" s="391">
        <v>1100</v>
      </c>
      <c r="AC51" s="383">
        <v>0.2</v>
      </c>
      <c r="AD51" s="41">
        <f>=AB51*(1-AC51)</f>
        <v>880</v>
      </c>
      <c r="AE51" s="41">
        <f>=AB51*I51</f>
        <v>4400</v>
      </c>
      <c r="AF51" s="400" t="s">
        <v>594</v>
      </c>
      <c r="AG51" s="400" t="s">
        <v>595</v>
      </c>
      <c r="AH51" s="41">
        <v>2124</v>
      </c>
      <c r="AI51" s="387" t="s"/>
      <c r="AJ51" s="41">
        <f>=AH51*(1-AI51)</f>
        <v>2124</v>
      </c>
      <c r="AK51" s="41">
        <f>=AH51*I51</f>
        <v>8496</v>
      </c>
      <c r="AL51" s="400" t="s"/>
      <c r="AM51" s="400" t="s"/>
      <c r="AN51" s="391" t="s"/>
      <c r="AO51" s="41" t="s"/>
      <c r="AP51" s="41" t="s"/>
      <c r="AQ51" s="391" t="s"/>
    </row>
    <row r="52" spans="1:43" s="999" customHeight="false">
      <c r="A52" s="455" t="s">
        <v>570</v>
      </c>
      <c r="B52" s="456" t="s">
        <v>712</v>
      </c>
      <c r="C52" s="390" t="s"/>
      <c r="D52" s="391" t="s"/>
      <c r="E52" s="404" t="s"/>
      <c r="F52" s="404" t="s"/>
      <c r="G52" s="404" t="s"/>
      <c r="H52" s="405" t="s"/>
      <c r="I52" s="404" t="s"/>
      <c r="J52" s="108" t="s"/>
      <c r="K52" s="80" t="s"/>
      <c r="L52" s="80" t="s"/>
      <c r="M52" s="358" t="s"/>
      <c r="N52" s="358" t="s"/>
      <c r="O52" s="358" t="s"/>
      <c r="P52" s="358" t="s"/>
      <c r="Q52" s="358" t="s"/>
      <c r="R52" s="358" t="s"/>
      <c r="S52" s="468" t="s"/>
      <c r="T52" s="400" t="s"/>
      <c r="U52" s="400" t="s"/>
      <c r="V52" s="406" t="s"/>
      <c r="W52" s="470" t="s"/>
      <c r="X52" s="471" t="s"/>
      <c r="Y52" s="391" t="s"/>
      <c r="Z52" s="400" t="s"/>
      <c r="AA52" s="400" t="s"/>
      <c r="AB52" s="404" t="s"/>
      <c r="AC52" s="383" t="s"/>
      <c r="AD52" s="41" t="s"/>
      <c r="AE52" s="391">
        <f>=AB52*F52</f>
        <v>0</v>
      </c>
      <c r="AF52" s="400" t="s"/>
      <c r="AG52" s="400" t="s"/>
      <c r="AH52" s="453" t="s"/>
      <c r="AI52" s="452" t="s"/>
      <c r="AJ52" s="453" t="s"/>
      <c r="AK52" s="453" t="s"/>
      <c r="AL52" s="400" t="s"/>
      <c r="AM52" s="400" t="s"/>
      <c r="AN52" s="391" t="s"/>
      <c r="AO52" s="41" t="s"/>
      <c r="AP52" s="41" t="s"/>
      <c r="AQ52" s="391" t="s"/>
    </row>
    <row r="53" spans="1:43" s="999" customHeight="false">
      <c r="A53" s="404">
        <v>1</v>
      </c>
      <c r="B53" s="391" t="s">
        <v>713</v>
      </c>
      <c r="C53" s="391" t="s"/>
      <c r="D53" s="391" t="s">
        <v>714</v>
      </c>
      <c r="E53" s="404" t="s">
        <v>45</v>
      </c>
      <c r="F53" s="404">
        <v>2592</v>
      </c>
      <c r="G53" s="473">
        <f>=941000/2592</f>
        <v>363.04012345679</v>
      </c>
      <c r="H53" s="405">
        <f>=G53*F53</f>
        <v>941000</v>
      </c>
      <c r="I53" s="404">
        <v>2592</v>
      </c>
      <c r="J53" s="108">
        <f>=AI53</f>
        <v>0</v>
      </c>
      <c r="K53" s="62">
        <f>=S53+45</f>
        <v>150</v>
      </c>
      <c r="L53" s="37">
        <f>=K53*I53</f>
        <v>388800</v>
      </c>
      <c r="M53" s="398" t="s"/>
      <c r="N53" s="398" t="s"/>
      <c r="O53" s="398">
        <v>150</v>
      </c>
      <c r="P53" s="398" t="s"/>
      <c r="Q53" s="398">
        <v>240</v>
      </c>
      <c r="R53" s="447">
        <f>=AVERAGE(X53,AD53,AJ53,AP53)</f>
        <v>146.5</v>
      </c>
      <c r="S53" s="462">
        <f>=MIN(X53,AD53,AJ53,AP53)</f>
        <v>105</v>
      </c>
      <c r="T53" s="400" t="s">
        <v>715</v>
      </c>
      <c r="U53" s="400" t="s">
        <v>716</v>
      </c>
      <c r="V53" s="391">
        <v>188</v>
      </c>
      <c r="W53" s="383" t="s"/>
      <c r="X53" s="408">
        <f>=V53*(1-W53)</f>
        <v>188</v>
      </c>
      <c r="Y53" s="391">
        <f>=X53*I53</f>
        <v>487296</v>
      </c>
      <c r="Z53" s="400" t="s">
        <v>717</v>
      </c>
      <c r="AA53" s="400" t="s">
        <v>718</v>
      </c>
      <c r="AB53" s="404" t="s">
        <v>719</v>
      </c>
      <c r="AC53" s="424" t="s"/>
      <c r="AD53" s="41" t="s"/>
      <c r="AE53" s="404" t="s">
        <v>719</v>
      </c>
      <c r="AF53" s="400" t="s">
        <v>720</v>
      </c>
      <c r="AG53" s="400" t="s">
        <v>721</v>
      </c>
      <c r="AH53" s="41">
        <v>105</v>
      </c>
      <c r="AI53" s="387" t="s"/>
      <c r="AJ53" s="41">
        <f>=AH53*(1-AI53)</f>
        <v>105</v>
      </c>
      <c r="AK53" s="41">
        <f>=AH53*I53</f>
        <v>272160</v>
      </c>
      <c r="AL53" s="400" t="s"/>
      <c r="AM53" s="400" t="s"/>
      <c r="AN53" s="391" t="s"/>
      <c r="AO53" s="41" t="s"/>
      <c r="AP53" s="41" t="s"/>
      <c r="AQ53" s="391" t="s"/>
    </row>
    <row r="54" spans="1:43" s="999" customHeight="false">
      <c r="A54" s="404">
        <v>2</v>
      </c>
      <c r="B54" s="391" t="s">
        <v>722</v>
      </c>
      <c r="C54" s="391" t="s"/>
      <c r="D54" s="400" t="s">
        <v>723</v>
      </c>
      <c r="E54" s="404" t="s">
        <v>32</v>
      </c>
      <c r="F54" s="404">
        <v>4</v>
      </c>
      <c r="G54" s="404">
        <v>200000</v>
      </c>
      <c r="H54" s="405">
        <f>=G54*F54</f>
        <v>800000</v>
      </c>
      <c r="I54" s="406">
        <v>4</v>
      </c>
      <c r="J54" s="407">
        <f>=W54</f>
        <v>0</v>
      </c>
      <c r="K54" s="84">
        <f>=S54</f>
        <v>270000</v>
      </c>
      <c r="L54" s="83">
        <f>=K54*I54</f>
        <v>1080000</v>
      </c>
      <c r="M54" s="414">
        <f>=K54*0.9</f>
        <v>243000</v>
      </c>
      <c r="N54" s="398">
        <f>=M54*I54-I54*K54</f>
        <v>-108000</v>
      </c>
      <c r="O54" s="398" t="s">
        <v>724</v>
      </c>
      <c r="P54" s="398" t="s"/>
      <c r="Q54" s="398" t="s">
        <v>725</v>
      </c>
      <c r="R54" s="447">
        <f>=AVERAGE(X54,AD54,AJ54,AP54)</f>
        <v>349563.333333333</v>
      </c>
      <c r="S54" s="462">
        <f>=MIN(X54,AD54,AJ54,AP54)</f>
        <v>270000</v>
      </c>
      <c r="T54" s="400" t="s">
        <v>726</v>
      </c>
      <c r="U54" s="400" t="s">
        <v>727</v>
      </c>
      <c r="V54" s="391">
        <v>270000</v>
      </c>
      <c r="W54" s="383" t="s"/>
      <c r="X54" s="408">
        <f>=V54*(1-W54)</f>
        <v>270000</v>
      </c>
      <c r="Y54" s="391">
        <f>=X54*I54</f>
        <v>1080000</v>
      </c>
      <c r="Z54" s="400" t="s">
        <v>728</v>
      </c>
      <c r="AA54" s="400" t="s">
        <v>729</v>
      </c>
      <c r="AB54" s="410">
        <v>328690</v>
      </c>
      <c r="AC54" s="383" t="s"/>
      <c r="AD54" s="41">
        <f>=AB54*(1-AC54)</f>
        <v>328690</v>
      </c>
      <c r="AE54" s="391">
        <f>=AB54*I54</f>
        <v>1314760</v>
      </c>
      <c r="AF54" s="400" t="s">
        <v>730</v>
      </c>
      <c r="AG54" s="400" t="s">
        <v>731</v>
      </c>
      <c r="AH54" s="41">
        <v>450000</v>
      </c>
      <c r="AI54" s="387" t="s"/>
      <c r="AJ54" s="41">
        <f>=AH54*(1-AI54)</f>
        <v>450000</v>
      </c>
      <c r="AK54" s="41">
        <f>=AH54*I54</f>
        <v>1800000</v>
      </c>
      <c r="AL54" s="400" t="s"/>
      <c r="AM54" s="400" t="s"/>
      <c r="AN54" s="391" t="s"/>
      <c r="AO54" s="41" t="s"/>
      <c r="AP54" s="41" t="s"/>
      <c r="AQ54" s="391" t="s"/>
    </row>
    <row r="55" spans="1:43" s="999" customHeight="false">
      <c r="A55" s="404">
        <v>3</v>
      </c>
      <c r="B55" s="391" t="s">
        <v>732</v>
      </c>
      <c r="C55" s="391" t="s"/>
      <c r="D55" s="400" t="s">
        <v>733</v>
      </c>
      <c r="E55" s="404" t="s">
        <v>32</v>
      </c>
      <c r="F55" s="404">
        <v>6</v>
      </c>
      <c r="G55" s="404">
        <v>180000</v>
      </c>
      <c r="H55" s="405">
        <f>=G55*F55</f>
        <v>1080000</v>
      </c>
      <c r="I55" s="404">
        <v>6</v>
      </c>
      <c r="J55" s="446">
        <f>=W55</f>
        <v>0</v>
      </c>
      <c r="K55" s="62">
        <f>=S55</f>
        <v>210000</v>
      </c>
      <c r="L55" s="37">
        <f>=K55*I55</f>
        <v>1260000</v>
      </c>
      <c r="M55" s="414">
        <f>=K55*0.9</f>
        <v>189000</v>
      </c>
      <c r="N55" s="398">
        <f>=M55*I55-I55*K55</f>
        <v>-126000</v>
      </c>
      <c r="O55" s="398">
        <v>138000</v>
      </c>
      <c r="P55" s="398" t="s"/>
      <c r="Q55" s="398" t="s">
        <v>725</v>
      </c>
      <c r="R55" s="447">
        <f>=AVERAGE(X55,AD55,AJ55,AP55)</f>
        <v>288793.333333333</v>
      </c>
      <c r="S55" s="462">
        <f>=MIN(X55,AD55,AJ55,AP55)</f>
        <v>210000</v>
      </c>
      <c r="T55" s="400" t="s">
        <v>726</v>
      </c>
      <c r="U55" s="400" t="s">
        <v>727</v>
      </c>
      <c r="V55" s="391">
        <v>210000</v>
      </c>
      <c r="W55" s="383" t="s"/>
      <c r="X55" s="408">
        <f>=V55*(1-W55)</f>
        <v>210000</v>
      </c>
      <c r="Y55" s="391">
        <f>=X55*I55</f>
        <v>1260000</v>
      </c>
      <c r="Z55" s="400" t="s">
        <v>728</v>
      </c>
      <c r="AA55" s="400" t="s">
        <v>729</v>
      </c>
      <c r="AB55" s="410">
        <v>296380</v>
      </c>
      <c r="AC55" s="383" t="s"/>
      <c r="AD55" s="41">
        <f>=AB55*(1-AC55)</f>
        <v>296380</v>
      </c>
      <c r="AE55" s="391">
        <f>=AB55*I55</f>
        <v>1778280</v>
      </c>
      <c r="AF55" s="400" t="s">
        <v>730</v>
      </c>
      <c r="AG55" s="400" t="s">
        <v>731</v>
      </c>
      <c r="AH55" s="41">
        <v>360000</v>
      </c>
      <c r="AI55" s="387" t="s"/>
      <c r="AJ55" s="41">
        <f>=AH55*(1-AI55)</f>
        <v>360000</v>
      </c>
      <c r="AK55" s="41">
        <f>=AH55*I55</f>
        <v>2160000</v>
      </c>
      <c r="AL55" s="400" t="s"/>
      <c r="AM55" s="400" t="s"/>
      <c r="AN55" s="391" t="s"/>
      <c r="AO55" s="41" t="s"/>
      <c r="AP55" s="41" t="s"/>
      <c r="AQ55" s="391" t="s"/>
    </row>
    <row r="56" spans="1:43" s="999" customHeight="false">
      <c r="A56" s="404">
        <v>4</v>
      </c>
      <c r="B56" s="391" t="s">
        <v>734</v>
      </c>
      <c r="C56" s="391" t="s"/>
      <c r="D56" s="400" t="s">
        <v>735</v>
      </c>
      <c r="E56" s="404" t="s">
        <v>36</v>
      </c>
      <c r="F56" s="404">
        <v>2</v>
      </c>
      <c r="G56" s="404">
        <v>91100</v>
      </c>
      <c r="H56" s="405">
        <f>=G56*F56</f>
        <v>182200</v>
      </c>
      <c r="I56" s="404">
        <v>2</v>
      </c>
      <c r="J56" s="108">
        <f>=AC56</f>
        <v>0</v>
      </c>
      <c r="K56" s="62">
        <f>=S56</f>
        <v>38500</v>
      </c>
      <c r="L56" s="37">
        <f>=K56*I56</f>
        <v>77000</v>
      </c>
      <c r="M56" s="398" t="s"/>
      <c r="N56" s="398" t="s"/>
      <c r="O56" s="398" t="s">
        <v>736</v>
      </c>
      <c r="P56" s="398" t="s"/>
      <c r="Q56" s="398" t="s">
        <v>737</v>
      </c>
      <c r="R56" s="447">
        <f>=AVERAGE(X56,AD56,AJ56,AP56)</f>
        <v>52900</v>
      </c>
      <c r="S56" s="462">
        <f>=MIN(X56,AD56,AJ56,AP56)</f>
        <v>38500</v>
      </c>
      <c r="T56" s="400" t="s">
        <v>590</v>
      </c>
      <c r="U56" s="400" t="s">
        <v>591</v>
      </c>
      <c r="V56" s="391">
        <v>82000</v>
      </c>
      <c r="W56" s="383">
        <v>0.2</v>
      </c>
      <c r="X56" s="408">
        <f>=V56*(1-W56)</f>
        <v>65600</v>
      </c>
      <c r="Y56" s="391">
        <f>=X56*I56</f>
        <v>131200</v>
      </c>
      <c r="Z56" s="400" t="s">
        <v>592</v>
      </c>
      <c r="AA56" s="400" t="s">
        <v>593</v>
      </c>
      <c r="AB56" s="391">
        <v>38500</v>
      </c>
      <c r="AC56" s="383" t="s"/>
      <c r="AD56" s="41">
        <f>=AB56*(1-AC56)</f>
        <v>38500</v>
      </c>
      <c r="AE56" s="41">
        <f>=AB56*I56</f>
        <v>77000</v>
      </c>
      <c r="AF56" s="400" t="s">
        <v>594</v>
      </c>
      <c r="AG56" s="400" t="s">
        <v>595</v>
      </c>
      <c r="AH56" s="41">
        <v>54600</v>
      </c>
      <c r="AI56" s="387" t="s"/>
      <c r="AJ56" s="41">
        <f>=AH56*(1-AI56)</f>
        <v>54600</v>
      </c>
      <c r="AK56" s="41">
        <f>=AH56*I56</f>
        <v>109200</v>
      </c>
      <c r="AL56" s="400" t="s"/>
      <c r="AM56" s="400" t="s"/>
      <c r="AN56" s="391" t="s"/>
      <c r="AO56" s="41" t="s"/>
      <c r="AP56" s="41" t="s"/>
      <c r="AQ56" s="391" t="s"/>
    </row>
    <row r="57" spans="1:43" s="999" customHeight="false">
      <c r="A57" s="404">
        <v>5</v>
      </c>
      <c r="B57" s="391" t="s">
        <v>738</v>
      </c>
      <c r="C57" s="391" t="s"/>
      <c r="D57" s="400" t="s">
        <v>739</v>
      </c>
      <c r="E57" s="404" t="s">
        <v>36</v>
      </c>
      <c r="F57" s="404">
        <v>2</v>
      </c>
      <c r="G57" s="404">
        <v>95800</v>
      </c>
      <c r="H57" s="405">
        <f>=G57*F57</f>
        <v>191600</v>
      </c>
      <c r="I57" s="406">
        <v>2</v>
      </c>
      <c r="J57" s="407">
        <f>=AC57</f>
        <v>0</v>
      </c>
      <c r="K57" s="84">
        <f>=S57</f>
        <v>42500</v>
      </c>
      <c r="L57" s="37">
        <f>=K57*I57</f>
        <v>85000</v>
      </c>
      <c r="M57" s="398" t="s"/>
      <c r="N57" s="398" t="s"/>
      <c r="O57" s="398" t="s">
        <v>740</v>
      </c>
      <c r="P57" s="398" t="s"/>
      <c r="Q57" s="398" t="s">
        <v>737</v>
      </c>
      <c r="R57" s="398">
        <f>=AVERAGE(X57,AD57,AJ57,AP57)</f>
        <v>57553.3333333333</v>
      </c>
      <c r="S57" s="399">
        <f>=MIN(X57,AD57,AJ57,AP57)</f>
        <v>42500</v>
      </c>
      <c r="T57" s="400" t="s">
        <v>590</v>
      </c>
      <c r="U57" s="400" t="s">
        <v>591</v>
      </c>
      <c r="V57" s="391">
        <v>88000</v>
      </c>
      <c r="W57" s="383">
        <v>0.2</v>
      </c>
      <c r="X57" s="408">
        <f>=V57*(1-W57)</f>
        <v>70400</v>
      </c>
      <c r="Y57" s="391">
        <f>=X57*I57</f>
        <v>140800</v>
      </c>
      <c r="Z57" s="400" t="s">
        <v>592</v>
      </c>
      <c r="AA57" s="400" t="s">
        <v>593</v>
      </c>
      <c r="AB57" s="391">
        <v>42500</v>
      </c>
      <c r="AC57" s="383" t="s"/>
      <c r="AD57" s="41">
        <f>=AB57*(1-AC57)</f>
        <v>42500</v>
      </c>
      <c r="AE57" s="41">
        <f>=AB57*I57</f>
        <v>85000</v>
      </c>
      <c r="AF57" s="400" t="s">
        <v>594</v>
      </c>
      <c r="AG57" s="400" t="s">
        <v>595</v>
      </c>
      <c r="AH57" s="41">
        <v>59760</v>
      </c>
      <c r="AI57" s="387" t="s"/>
      <c r="AJ57" s="41">
        <f>=AH57*(1-AI57)</f>
        <v>59760</v>
      </c>
      <c r="AK57" s="41">
        <f>=AH57*I57</f>
        <v>119520</v>
      </c>
      <c r="AL57" s="400" t="s"/>
      <c r="AM57" s="400" t="s"/>
      <c r="AN57" s="391" t="s"/>
      <c r="AO57" s="41" t="s"/>
      <c r="AP57" s="41" t="s"/>
      <c r="AQ57" s="391" t="s"/>
    </row>
    <row r="58" spans="1:43" s="999" customHeight="false">
      <c r="A58" s="404">
        <v>6</v>
      </c>
      <c r="B58" s="391" t="s">
        <v>741</v>
      </c>
      <c r="C58" s="391" t="s"/>
      <c r="D58" s="400" t="s">
        <v>735</v>
      </c>
      <c r="E58" s="404" t="s">
        <v>36</v>
      </c>
      <c r="F58" s="404">
        <v>2</v>
      </c>
      <c r="G58" s="404">
        <v>84100</v>
      </c>
      <c r="H58" s="405">
        <f>=G58*F58</f>
        <v>168200</v>
      </c>
      <c r="I58" s="406">
        <v>2</v>
      </c>
      <c r="J58" s="407">
        <f>=AC58</f>
        <v>0</v>
      </c>
      <c r="K58" s="84">
        <f>=S58</f>
        <v>38500</v>
      </c>
      <c r="L58" s="37">
        <f>=K58*I58</f>
        <v>77000</v>
      </c>
      <c r="M58" s="398" t="s"/>
      <c r="N58" s="398" t="s"/>
      <c r="O58" s="398" t="s">
        <v>736</v>
      </c>
      <c r="P58" s="398" t="s"/>
      <c r="Q58" s="398" t="s">
        <v>737</v>
      </c>
      <c r="R58" s="398">
        <f>=AVERAGE(X58,AD58,AJ58,AP58)</f>
        <v>52900</v>
      </c>
      <c r="S58" s="399">
        <f>=MIN(X58,AD58,AJ58,AP58)</f>
        <v>38500</v>
      </c>
      <c r="T58" s="400" t="s">
        <v>590</v>
      </c>
      <c r="U58" s="400" t="s">
        <v>591</v>
      </c>
      <c r="V58" s="391">
        <v>82000</v>
      </c>
      <c r="W58" s="383">
        <v>0.2</v>
      </c>
      <c r="X58" s="408">
        <f>=V58*(1-W58)</f>
        <v>65600</v>
      </c>
      <c r="Y58" s="391">
        <f>=X58*I58</f>
        <v>131200</v>
      </c>
      <c r="Z58" s="400" t="s">
        <v>592</v>
      </c>
      <c r="AA58" s="400" t="s">
        <v>593</v>
      </c>
      <c r="AB58" s="391">
        <v>38500</v>
      </c>
      <c r="AC58" s="383" t="s"/>
      <c r="AD58" s="41">
        <f>=AB58*(1-AC58)</f>
        <v>38500</v>
      </c>
      <c r="AE58" s="41">
        <f>=AB58*I58</f>
        <v>77000</v>
      </c>
      <c r="AF58" s="400" t="s">
        <v>594</v>
      </c>
      <c r="AG58" s="400" t="s">
        <v>595</v>
      </c>
      <c r="AH58" s="41">
        <v>54600</v>
      </c>
      <c r="AI58" s="387" t="s"/>
      <c r="AJ58" s="41">
        <f>=AH58*(1-AI58)</f>
        <v>54600</v>
      </c>
      <c r="AK58" s="41">
        <f>=AH58*I58</f>
        <v>109200</v>
      </c>
      <c r="AL58" s="400" t="s"/>
      <c r="AM58" s="400" t="s"/>
      <c r="AN58" s="391" t="s"/>
      <c r="AO58" s="41" t="s"/>
      <c r="AP58" s="41" t="s"/>
      <c r="AQ58" s="391" t="s"/>
    </row>
    <row r="59" spans="1:43" s="999" customHeight="false">
      <c r="A59" s="429">
        <v>7</v>
      </c>
      <c r="B59" s="41" t="s">
        <v>742</v>
      </c>
      <c r="C59" s="41" t="s"/>
      <c r="D59" s="41" t="s">
        <v>743</v>
      </c>
      <c r="E59" s="429" t="s">
        <v>36</v>
      </c>
      <c r="F59" s="429">
        <v>2</v>
      </c>
      <c r="G59" s="429">
        <v>95600</v>
      </c>
      <c r="H59" s="430">
        <f>=G59*F59</f>
        <v>191200</v>
      </c>
      <c r="I59" s="469">
        <v>2</v>
      </c>
      <c r="J59" s="407">
        <f>=AC59</f>
        <v>0</v>
      </c>
      <c r="K59" s="84">
        <f>=S59</f>
        <v>52500</v>
      </c>
      <c r="L59" s="37">
        <f>=K59*I59</f>
        <v>105000</v>
      </c>
      <c r="M59" s="414" t="s"/>
      <c r="N59" s="398" t="s"/>
      <c r="O59" s="398" t="s">
        <v>744</v>
      </c>
      <c r="P59" s="398" t="s"/>
      <c r="Q59" s="398" t="s">
        <v>737</v>
      </c>
      <c r="R59" s="398">
        <f>=AVERAGE(X59,AD59,AJ59,AP59)</f>
        <v>65633.3333333333</v>
      </c>
      <c r="S59" s="399">
        <f>=MIN(X59,AD59,AJ59,AP59)</f>
        <v>52500</v>
      </c>
      <c r="T59" s="41" t="s">
        <v>590</v>
      </c>
      <c r="U59" s="41" t="s">
        <v>591</v>
      </c>
      <c r="V59" s="41">
        <v>95000</v>
      </c>
      <c r="W59" s="383">
        <v>0.2</v>
      </c>
      <c r="X59" s="408">
        <f>=V59*(1-W59)</f>
        <v>76000</v>
      </c>
      <c r="Y59" s="391">
        <f>=X59*I59</f>
        <v>152000</v>
      </c>
      <c r="Z59" s="41" t="s">
        <v>592</v>
      </c>
      <c r="AA59" s="41" t="s">
        <v>593</v>
      </c>
      <c r="AB59" s="41">
        <v>52500</v>
      </c>
      <c r="AC59" s="383" t="s"/>
      <c r="AD59" s="41">
        <f>=AB59*(1-AC59)</f>
        <v>52500</v>
      </c>
      <c r="AE59" s="41">
        <f>=AB59*I59</f>
        <v>105000</v>
      </c>
      <c r="AF59" s="41" t="s">
        <v>594</v>
      </c>
      <c r="AG59" s="400" t="s">
        <v>595</v>
      </c>
      <c r="AH59" s="41">
        <v>68400</v>
      </c>
      <c r="AI59" s="387" t="s"/>
      <c r="AJ59" s="41">
        <f>=AH59*(1-AI59)</f>
        <v>68400</v>
      </c>
      <c r="AK59" s="41">
        <f>=AH59*I59</f>
        <v>136800</v>
      </c>
      <c r="AL59" s="41" t="s"/>
      <c r="AM59" s="41" t="s"/>
      <c r="AN59" s="41" t="s"/>
      <c r="AO59" s="41" t="s"/>
      <c r="AP59" s="41" t="s"/>
      <c r="AQ59" s="41" t="s"/>
    </row>
    <row r="60" spans="1:43" s="999" customHeight="false">
      <c r="A60" s="429">
        <v>8</v>
      </c>
      <c r="B60" s="41" t="s">
        <v>745</v>
      </c>
      <c r="C60" s="41" t="s"/>
      <c r="D60" s="41" t="s">
        <v>746</v>
      </c>
      <c r="E60" s="429" t="s">
        <v>36</v>
      </c>
      <c r="F60" s="429">
        <v>2</v>
      </c>
      <c r="G60" s="429">
        <v>39300</v>
      </c>
      <c r="H60" s="430">
        <f>=G60*F60</f>
        <v>78600</v>
      </c>
      <c r="I60" s="469">
        <v>2</v>
      </c>
      <c r="J60" s="407">
        <f>=W60</f>
        <v>0.2</v>
      </c>
      <c r="K60" s="84">
        <f>=S60</f>
        <v>20000</v>
      </c>
      <c r="L60" s="37">
        <f>=K60*I60</f>
        <v>40000</v>
      </c>
      <c r="M60" s="398" t="s"/>
      <c r="N60" s="398" t="s"/>
      <c r="O60" s="398" t="s"/>
      <c r="P60" s="398" t="s"/>
      <c r="Q60" s="398">
        <v>34000</v>
      </c>
      <c r="R60" s="398">
        <f>=AVERAGE(X60,AD60,AJ60,AP60)</f>
        <v>28933.3333333333</v>
      </c>
      <c r="S60" s="399">
        <f>=MIN(X60,AD60,AJ60,AP60)</f>
        <v>20000</v>
      </c>
      <c r="T60" s="41" t="s">
        <v>590</v>
      </c>
      <c r="U60" s="41" t="s">
        <v>591</v>
      </c>
      <c r="V60" s="41">
        <v>25000</v>
      </c>
      <c r="W60" s="383">
        <v>0.2</v>
      </c>
      <c r="X60" s="408">
        <f>=V60*(1-W60)</f>
        <v>20000</v>
      </c>
      <c r="Y60" s="391">
        <f>=X60*I60</f>
        <v>40000</v>
      </c>
      <c r="Z60" s="41" t="s">
        <v>592</v>
      </c>
      <c r="AA60" s="41" t="s">
        <v>593</v>
      </c>
      <c r="AB60" s="41">
        <v>33200</v>
      </c>
      <c r="AC60" s="383" t="s"/>
      <c r="AD60" s="41">
        <f>=AB60*(1-AC60)</f>
        <v>33200</v>
      </c>
      <c r="AE60" s="41">
        <f>=AB60*I60</f>
        <v>66400</v>
      </c>
      <c r="AF60" s="41" t="s">
        <v>594</v>
      </c>
      <c r="AG60" s="400" t="s">
        <v>595</v>
      </c>
      <c r="AH60" s="41">
        <v>33600</v>
      </c>
      <c r="AI60" s="387" t="s"/>
      <c r="AJ60" s="41">
        <f>=AH60*(1-AI60)</f>
        <v>33600</v>
      </c>
      <c r="AK60" s="41">
        <f>=AH60*I60</f>
        <v>67200</v>
      </c>
      <c r="AL60" s="41" t="s"/>
      <c r="AM60" s="41" t="s"/>
      <c r="AN60" s="41" t="s"/>
      <c r="AO60" s="41" t="s"/>
      <c r="AP60" s="41" t="s"/>
      <c r="AQ60" s="41" t="s"/>
    </row>
    <row r="61" spans="1:43" s="999" customHeight="false">
      <c r="A61" s="429">
        <v>9</v>
      </c>
      <c r="B61" s="41" t="s">
        <v>745</v>
      </c>
      <c r="C61" s="41" t="s"/>
      <c r="D61" s="41" t="s">
        <v>747</v>
      </c>
      <c r="E61" s="429" t="s">
        <v>36</v>
      </c>
      <c r="F61" s="429">
        <v>2</v>
      </c>
      <c r="G61" s="429">
        <v>30800</v>
      </c>
      <c r="H61" s="430">
        <f>=G61*F61</f>
        <v>61600</v>
      </c>
      <c r="I61" s="469">
        <v>2</v>
      </c>
      <c r="J61" s="407">
        <f>=W61</f>
        <v>0.2</v>
      </c>
      <c r="K61" s="84">
        <f>=S61</f>
        <v>16800</v>
      </c>
      <c r="L61" s="37">
        <f>=K61*I61</f>
        <v>33600</v>
      </c>
      <c r="M61" s="398" t="s"/>
      <c r="N61" s="398" t="s"/>
      <c r="O61" s="398">
        <v>30000</v>
      </c>
      <c r="P61" s="398" t="s"/>
      <c r="Q61" s="398" t="s">
        <v>748</v>
      </c>
      <c r="R61" s="398">
        <f>=AVERAGE(X61,AD61,AJ61,AP61)</f>
        <v>23900</v>
      </c>
      <c r="S61" s="399">
        <f>=MIN(X61,AD61,AJ61,AP61)</f>
        <v>16800</v>
      </c>
      <c r="T61" s="41" t="s">
        <v>590</v>
      </c>
      <c r="U61" s="41" t="s">
        <v>591</v>
      </c>
      <c r="V61" s="41">
        <v>21000</v>
      </c>
      <c r="W61" s="383">
        <v>0.2</v>
      </c>
      <c r="X61" s="408">
        <f>=V61*(1-W61)</f>
        <v>16800</v>
      </c>
      <c r="Y61" s="391">
        <f>=X61*I61</f>
        <v>33600</v>
      </c>
      <c r="Z61" s="41" t="s">
        <v>592</v>
      </c>
      <c r="AA61" s="41" t="s">
        <v>593</v>
      </c>
      <c r="AB61" s="41">
        <v>31500</v>
      </c>
      <c r="AC61" s="383" t="s"/>
      <c r="AD61" s="41">
        <f>=AB61*(1-AC61)</f>
        <v>31500</v>
      </c>
      <c r="AE61" s="41">
        <f>=AB61*I61</f>
        <v>63000</v>
      </c>
      <c r="AF61" s="41" t="s">
        <v>594</v>
      </c>
      <c r="AG61" s="400" t="s">
        <v>595</v>
      </c>
      <c r="AH61" s="41">
        <v>23400</v>
      </c>
      <c r="AI61" s="387" t="s"/>
      <c r="AJ61" s="41">
        <f>=AH61*(1-AI61)</f>
        <v>23400</v>
      </c>
      <c r="AK61" s="41">
        <f>=AH61*I61</f>
        <v>46800</v>
      </c>
      <c r="AL61" s="41" t="s"/>
      <c r="AM61" s="41" t="s"/>
      <c r="AN61" s="41" t="s"/>
      <c r="AO61" s="41" t="s"/>
      <c r="AP61" s="41" t="s"/>
      <c r="AQ61" s="41" t="s"/>
    </row>
    <row r="62" spans="1:43" s="999" customHeight="false">
      <c r="A62" s="429">
        <v>10</v>
      </c>
      <c r="B62" s="41" t="s">
        <v>749</v>
      </c>
      <c r="C62" s="41" t="s"/>
      <c r="D62" s="41" t="s">
        <v>750</v>
      </c>
      <c r="E62" s="429" t="s">
        <v>36</v>
      </c>
      <c r="F62" s="474">
        <v>3</v>
      </c>
      <c r="G62" s="429">
        <v>54900</v>
      </c>
      <c r="H62" s="430">
        <f>=G62*F62</f>
        <v>164700</v>
      </c>
      <c r="I62" s="469">
        <v>2</v>
      </c>
      <c r="J62" s="407">
        <f>=W62</f>
        <v>0</v>
      </c>
      <c r="K62" s="84">
        <f>=S62</f>
        <v>106500</v>
      </c>
      <c r="L62" s="83">
        <f>=K62*I62</f>
        <v>213000</v>
      </c>
      <c r="M62" s="414">
        <f>=K62*0.9</f>
        <v>95850</v>
      </c>
      <c r="N62" s="398">
        <f>=M62*I62-I62*K62</f>
        <v>-21300</v>
      </c>
      <c r="O62" s="398" t="s">
        <v>751</v>
      </c>
      <c r="P62" s="398" t="s"/>
      <c r="Q62" s="398" t="s">
        <v>752</v>
      </c>
      <c r="R62" s="398">
        <f>=AVERAGE(X62,AD62,AJ62,AP62)</f>
        <v>114718</v>
      </c>
      <c r="S62" s="399">
        <f>=MIN(X62,AD62,AJ62,AP62)</f>
        <v>106500</v>
      </c>
      <c r="T62" s="41" t="s">
        <v>753</v>
      </c>
      <c r="U62" s="41" t="s">
        <v>754</v>
      </c>
      <c r="V62" s="41">
        <v>106500</v>
      </c>
      <c r="W62" s="383">
        <v>0</v>
      </c>
      <c r="X62" s="408">
        <f>=V62*(1-W62)</f>
        <v>106500</v>
      </c>
      <c r="Y62" s="391">
        <f>=X62*I62</f>
        <v>213000</v>
      </c>
      <c r="Z62" s="41" t="s">
        <v>755</v>
      </c>
      <c r="AA62" s="41" t="s">
        <v>756</v>
      </c>
      <c r="AB62" s="41">
        <v>120000</v>
      </c>
      <c r="AC62" s="383" t="s"/>
      <c r="AD62" s="41">
        <f>=AB62*(1-AC62)</f>
        <v>120000</v>
      </c>
      <c r="AE62" s="41">
        <f>=AB62*I62</f>
        <v>240000</v>
      </c>
      <c r="AF62" s="41" t="s">
        <v>757</v>
      </c>
      <c r="AG62" s="41" t="s">
        <v>758</v>
      </c>
      <c r="AH62" s="41">
        <v>117654</v>
      </c>
      <c r="AI62" s="387">
        <v>0</v>
      </c>
      <c r="AJ62" s="41">
        <f>=AH62*(1-AI62)</f>
        <v>117654</v>
      </c>
      <c r="AK62" s="41">
        <f>=AH62*I62</f>
        <v>235308</v>
      </c>
      <c r="AL62" s="41" t="s"/>
      <c r="AM62" s="41" t="s"/>
      <c r="AN62" s="41" t="s"/>
      <c r="AO62" s="41" t="s"/>
      <c r="AP62" s="41" t="s"/>
      <c r="AQ62" s="41" t="s"/>
    </row>
    <row r="63" spans="1:43" s="999" customHeight="false">
      <c r="A63" s="429">
        <v>11</v>
      </c>
      <c r="B63" s="41" t="s">
        <v>749</v>
      </c>
      <c r="C63" s="41" t="s"/>
      <c r="D63" s="41" t="s">
        <v>759</v>
      </c>
      <c r="E63" s="429" t="s">
        <v>36</v>
      </c>
      <c r="F63" s="474">
        <v>3</v>
      </c>
      <c r="G63" s="429">
        <v>0</v>
      </c>
      <c r="H63" s="430">
        <f>=G63*F63</f>
        <v>0</v>
      </c>
      <c r="I63" s="469">
        <v>2</v>
      </c>
      <c r="J63" s="407">
        <f>=W63</f>
        <v>0</v>
      </c>
      <c r="K63" s="84">
        <f>=S63</f>
        <v>98800</v>
      </c>
      <c r="L63" s="83">
        <f>=K63*I63</f>
        <v>197600</v>
      </c>
      <c r="M63" s="414">
        <f>=K63*0.9</f>
        <v>88920</v>
      </c>
      <c r="N63" s="398">
        <f>=M63*I63-I63*K63</f>
        <v>-19760</v>
      </c>
      <c r="O63" s="398" t="s">
        <v>751</v>
      </c>
      <c r="P63" s="398" t="s"/>
      <c r="Q63" s="398" t="s">
        <v>752</v>
      </c>
      <c r="R63" s="398">
        <f>=AVERAGE(X63,AD63,AJ63,AP63)</f>
        <v>105982.666666667</v>
      </c>
      <c r="S63" s="399">
        <f>=MIN(X63,AD63,AJ63,AP63)</f>
        <v>98800</v>
      </c>
      <c r="T63" s="41" t="s">
        <v>753</v>
      </c>
      <c r="U63" s="41" t="s">
        <v>754</v>
      </c>
      <c r="V63" s="41">
        <v>98800</v>
      </c>
      <c r="W63" s="383">
        <v>0</v>
      </c>
      <c r="X63" s="408">
        <f>=V63*(1-W63)</f>
        <v>98800</v>
      </c>
      <c r="Y63" s="391">
        <f>=X63*I63</f>
        <v>197600</v>
      </c>
      <c r="Z63" s="41" t="s">
        <v>755</v>
      </c>
      <c r="AA63" s="41" t="s">
        <v>756</v>
      </c>
      <c r="AB63" s="41">
        <v>110000</v>
      </c>
      <c r="AC63" s="383" t="s"/>
      <c r="AD63" s="41">
        <f>=AB63*(1-AC63)</f>
        <v>110000</v>
      </c>
      <c r="AE63" s="41">
        <f>=AB63*I63</f>
        <v>220000</v>
      </c>
      <c r="AF63" s="41" t="s">
        <v>757</v>
      </c>
      <c r="AG63" s="41" t="s">
        <v>758</v>
      </c>
      <c r="AH63" s="41">
        <v>109148</v>
      </c>
      <c r="AI63" s="387">
        <v>0</v>
      </c>
      <c r="AJ63" s="41">
        <f>=AH63*(1-AI63)</f>
        <v>109148</v>
      </c>
      <c r="AK63" s="41">
        <f>=AH63*I63</f>
        <v>218296</v>
      </c>
      <c r="AL63" s="41" t="s"/>
      <c r="AM63" s="41" t="s"/>
      <c r="AN63" s="41" t="s"/>
      <c r="AO63" s="41" t="s"/>
      <c r="AP63" s="41" t="s"/>
      <c r="AQ63" s="41" t="s"/>
    </row>
    <row r="64" spans="1:43" s="999" customHeight="false">
      <c r="A64" s="475">
        <v>12</v>
      </c>
      <c r="B64" s="38" t="s">
        <v>760</v>
      </c>
      <c r="C64" s="38" t="s"/>
      <c r="D64" s="38" t="s">
        <v>761</v>
      </c>
      <c r="E64" s="429" t="s">
        <v>36</v>
      </c>
      <c r="F64" s="429">
        <v>2</v>
      </c>
      <c r="G64" s="429">
        <v>132500</v>
      </c>
      <c r="H64" s="430">
        <f>=G64*F64</f>
        <v>265000</v>
      </c>
      <c r="I64" s="469">
        <v>2</v>
      </c>
      <c r="J64" s="407">
        <f>=AC64</f>
        <v>0</v>
      </c>
      <c r="K64" s="84">
        <f>=S64</f>
        <v>79500</v>
      </c>
      <c r="L64" s="83">
        <f>=K64*I64</f>
        <v>159000</v>
      </c>
      <c r="M64" s="414">
        <f>=K64*0.9</f>
        <v>71550</v>
      </c>
      <c r="N64" s="398">
        <f>=M64*I64-I64*K64</f>
        <v>-15900</v>
      </c>
      <c r="O64" s="398" t="s">
        <v>762</v>
      </c>
      <c r="P64" s="398" t="s"/>
      <c r="Q64" s="398" t="s">
        <v>737</v>
      </c>
      <c r="R64" s="398">
        <f>=AVERAGE(X64,AD64,AJ64,AP64)</f>
        <v>106366.666666667</v>
      </c>
      <c r="S64" s="399">
        <f>=MIN(X64,AD64,AJ64,AP64)</f>
        <v>79500</v>
      </c>
      <c r="T64" s="41" t="s">
        <v>590</v>
      </c>
      <c r="U64" s="41" t="s">
        <v>591</v>
      </c>
      <c r="V64" s="41">
        <v>130000</v>
      </c>
      <c r="W64" s="383">
        <v>0.2</v>
      </c>
      <c r="X64" s="408">
        <f>=V64*(1-W64)</f>
        <v>104000</v>
      </c>
      <c r="Y64" s="391">
        <f>=X64*I64</f>
        <v>208000</v>
      </c>
      <c r="Z64" s="41" t="s">
        <v>592</v>
      </c>
      <c r="AA64" s="41" t="s">
        <v>593</v>
      </c>
      <c r="AB64" s="41">
        <v>79500</v>
      </c>
      <c r="AC64" s="383" t="s"/>
      <c r="AD64" s="41">
        <f>=AB64*(1-AC64)</f>
        <v>79500</v>
      </c>
      <c r="AE64" s="41">
        <f>=AB64*I64</f>
        <v>159000</v>
      </c>
      <c r="AF64" s="41" t="s">
        <v>594</v>
      </c>
      <c r="AG64" s="400" t="s">
        <v>595</v>
      </c>
      <c r="AH64" s="41">
        <v>135600</v>
      </c>
      <c r="AI64" s="387" t="s"/>
      <c r="AJ64" s="41">
        <f>=AH64*(1-AI64)</f>
        <v>135600</v>
      </c>
      <c r="AK64" s="41">
        <f>=AH64*I64</f>
        <v>271200</v>
      </c>
      <c r="AL64" s="41" t="s"/>
      <c r="AM64" s="41" t="s"/>
      <c r="AN64" s="41" t="s"/>
      <c r="AO64" s="41" t="s"/>
      <c r="AP64" s="41" t="s"/>
      <c r="AQ64" s="41" t="s"/>
    </row>
    <row r="65" spans="1:43" s="999" customHeight="false">
      <c r="A65" s="429">
        <v>13</v>
      </c>
      <c r="B65" s="41" t="s">
        <v>763</v>
      </c>
      <c r="C65" s="41" t="s"/>
      <c r="D65" s="41" t="s">
        <v>764</v>
      </c>
      <c r="E65" s="428" t="s">
        <v>36</v>
      </c>
      <c r="F65" s="429">
        <v>6</v>
      </c>
      <c r="G65" s="429">
        <v>180000</v>
      </c>
      <c r="H65" s="430">
        <f>=G65*F65</f>
        <v>1080000</v>
      </c>
      <c r="I65" s="469">
        <v>6</v>
      </c>
      <c r="J65" s="407">
        <f>=W65</f>
        <v>0.3</v>
      </c>
      <c r="K65" s="84">
        <f>=S65</f>
        <v>154000</v>
      </c>
      <c r="L65" s="83">
        <f>=K65*I65</f>
        <v>924000</v>
      </c>
      <c r="M65" s="398" t="s"/>
      <c r="N65" s="398" t="s"/>
      <c r="O65" s="398" t="s">
        <v>765</v>
      </c>
      <c r="P65" s="398" t="s"/>
      <c r="Q65" s="398" t="s">
        <v>766</v>
      </c>
      <c r="R65" s="398">
        <f>=AVERAGE(X65,AD65,AJ65,AP65)</f>
        <v>276173.333333333</v>
      </c>
      <c r="S65" s="399">
        <f>=MIN(X65,AD65,AJ65,AP65)</f>
        <v>154000</v>
      </c>
      <c r="T65" s="41" t="s">
        <v>726</v>
      </c>
      <c r="U65" s="400" t="s">
        <v>727</v>
      </c>
      <c r="V65" s="41">
        <v>220000</v>
      </c>
      <c r="W65" s="383">
        <v>0.3</v>
      </c>
      <c r="X65" s="408">
        <f>=V65*(1-W65)</f>
        <v>154000</v>
      </c>
      <c r="Y65" s="391">
        <f>=X65*I65</f>
        <v>924000</v>
      </c>
      <c r="Z65" s="41" t="s">
        <v>728</v>
      </c>
      <c r="AA65" s="41" t="s">
        <v>729</v>
      </c>
      <c r="AB65" s="420">
        <v>305920</v>
      </c>
      <c r="AC65" s="383" t="s"/>
      <c r="AD65" s="41">
        <f>=AB65*(1-AC65)</f>
        <v>305920</v>
      </c>
      <c r="AE65" s="41">
        <f>=AB65*I65</f>
        <v>1835520</v>
      </c>
      <c r="AF65" s="41" t="s">
        <v>730</v>
      </c>
      <c r="AG65" s="41" t="s">
        <v>731</v>
      </c>
      <c r="AH65" s="41">
        <v>380000</v>
      </c>
      <c r="AI65" s="387">
        <v>0.03</v>
      </c>
      <c r="AJ65" s="41">
        <f>=AH65*(1-AI65)</f>
        <v>368600</v>
      </c>
      <c r="AK65" s="41">
        <f>=AH65*I65</f>
        <v>2280000</v>
      </c>
      <c r="AL65" s="41" t="s"/>
      <c r="AM65" s="41" t="s"/>
      <c r="AN65" s="41" t="s"/>
      <c r="AO65" s="41" t="s"/>
      <c r="AP65" s="41" t="s"/>
      <c r="AQ65" s="41" t="s"/>
    </row>
    <row r="66" spans="1:43" s="999" customHeight="false">
      <c r="A66" s="476">
        <v>14</v>
      </c>
      <c r="B66" s="420" t="s">
        <v>767</v>
      </c>
      <c r="C66" s="420" t="s"/>
      <c r="D66" s="420" t="s">
        <v>768</v>
      </c>
      <c r="E66" s="428" t="s">
        <v>45</v>
      </c>
      <c r="F66" s="429">
        <v>24</v>
      </c>
      <c r="G66" s="429" t="s"/>
      <c r="H66" s="430" t="s"/>
      <c r="I66" s="469">
        <v>24</v>
      </c>
      <c r="J66" s="407">
        <f>=AI66</f>
        <v>0</v>
      </c>
      <c r="K66" s="84">
        <f>=S66</f>
        <v>1458</v>
      </c>
      <c r="L66" s="83">
        <f>=K66*I66</f>
        <v>34992</v>
      </c>
      <c r="M66" s="398" t="s"/>
      <c r="N66" s="398" t="s"/>
      <c r="O66" s="398" t="s">
        <v>769</v>
      </c>
      <c r="P66" s="398" t="s"/>
      <c r="Q66" s="477">
        <v>6500</v>
      </c>
      <c r="R66" s="398">
        <f>=AVERAGE(X66,AD66,AJ66,AP66)</f>
        <v>7050.58333333333</v>
      </c>
      <c r="S66" s="399">
        <f>=MIN(X66,AD66,AJ66,AP66)</f>
        <v>1458</v>
      </c>
      <c r="T66" s="400" t="s">
        <v>625</v>
      </c>
      <c r="U66" s="400" t="s">
        <v>626</v>
      </c>
      <c r="V66" s="41">
        <v>12815</v>
      </c>
      <c r="W66" s="383">
        <v>0.35</v>
      </c>
      <c r="X66" s="408">
        <f>=V66*(1-W66)</f>
        <v>8329.75</v>
      </c>
      <c r="Y66" s="391">
        <f>=X66*I66</f>
        <v>199914</v>
      </c>
      <c r="Z66" s="41" t="s">
        <v>627</v>
      </c>
      <c r="AA66" s="41" t="s">
        <v>628</v>
      </c>
      <c r="AB66" s="41">
        <v>11364</v>
      </c>
      <c r="AC66" s="383" t="s"/>
      <c r="AD66" s="41">
        <f>=AB66*(1-AC66)</f>
        <v>11364</v>
      </c>
      <c r="AE66" s="41">
        <f>=AB66*I66</f>
        <v>272736</v>
      </c>
      <c r="AF66" s="41" t="s">
        <v>629</v>
      </c>
      <c r="AG66" s="41" t="s">
        <v>630</v>
      </c>
      <c r="AH66" s="425">
        <v>1458</v>
      </c>
      <c r="AI66" s="387" t="s"/>
      <c r="AJ66" s="41">
        <f>=AH66*(1-AI66)</f>
        <v>1458</v>
      </c>
      <c r="AK66" s="41">
        <f>=AH66*I66</f>
        <v>34992</v>
      </c>
      <c r="AL66" s="41" t="s"/>
      <c r="AM66" s="41" t="s"/>
      <c r="AN66" s="41" t="s"/>
      <c r="AO66" s="41" t="s"/>
      <c r="AP66" s="41" t="s"/>
      <c r="AQ66" s="41" t="s"/>
    </row>
    <row r="67" spans="1:43" customHeight="false">
      <c r="A67" s="478" t="s">
        <v>572</v>
      </c>
      <c r="B67" s="479" t="s">
        <v>770</v>
      </c>
      <c r="C67" s="480" t="s"/>
      <c r="D67" s="41" t="s"/>
      <c r="E67" s="481" t="s"/>
      <c r="F67" s="16" t="s"/>
      <c r="G67" s="16" t="s"/>
      <c r="H67" s="482" t="s"/>
      <c r="I67" s="82" t="s"/>
      <c r="J67" s="483" t="s"/>
      <c r="K67" s="484" t="s"/>
      <c r="L67" s="484" t="s"/>
      <c r="M67" s="398" t="s"/>
      <c r="N67" s="398" t="s"/>
      <c r="O67" s="398" t="s"/>
      <c r="P67" s="398" t="s"/>
      <c r="Q67" s="398" t="s"/>
      <c r="R67" s="398" t="s"/>
      <c r="S67" s="399" t="s"/>
      <c r="T67" s="42" t="s"/>
      <c r="U67" s="42" t="s"/>
      <c r="V67" s="42" t="s"/>
      <c r="W67" s="402" t="s"/>
      <c r="X67" s="403" t="s"/>
      <c r="Y67" s="42" t="s"/>
      <c r="Z67" s="41" t="s"/>
      <c r="AA67" s="41" t="s"/>
      <c r="AB67" s="42" t="s"/>
      <c r="AC67" s="402" t="s"/>
      <c r="AD67" s="41" t="s"/>
      <c r="AE67" s="42" t="s"/>
      <c r="AF67" s="42" t="s"/>
      <c r="AG67" s="42" t="s"/>
      <c r="AH67" s="9" t="s"/>
      <c r="AI67" s="485" t="s"/>
      <c r="AJ67" s="9" t="s"/>
      <c r="AK67" s="9" t="s"/>
      <c r="AL67" s="42" t="s"/>
      <c r="AM67" s="42" t="s"/>
      <c r="AN67" s="42" t="s"/>
      <c r="AO67" s="42" t="s"/>
      <c r="AP67" s="42" t="s"/>
      <c r="AQ67" s="42" t="s"/>
    </row>
    <row r="68" spans="1:43" customHeight="false">
      <c r="A68" s="16">
        <v>1</v>
      </c>
      <c r="B68" s="486" t="s">
        <v>611</v>
      </c>
      <c r="C68" s="487" t="s"/>
      <c r="D68" s="487" t="s">
        <v>771</v>
      </c>
      <c r="E68" s="16" t="s">
        <v>32</v>
      </c>
      <c r="F68" s="42">
        <v>1</v>
      </c>
      <c r="G68" s="42" t="s"/>
      <c r="H68" s="41" t="s"/>
      <c r="I68" s="16">
        <v>2</v>
      </c>
      <c r="J68" s="488">
        <f>=W68</f>
        <v>0</v>
      </c>
      <c r="K68" s="62">
        <f>=S68</f>
        <v>436000</v>
      </c>
      <c r="L68" s="37">
        <f>=K68*I68</f>
        <v>872000</v>
      </c>
      <c r="M68" s="414">
        <f>=K68*0.9</f>
        <v>392400</v>
      </c>
      <c r="N68" s="398">
        <f>=M68*I68-I68*K68</f>
        <v>-87200</v>
      </c>
      <c r="O68" s="489" t="s"/>
      <c r="P68" s="35" t="s"/>
      <c r="Q68" s="35" t="s"/>
      <c r="R68" s="398" t="s"/>
      <c r="S68" s="399">
        <f>=MIN(X68,AD68,AJ68,AP68)</f>
        <v>436000</v>
      </c>
      <c r="T68" s="41" t="s">
        <v>772</v>
      </c>
      <c r="U68" s="41" t="s">
        <v>773</v>
      </c>
      <c r="V68" s="16">
        <v>436000</v>
      </c>
      <c r="W68" s="402" t="s"/>
      <c r="X68" s="408">
        <f>=V68*(1-W68)</f>
        <v>436000</v>
      </c>
      <c r="Y68" s="42" t="s"/>
      <c r="Z68" s="42" t="s"/>
      <c r="AA68" s="41" t="s"/>
      <c r="AB68" s="16" t="s"/>
      <c r="AC68" s="402" t="s"/>
      <c r="AD68" s="41" t="s"/>
      <c r="AE68" s="42" t="s"/>
      <c r="AF68" s="42" t="s"/>
      <c r="AG68" s="41" t="s"/>
      <c r="AH68" s="16" t="s"/>
      <c r="AI68" s="490" t="s"/>
      <c r="AJ68" s="42" t="s"/>
      <c r="AK68" s="42" t="s"/>
      <c r="AL68" s="42" t="s"/>
      <c r="AM68" s="41" t="s"/>
      <c r="AN68" s="16" t="s"/>
      <c r="AO68" s="42" t="s"/>
      <c r="AP68" s="42" t="s"/>
      <c r="AQ68" s="42" t="s"/>
    </row>
    <row r="69" spans="1:43" customHeight="false">
      <c r="A69" s="16">
        <v>2</v>
      </c>
      <c r="B69" s="486" t="s">
        <v>774</v>
      </c>
      <c r="C69" s="487" t="s"/>
      <c r="D69" s="487" t="s">
        <v>775</v>
      </c>
      <c r="E69" s="16" t="s">
        <v>32</v>
      </c>
      <c r="F69" s="42">
        <v>2</v>
      </c>
      <c r="G69" s="42" t="s"/>
      <c r="H69" s="41" t="s"/>
      <c r="I69" s="16">
        <v>2</v>
      </c>
      <c r="J69" s="488" t="s"/>
      <c r="K69" s="119">
        <v>90000</v>
      </c>
      <c r="L69" s="37">
        <f>=K69*I69</f>
        <v>180000</v>
      </c>
      <c r="M69" s="414" t="s"/>
      <c r="N69" s="414" t="s"/>
      <c r="O69" s="489" t="s">
        <v>776</v>
      </c>
      <c r="P69" s="35" t="s"/>
      <c r="Q69" s="35" t="s"/>
      <c r="R69" s="398">
        <f>=AVERAGE(X69,AD69,AJ69,AP69)</f>
        <v>0</v>
      </c>
      <c r="S69" s="399">
        <f>=MIN(X69,AD69,AJ69,AP69)</f>
        <v>0</v>
      </c>
      <c r="T69" s="41" t="s">
        <v>772</v>
      </c>
      <c r="U69" s="41" t="s">
        <v>773</v>
      </c>
      <c r="V69" s="16" t="s"/>
      <c r="W69" s="402" t="s"/>
      <c r="X69" s="403" t="s"/>
      <c r="Y69" s="42" t="s"/>
      <c r="Z69" s="42" t="s"/>
      <c r="AA69" s="41" t="s"/>
      <c r="AB69" s="16" t="s"/>
      <c r="AC69" s="402" t="s"/>
      <c r="AD69" s="41">
        <f>=AB69*(1-AC69)</f>
        <v>0</v>
      </c>
      <c r="AE69" s="42" t="s"/>
      <c r="AF69" s="42" t="s"/>
      <c r="AG69" s="41" t="s"/>
      <c r="AH69" s="16" t="s"/>
      <c r="AI69" s="490" t="s"/>
      <c r="AJ69" s="42" t="s"/>
      <c r="AK69" s="42" t="s"/>
      <c r="AL69" s="42" t="s"/>
      <c r="AM69" s="41" t="s"/>
      <c r="AN69" s="16" t="s"/>
      <c r="AO69" s="42" t="s"/>
      <c r="AP69" s="42" t="s"/>
      <c r="AQ69" s="42" t="s"/>
    </row>
    <row r="70" spans="1:43" customHeight="false">
      <c r="A70" s="478" t="s">
        <v>572</v>
      </c>
      <c r="B70" s="479" t="s">
        <v>777</v>
      </c>
      <c r="C70" s="9" t="s"/>
      <c r="D70" s="41" t="s"/>
      <c r="E70" s="491" t="s"/>
      <c r="F70" s="16" t="s"/>
      <c r="G70" s="16" t="s"/>
      <c r="H70" s="482" t="s"/>
      <c r="I70" s="82" t="s"/>
      <c r="J70" s="483" t="s"/>
      <c r="K70" s="484" t="s"/>
      <c r="L70" s="484" t="s"/>
      <c r="M70" s="398" t="s"/>
      <c r="N70" s="398" t="s"/>
      <c r="O70" s="398" t="s"/>
      <c r="P70" s="398" t="s"/>
      <c r="Q70" s="398" t="s"/>
      <c r="R70" s="398" t="s"/>
      <c r="S70" s="399" t="s"/>
      <c r="T70" s="42" t="s"/>
      <c r="U70" s="42" t="s"/>
      <c r="V70" s="42" t="s"/>
      <c r="W70" s="402" t="s"/>
      <c r="X70" s="403" t="s"/>
      <c r="Y70" s="42" t="s"/>
      <c r="Z70" s="41" t="s"/>
      <c r="AA70" s="41" t="s"/>
      <c r="AB70" s="42" t="s"/>
      <c r="AC70" s="402" t="s"/>
      <c r="AD70" s="41" t="s"/>
      <c r="AE70" s="42" t="s"/>
      <c r="AF70" s="42" t="s"/>
      <c r="AG70" s="42" t="s"/>
      <c r="AH70" s="9" t="s"/>
      <c r="AI70" s="485" t="s"/>
      <c r="AJ70" s="9" t="s"/>
      <c r="AK70" s="9" t="s"/>
      <c r="AL70" s="42" t="s"/>
      <c r="AM70" s="42" t="s"/>
      <c r="AN70" s="42" t="s"/>
      <c r="AO70" s="42" t="s"/>
      <c r="AP70" s="42" t="s"/>
      <c r="AQ70" s="42" t="s"/>
    </row>
    <row r="71" spans="1:43" s="999" customHeight="false">
      <c r="A71" s="492">
        <v>1</v>
      </c>
      <c r="B71" s="72" t="s">
        <v>778</v>
      </c>
      <c r="C71" s="72" t="s"/>
      <c r="D71" s="72" t="s">
        <v>779</v>
      </c>
      <c r="E71" s="429" t="s">
        <v>32</v>
      </c>
      <c r="F71" s="429">
        <v>2</v>
      </c>
      <c r="G71" s="429">
        <v>2400000</v>
      </c>
      <c r="H71" s="30">
        <f>=G71*F71</f>
        <v>4800000</v>
      </c>
      <c r="I71" s="469">
        <v>2</v>
      </c>
      <c r="J71" s="407">
        <f>=W71</f>
        <v>0</v>
      </c>
      <c r="K71" s="84">
        <f>=S71</f>
        <v>845000</v>
      </c>
      <c r="L71" s="83">
        <f>=K71*I71</f>
        <v>1690000</v>
      </c>
      <c r="M71" s="423">
        <f>=1000000</f>
        <v>1000000</v>
      </c>
      <c r="N71" s="398">
        <f>=M71*I71-I71*K71</f>
        <v>310000</v>
      </c>
      <c r="O71" s="398" t="s">
        <v>780</v>
      </c>
      <c r="P71" s="398" t="s"/>
      <c r="Q71" s="398" t="s">
        <v>781</v>
      </c>
      <c r="R71" s="398">
        <f>=AVERAGE(X71,AD71,AJ71,AP71)</f>
        <v>2581666.66666667</v>
      </c>
      <c r="S71" s="399">
        <f>=MIN(X71,AD71,AJ71,AP71)</f>
        <v>845000</v>
      </c>
      <c r="T71" s="41" t="s">
        <v>782</v>
      </c>
      <c r="U71" s="41" t="s">
        <v>783</v>
      </c>
      <c r="V71" s="41">
        <v>845000</v>
      </c>
      <c r="W71" s="383" t="s"/>
      <c r="X71" s="408">
        <f>=V71*(1-W71)</f>
        <v>845000</v>
      </c>
      <c r="Y71" s="391">
        <f>=X71*I71</f>
        <v>1690000</v>
      </c>
      <c r="Z71" s="41" t="s">
        <v>784</v>
      </c>
      <c r="AA71" s="41" t="s">
        <v>785</v>
      </c>
      <c r="AB71" s="41">
        <v>4500000</v>
      </c>
      <c r="AC71" s="383" t="s"/>
      <c r="AD71" s="41">
        <f>=AB71*(1-AC71)</f>
        <v>4500000</v>
      </c>
      <c r="AE71" s="41">
        <f>=AB71*I71</f>
        <v>9000000</v>
      </c>
      <c r="AF71" s="41" t="s">
        <v>786</v>
      </c>
      <c r="AG71" s="41" t="s">
        <v>787</v>
      </c>
      <c r="AH71" s="41">
        <v>2400000</v>
      </c>
      <c r="AI71" s="387" t="s"/>
      <c r="AJ71" s="41">
        <f>=AH71*(1-AI71)</f>
        <v>2400000</v>
      </c>
      <c r="AK71" s="41">
        <f>=AH71*I71</f>
        <v>4800000</v>
      </c>
      <c r="AL71" s="41" t="s"/>
      <c r="AM71" s="41" t="s"/>
      <c r="AN71" s="41" t="s"/>
      <c r="AO71" s="41" t="s"/>
      <c r="AP71" s="41" t="s"/>
      <c r="AQ71" s="41" t="s"/>
    </row>
    <row r="72" spans="1:43" s="999" customHeight="false">
      <c r="A72" s="493">
        <v>2</v>
      </c>
      <c r="B72" s="494" t="s">
        <v>788</v>
      </c>
      <c r="C72" s="494" t="s"/>
      <c r="D72" s="494" t="s">
        <v>789</v>
      </c>
      <c r="E72" s="429" t="s">
        <v>36</v>
      </c>
      <c r="F72" s="429">
        <v>1</v>
      </c>
      <c r="G72" s="429">
        <v>208500</v>
      </c>
      <c r="H72" s="30">
        <f>=G72*F72</f>
        <v>208500</v>
      </c>
      <c r="I72" s="469">
        <v>1</v>
      </c>
      <c r="J72" s="407">
        <f>=W72</f>
        <v>0.35</v>
      </c>
      <c r="K72" s="84">
        <f>=S72</f>
        <v>122495.1</v>
      </c>
      <c r="L72" s="83">
        <f>=K72*I72</f>
        <v>122495.1</v>
      </c>
      <c r="M72" s="398" t="s"/>
      <c r="N72" s="398" t="s"/>
      <c r="O72" s="398" t="s">
        <v>790</v>
      </c>
      <c r="P72" s="398" t="s"/>
      <c r="Q72" s="398" t="s"/>
      <c r="R72" s="398">
        <f>=AVERAGE(X72,AD72,AJ72,AP72)</f>
        <v>149728.366666667</v>
      </c>
      <c r="S72" s="399">
        <f>=MIN(X72,AD72,AJ72,AP72)</f>
        <v>122495.1</v>
      </c>
      <c r="T72" s="41" t="s">
        <v>625</v>
      </c>
      <c r="U72" s="41" t="s">
        <v>626</v>
      </c>
      <c r="V72" s="429">
        <v>188454</v>
      </c>
      <c r="W72" s="383">
        <v>0.35</v>
      </c>
      <c r="X72" s="408">
        <f>=V72*(1-W72)</f>
        <v>122495.1</v>
      </c>
      <c r="Y72" s="391">
        <f>=X72*I72</f>
        <v>122495.1</v>
      </c>
      <c r="Z72" s="41" t="s">
        <v>627</v>
      </c>
      <c r="AA72" s="41" t="s">
        <v>628</v>
      </c>
      <c r="AB72" s="41">
        <v>186236</v>
      </c>
      <c r="AC72" s="383" t="s"/>
      <c r="AD72" s="41">
        <f>=AB72*(1-AC72)</f>
        <v>186236</v>
      </c>
      <c r="AE72" s="41">
        <f>=AB72*I72</f>
        <v>186236</v>
      </c>
      <c r="AF72" s="41" t="s">
        <v>629</v>
      </c>
      <c r="AG72" s="41" t="s">
        <v>630</v>
      </c>
      <c r="AH72" s="425">
        <v>140454</v>
      </c>
      <c r="AI72" s="387" t="s"/>
      <c r="AJ72" s="41">
        <f>=AH72*(1-AI72)</f>
        <v>140454</v>
      </c>
      <c r="AK72" s="41">
        <f>=AH72*I72</f>
        <v>140454</v>
      </c>
      <c r="AL72" s="41" t="s"/>
      <c r="AM72" s="41" t="s"/>
      <c r="AN72" s="41" t="s"/>
      <c r="AO72" s="41" t="s"/>
      <c r="AP72" s="41" t="s"/>
      <c r="AQ72" s="41" t="s"/>
    </row>
    <row r="73" spans="1:43" s="999" customHeight="false">
      <c r="A73" s="492">
        <v>3</v>
      </c>
      <c r="B73" s="41" t="s">
        <v>745</v>
      </c>
      <c r="C73" s="41" t="s"/>
      <c r="D73" s="41" t="s">
        <v>791</v>
      </c>
      <c r="E73" s="429" t="s">
        <v>36</v>
      </c>
      <c r="F73" s="429">
        <v>1</v>
      </c>
      <c r="G73" s="429">
        <v>31400</v>
      </c>
      <c r="H73" s="30">
        <f>=G73*F73</f>
        <v>31400</v>
      </c>
      <c r="I73" s="469">
        <v>1</v>
      </c>
      <c r="J73" s="407">
        <f>=W73</f>
        <v>0.2</v>
      </c>
      <c r="K73" s="84">
        <f>=S73</f>
        <v>20000</v>
      </c>
      <c r="L73" s="83">
        <f>=K73*I73</f>
        <v>20000</v>
      </c>
      <c r="M73" s="398" t="s"/>
      <c r="N73" s="398" t="s"/>
      <c r="O73" s="398" t="s">
        <v>792</v>
      </c>
      <c r="P73" s="398" t="s"/>
      <c r="Q73" s="398" t="s"/>
      <c r="R73" s="398">
        <f>=AVERAGE(X73,AD73,AJ73,AP73)</f>
        <v>28933.3333333333</v>
      </c>
      <c r="S73" s="399">
        <f>=MIN(X73,AD73,AJ73,AP73)</f>
        <v>20000</v>
      </c>
      <c r="T73" s="41" t="s">
        <v>590</v>
      </c>
      <c r="U73" s="41" t="s">
        <v>591</v>
      </c>
      <c r="V73" s="41">
        <v>25000</v>
      </c>
      <c r="W73" s="383">
        <v>0.2</v>
      </c>
      <c r="X73" s="408">
        <f>=V73*(1-W73)</f>
        <v>20000</v>
      </c>
      <c r="Y73" s="391">
        <f>=X73*I73</f>
        <v>20000</v>
      </c>
      <c r="Z73" s="41" t="s">
        <v>592</v>
      </c>
      <c r="AA73" s="41" t="s">
        <v>593</v>
      </c>
      <c r="AB73" s="41">
        <v>33200</v>
      </c>
      <c r="AC73" s="383" t="s"/>
      <c r="AD73" s="41">
        <f>=AB73*(1-AC73)</f>
        <v>33200</v>
      </c>
      <c r="AE73" s="41">
        <f>=AB73*I73</f>
        <v>33200</v>
      </c>
      <c r="AF73" s="41" t="s">
        <v>594</v>
      </c>
      <c r="AG73" s="400" t="s">
        <v>595</v>
      </c>
      <c r="AH73" s="41">
        <v>33600</v>
      </c>
      <c r="AI73" s="387" t="s"/>
      <c r="AJ73" s="41">
        <f>=AH73*(1-AI73)</f>
        <v>33600</v>
      </c>
      <c r="AK73" s="41">
        <f>=AH73*I73</f>
        <v>33600</v>
      </c>
      <c r="AL73" s="41" t="s"/>
      <c r="AM73" s="41" t="s"/>
      <c r="AN73" s="41" t="s"/>
      <c r="AO73" s="41" t="s"/>
      <c r="AP73" s="41" t="s"/>
      <c r="AQ73" s="41" t="s"/>
    </row>
    <row r="74" spans="1:43" s="999" customHeight="false">
      <c r="A74" s="492">
        <v>4</v>
      </c>
      <c r="B74" s="41" t="s">
        <v>793</v>
      </c>
      <c r="C74" s="41" t="s"/>
      <c r="D74" s="41" t="s">
        <v>794</v>
      </c>
      <c r="E74" s="429" t="s">
        <v>36</v>
      </c>
      <c r="F74" s="429">
        <v>1</v>
      </c>
      <c r="G74" s="429">
        <v>86000</v>
      </c>
      <c r="H74" s="30">
        <f>=G74*F74</f>
        <v>86000</v>
      </c>
      <c r="I74" s="469">
        <v>1</v>
      </c>
      <c r="J74" s="407">
        <f>=W74</f>
        <v>0.2</v>
      </c>
      <c r="K74" s="84">
        <f>=S74</f>
        <v>29500</v>
      </c>
      <c r="L74" s="83">
        <f>=K74*I74</f>
        <v>29500</v>
      </c>
      <c r="M74" s="398" t="s"/>
      <c r="N74" s="398" t="s"/>
      <c r="O74" s="398" t="s">
        <v>795</v>
      </c>
      <c r="P74" s="398" t="s"/>
      <c r="Q74" s="398" t="s"/>
      <c r="R74" s="398">
        <f>=AVERAGE(X74,AD74,AJ74,AP74)</f>
        <v>39366.6666666667</v>
      </c>
      <c r="S74" s="399">
        <f>=MIN(X74,AD74,AJ74,AP74)</f>
        <v>29500</v>
      </c>
      <c r="T74" s="41" t="s">
        <v>590</v>
      </c>
      <c r="U74" s="41" t="s">
        <v>591</v>
      </c>
      <c r="V74" s="41">
        <v>53000</v>
      </c>
      <c r="W74" s="383">
        <v>0.2</v>
      </c>
      <c r="X74" s="408">
        <f>=V74*(1-W74)</f>
        <v>42400</v>
      </c>
      <c r="Y74" s="391">
        <f>=X74*I74</f>
        <v>42400</v>
      </c>
      <c r="Z74" s="41" t="s">
        <v>592</v>
      </c>
      <c r="AA74" s="41" t="s">
        <v>593</v>
      </c>
      <c r="AB74" s="41">
        <v>29500</v>
      </c>
      <c r="AC74" s="383" t="s"/>
      <c r="AD74" s="41">
        <f>=AB74*(1-AC74)</f>
        <v>29500</v>
      </c>
      <c r="AE74" s="41">
        <f>=AB74*I74</f>
        <v>29500</v>
      </c>
      <c r="AF74" s="41" t="s">
        <v>594</v>
      </c>
      <c r="AG74" s="400" t="s">
        <v>595</v>
      </c>
      <c r="AH74" s="41">
        <v>46200</v>
      </c>
      <c r="AI74" s="387" t="s"/>
      <c r="AJ74" s="41">
        <f>=AH74*(1-AI74)</f>
        <v>46200</v>
      </c>
      <c r="AK74" s="41">
        <f>=AH74*I74</f>
        <v>46200</v>
      </c>
      <c r="AL74" s="41" t="s"/>
      <c r="AM74" s="41" t="s"/>
      <c r="AN74" s="41" t="s"/>
      <c r="AO74" s="41" t="s"/>
      <c r="AP74" s="41" t="s"/>
      <c r="AQ74" s="41" t="s"/>
    </row>
    <row r="75" spans="1:43" s="999" customHeight="false">
      <c r="A75" s="492">
        <v>5</v>
      </c>
      <c r="B75" s="41" t="s">
        <v>796</v>
      </c>
      <c r="C75" s="41" t="s"/>
      <c r="D75" s="41" t="s">
        <v>797</v>
      </c>
      <c r="E75" s="429" t="s">
        <v>36</v>
      </c>
      <c r="F75" s="429">
        <v>3</v>
      </c>
      <c r="G75" s="429">
        <v>284000</v>
      </c>
      <c r="H75" s="30">
        <f>=G75*F75</f>
        <v>852000</v>
      </c>
      <c r="I75" s="469">
        <v>1</v>
      </c>
      <c r="J75" s="407">
        <f>=AI75</f>
        <v>0.03</v>
      </c>
      <c r="K75" s="84">
        <f>=S75</f>
        <v>363750</v>
      </c>
      <c r="L75" s="83">
        <f>=K75*I75</f>
        <v>363750</v>
      </c>
      <c r="M75" s="398" t="s"/>
      <c r="N75" s="398" t="s"/>
      <c r="O75" s="398" t="s"/>
      <c r="P75" s="398" t="s"/>
      <c r="Q75" s="398" t="s"/>
      <c r="R75" s="398">
        <f>=AVERAGE(AD75,AJ75,AP75)</f>
        <v>363750</v>
      </c>
      <c r="S75" s="399">
        <f>=MIN(AD75,AJ75,AP75)</f>
        <v>363750</v>
      </c>
      <c r="T75" s="41" t="s">
        <v>726</v>
      </c>
      <c r="U75" s="41" t="s">
        <v>727</v>
      </c>
      <c r="V75" s="41" t="s">
        <v>719</v>
      </c>
      <c r="W75" s="383">
        <v>0.3</v>
      </c>
      <c r="X75" s="408" t="s"/>
      <c r="Y75" s="41" t="s">
        <v>719</v>
      </c>
      <c r="Z75" s="41" t="s">
        <v>728</v>
      </c>
      <c r="AA75" s="41" t="s">
        <v>729</v>
      </c>
      <c r="AB75" s="420" t="s">
        <v>719</v>
      </c>
      <c r="AC75" s="383" t="s"/>
      <c r="AD75" s="41" t="s"/>
      <c r="AE75" s="41" t="s">
        <v>719</v>
      </c>
      <c r="AF75" s="41" t="s">
        <v>730</v>
      </c>
      <c r="AG75" s="41" t="s">
        <v>731</v>
      </c>
      <c r="AH75" s="41">
        <v>375000</v>
      </c>
      <c r="AI75" s="387">
        <v>0.03</v>
      </c>
      <c r="AJ75" s="41">
        <f>=AH75*(1-AI75)</f>
        <v>363750</v>
      </c>
      <c r="AK75" s="41">
        <f>=AH75*I75</f>
        <v>375000</v>
      </c>
      <c r="AL75" s="41" t="s"/>
      <c r="AM75" s="41" t="s"/>
      <c r="AN75" s="41" t="s"/>
      <c r="AO75" s="41" t="s"/>
      <c r="AP75" s="41" t="s"/>
      <c r="AQ75" s="41" t="s"/>
    </row>
    <row r="76" spans="1:43" s="453" customHeight="false">
      <c r="A76" s="492">
        <v>6</v>
      </c>
      <c r="B76" s="72" t="s">
        <v>788</v>
      </c>
      <c r="C76" s="41" t="s"/>
      <c r="D76" s="41" t="s">
        <v>798</v>
      </c>
      <c r="E76" s="429" t="s">
        <v>36</v>
      </c>
      <c r="F76" s="429">
        <v>1</v>
      </c>
      <c r="G76" s="429">
        <v>81500</v>
      </c>
      <c r="H76" s="30">
        <f>=G76*F76</f>
        <v>81500</v>
      </c>
      <c r="I76" s="469">
        <v>1</v>
      </c>
      <c r="J76" s="407">
        <f>=AI76</f>
        <v>0</v>
      </c>
      <c r="K76" s="84">
        <f>=S76</f>
        <v>29093</v>
      </c>
      <c r="L76" s="83">
        <f>=K76*I76</f>
        <v>29093</v>
      </c>
      <c r="M76" s="398" t="s"/>
      <c r="N76" s="398" t="s"/>
      <c r="O76" s="398" t="s"/>
      <c r="P76" s="398" t="s"/>
      <c r="Q76" s="398" t="s"/>
      <c r="R76" s="398">
        <f>=AVERAGE(X76,AD76,AJ76,AP76)</f>
        <v>51155.7166666667</v>
      </c>
      <c r="S76" s="399">
        <f>=MIN(X76,AD76,AJ76,AP76)</f>
        <v>29093</v>
      </c>
      <c r="T76" s="41" t="s">
        <v>625</v>
      </c>
      <c r="U76" s="41" t="s">
        <v>626</v>
      </c>
      <c r="V76" s="429">
        <v>68691</v>
      </c>
      <c r="W76" s="383">
        <v>0.35</v>
      </c>
      <c r="X76" s="408">
        <f>=V76*(1-W76)</f>
        <v>44649.15</v>
      </c>
      <c r="Y76" s="391">
        <f>=X76*I76</f>
        <v>44649.15</v>
      </c>
      <c r="Z76" s="41" t="s">
        <v>627</v>
      </c>
      <c r="AA76" s="41" t="s">
        <v>628</v>
      </c>
      <c r="AB76" s="41">
        <v>79725</v>
      </c>
      <c r="AC76" s="383" t="s"/>
      <c r="AD76" s="41">
        <f>=AB76*(1-AC76)</f>
        <v>79725</v>
      </c>
      <c r="AE76" s="41">
        <f>=AB76*I76</f>
        <v>79725</v>
      </c>
      <c r="AF76" s="41" t="s">
        <v>629</v>
      </c>
      <c r="AG76" s="41" t="s">
        <v>630</v>
      </c>
      <c r="AH76" s="425">
        <v>29093</v>
      </c>
      <c r="AI76" s="387" t="s"/>
      <c r="AJ76" s="41">
        <f>=AH76*(1-AI76)</f>
        <v>29093</v>
      </c>
      <c r="AK76" s="41">
        <f>=AH76*I76</f>
        <v>29093</v>
      </c>
      <c r="AL76" s="41" t="s"/>
      <c r="AM76" s="41" t="s"/>
      <c r="AN76" s="41" t="s"/>
      <c r="AO76" s="41" t="s"/>
      <c r="AP76" s="41" t="s"/>
      <c r="AQ76" s="41" t="s"/>
    </row>
    <row r="77" spans="1:43" s="453" customHeight="false">
      <c r="A77" s="495">
        <v>7</v>
      </c>
      <c r="B77" s="420" t="s">
        <v>799</v>
      </c>
      <c r="C77" s="420" t="s"/>
      <c r="D77" s="420" t="s">
        <v>800</v>
      </c>
      <c r="E77" s="429" t="s">
        <v>45</v>
      </c>
      <c r="F77" s="429">
        <v>1</v>
      </c>
      <c r="G77" s="429" t="s"/>
      <c r="H77" s="30" t="s"/>
      <c r="I77" s="429">
        <v>1</v>
      </c>
      <c r="J77" s="108">
        <f>=W77</f>
        <v>0.35</v>
      </c>
      <c r="K77" s="62">
        <f>=S77</f>
        <v>32760</v>
      </c>
      <c r="L77" s="37">
        <f>=K77*I77</f>
        <v>32760</v>
      </c>
      <c r="M77" s="398" t="s"/>
      <c r="N77" s="398" t="s"/>
      <c r="O77" s="398" t="s"/>
      <c r="P77" s="398" t="s"/>
      <c r="Q77" s="398" t="s"/>
      <c r="R77" s="447">
        <f>=AVERAGE(X77,AD77,AJ77,AP77)</f>
        <v>49301.3333333333</v>
      </c>
      <c r="S77" s="462">
        <f>=MIN(X77,AD77,AJ77,AP77)</f>
        <v>32760</v>
      </c>
      <c r="T77" s="400" t="s">
        <v>625</v>
      </c>
      <c r="U77" s="400" t="s">
        <v>626</v>
      </c>
      <c r="V77" s="429">
        <v>50400</v>
      </c>
      <c r="W77" s="383">
        <v>0.35</v>
      </c>
      <c r="X77" s="408">
        <f>=V77*(1-W77)</f>
        <v>32760</v>
      </c>
      <c r="Y77" s="391">
        <f>=X77*I77</f>
        <v>32760</v>
      </c>
      <c r="Z77" s="41" t="s">
        <v>627</v>
      </c>
      <c r="AA77" s="41" t="s">
        <v>628</v>
      </c>
      <c r="AB77" s="41">
        <v>66918</v>
      </c>
      <c r="AC77" s="383" t="s"/>
      <c r="AD77" s="41">
        <f>=AB77*(1-AC77)</f>
        <v>66918</v>
      </c>
      <c r="AE77" s="41">
        <f>=AB77*I77</f>
        <v>66918</v>
      </c>
      <c r="AF77" s="41" t="s">
        <v>629</v>
      </c>
      <c r="AG77" s="41" t="s">
        <v>630</v>
      </c>
      <c r="AH77" s="41">
        <v>48226</v>
      </c>
      <c r="AI77" s="387" t="s"/>
      <c r="AJ77" s="41">
        <f>=AH77*(1-AI77)</f>
        <v>48226</v>
      </c>
      <c r="AK77" s="41">
        <f>=AH77*I77</f>
        <v>48226</v>
      </c>
      <c r="AL77" s="41" t="s"/>
      <c r="AM77" s="41" t="s"/>
      <c r="AN77" s="41" t="s"/>
      <c r="AO77" s="41" t="s"/>
      <c r="AP77" s="41" t="s"/>
      <c r="AQ77" s="41" t="s"/>
    </row>
    <row r="78" spans="1:43" s="453" customHeight="false">
      <c r="A78" s="495">
        <v>8</v>
      </c>
      <c r="B78" s="420" t="s">
        <v>799</v>
      </c>
      <c r="C78" s="420" t="s"/>
      <c r="D78" s="420" t="s">
        <v>801</v>
      </c>
      <c r="E78" s="496" t="s">
        <v>45</v>
      </c>
      <c r="F78" s="429">
        <v>8</v>
      </c>
      <c r="G78" s="429" t="s"/>
      <c r="H78" s="30" t="s"/>
      <c r="I78" s="429">
        <v>8</v>
      </c>
      <c r="J78" s="108">
        <f>=W78</f>
        <v>0.35</v>
      </c>
      <c r="K78" s="62">
        <f>=S78</f>
        <v>11602.5</v>
      </c>
      <c r="L78" s="37">
        <f>=K78*I78</f>
        <v>92820</v>
      </c>
      <c r="M78" s="398" t="s"/>
      <c r="N78" s="398" t="s"/>
      <c r="O78" s="398" t="s"/>
      <c r="P78" s="398" t="s"/>
      <c r="Q78" s="398" t="s"/>
      <c r="R78" s="447">
        <f>=AVERAGE(X78,AD78,AJ78,AP78)</f>
        <v>18287.1666666667</v>
      </c>
      <c r="S78" s="462">
        <f>=MIN(X78,AD78,AJ78,AP78)</f>
        <v>11602.5</v>
      </c>
      <c r="T78" s="400" t="s">
        <v>625</v>
      </c>
      <c r="U78" s="400" t="s">
        <v>626</v>
      </c>
      <c r="V78" s="429">
        <v>17850</v>
      </c>
      <c r="W78" s="383">
        <v>0.35</v>
      </c>
      <c r="X78" s="408">
        <f>=V78*(1-W78)</f>
        <v>11602.5</v>
      </c>
      <c r="Y78" s="391">
        <f>=X78*I78</f>
        <v>92820</v>
      </c>
      <c r="Z78" s="41" t="s">
        <v>627</v>
      </c>
      <c r="AA78" s="41" t="s">
        <v>628</v>
      </c>
      <c r="AB78" s="41">
        <v>30893</v>
      </c>
      <c r="AC78" s="383" t="s"/>
      <c r="AD78" s="41">
        <f>=AB78*(1-AC78)</f>
        <v>30893</v>
      </c>
      <c r="AE78" s="41">
        <f>=AB78*I78</f>
        <v>247144</v>
      </c>
      <c r="AF78" s="41" t="s">
        <v>629</v>
      </c>
      <c r="AG78" s="41" t="s">
        <v>630</v>
      </c>
      <c r="AH78" s="41">
        <v>12366</v>
      </c>
      <c r="AI78" s="387" t="s"/>
      <c r="AJ78" s="41">
        <f>=AH78*(1-AI78)</f>
        <v>12366</v>
      </c>
      <c r="AK78" s="41">
        <f>=AH78*I78</f>
        <v>98928</v>
      </c>
      <c r="AL78" s="41" t="s"/>
      <c r="AM78" s="41" t="s"/>
      <c r="AN78" s="41" t="s"/>
      <c r="AO78" s="41" t="s"/>
      <c r="AP78" s="41" t="s"/>
      <c r="AQ78" s="41" t="s"/>
    </row>
    <row r="79" spans="1:43" s="453" customHeight="false">
      <c r="A79" s="495">
        <v>9</v>
      </c>
      <c r="B79" s="420" t="s">
        <v>802</v>
      </c>
      <c r="C79" s="420" t="s"/>
      <c r="D79" s="420" t="s">
        <v>803</v>
      </c>
      <c r="E79" s="429" t="s">
        <v>45</v>
      </c>
      <c r="F79" s="429">
        <v>1</v>
      </c>
      <c r="G79" s="429" t="s"/>
      <c r="H79" s="30" t="s"/>
      <c r="I79" s="429">
        <v>1</v>
      </c>
      <c r="J79" s="108">
        <f>=AI79</f>
        <v>0</v>
      </c>
      <c r="K79" s="62">
        <f>=S79</f>
        <v>17482</v>
      </c>
      <c r="L79" s="37">
        <f>=K79*I79</f>
        <v>17482</v>
      </c>
      <c r="M79" s="398" t="s"/>
      <c r="N79" s="398" t="s"/>
      <c r="O79" s="398">
        <v>36337</v>
      </c>
      <c r="P79" s="398" t="s"/>
      <c r="Q79" s="398" t="s"/>
      <c r="R79" s="447">
        <f>=AVERAGE(X79,AD79,AJ79,AP79)</f>
        <v>38090.95</v>
      </c>
      <c r="S79" s="462">
        <f>=MIN(X79,AD79,AJ79,AP79)</f>
        <v>17482</v>
      </c>
      <c r="T79" s="400" t="s">
        <v>625</v>
      </c>
      <c r="U79" s="400" t="s">
        <v>626</v>
      </c>
      <c r="V79" s="429">
        <v>55449</v>
      </c>
      <c r="W79" s="383">
        <v>0.35</v>
      </c>
      <c r="X79" s="408">
        <f>=V79*(1-W79)</f>
        <v>36041.85</v>
      </c>
      <c r="Y79" s="391">
        <f>=X79*I79</f>
        <v>36041.85</v>
      </c>
      <c r="Z79" s="41" t="s">
        <v>627</v>
      </c>
      <c r="AA79" s="41" t="s">
        <v>628</v>
      </c>
      <c r="AB79" s="41">
        <v>60749</v>
      </c>
      <c r="AC79" s="383" t="s"/>
      <c r="AD79" s="41">
        <f>=AB79*(1-AC79)</f>
        <v>60749</v>
      </c>
      <c r="AE79" s="41">
        <f>=AB79*I79</f>
        <v>60749</v>
      </c>
      <c r="AF79" s="41" t="s">
        <v>629</v>
      </c>
      <c r="AG79" s="41" t="s">
        <v>630</v>
      </c>
      <c r="AH79" s="41">
        <v>17482</v>
      </c>
      <c r="AI79" s="387" t="s"/>
      <c r="AJ79" s="41">
        <f>=AH79*(1-AI79)</f>
        <v>17482</v>
      </c>
      <c r="AK79" s="41">
        <f>=AH79*I79</f>
        <v>17482</v>
      </c>
      <c r="AL79" s="41" t="s"/>
      <c r="AM79" s="41" t="s"/>
      <c r="AN79" s="41" t="s"/>
      <c r="AO79" s="41" t="s"/>
      <c r="AP79" s="41" t="s"/>
      <c r="AQ79" s="41" t="s"/>
    </row>
    <row r="80" spans="1:43" s="453" customHeight="false">
      <c r="A80" s="495">
        <v>10</v>
      </c>
      <c r="B80" s="420" t="s">
        <v>804</v>
      </c>
      <c r="C80" s="420" t="s"/>
      <c r="D80" s="420" t="s">
        <v>805</v>
      </c>
      <c r="E80" s="429" t="s">
        <v>45</v>
      </c>
      <c r="F80" s="429">
        <v>1</v>
      </c>
      <c r="G80" s="429" t="s"/>
      <c r="H80" s="30" t="s"/>
      <c r="I80" s="429">
        <v>1</v>
      </c>
      <c r="J80" s="108">
        <f>=AI80</f>
        <v>0</v>
      </c>
      <c r="K80" s="62">
        <f>=S80</f>
        <v>1021</v>
      </c>
      <c r="L80" s="37">
        <f>=K80*I80</f>
        <v>1021</v>
      </c>
      <c r="M80" s="398" t="s"/>
      <c r="N80" s="398" t="s"/>
      <c r="O80" s="398" t="s"/>
      <c r="P80" s="398" t="s"/>
      <c r="Q80" s="398" t="s">
        <v>806</v>
      </c>
      <c r="R80" s="447">
        <f>=AVERAGE(X80,AD80,AJ80,AP80)</f>
        <v>1442.63333333333</v>
      </c>
      <c r="S80" s="462">
        <f>=MIN(X80,AD80,AJ80,AP80)</f>
        <v>1021</v>
      </c>
      <c r="T80" s="400" t="s">
        <v>625</v>
      </c>
      <c r="U80" s="400" t="s">
        <v>626</v>
      </c>
      <c r="V80" s="429">
        <v>1666</v>
      </c>
      <c r="W80" s="383">
        <v>0.35</v>
      </c>
      <c r="X80" s="408">
        <f>=V80*(1-W80)</f>
        <v>1082.9</v>
      </c>
      <c r="Y80" s="391">
        <f>=X80*I80</f>
        <v>1082.9</v>
      </c>
      <c r="Z80" s="41" t="s">
        <v>627</v>
      </c>
      <c r="AA80" s="41" t="s">
        <v>628</v>
      </c>
      <c r="AB80" s="41">
        <v>2224</v>
      </c>
      <c r="AC80" s="383" t="s"/>
      <c r="AD80" s="41">
        <f>=AB80*(1-AC80)</f>
        <v>2224</v>
      </c>
      <c r="AE80" s="41">
        <f>=AB80*I80</f>
        <v>2224</v>
      </c>
      <c r="AF80" s="41" t="s">
        <v>629</v>
      </c>
      <c r="AG80" s="41" t="s">
        <v>630</v>
      </c>
      <c r="AH80" s="41">
        <v>1021</v>
      </c>
      <c r="AI80" s="387" t="s"/>
      <c r="AJ80" s="41">
        <f>=AH80*(1-AI80)</f>
        <v>1021</v>
      </c>
      <c r="AK80" s="41">
        <f>=AH80*I80</f>
        <v>1021</v>
      </c>
      <c r="AL80" s="41" t="s"/>
      <c r="AM80" s="41" t="s"/>
      <c r="AN80" s="41" t="s"/>
      <c r="AO80" s="41" t="s"/>
      <c r="AP80" s="41" t="s"/>
      <c r="AQ80" s="41" t="s"/>
    </row>
    <row r="81" spans="1:43" s="453" customHeight="false">
      <c r="A81" s="495">
        <v>11</v>
      </c>
      <c r="B81" s="420" t="s">
        <v>804</v>
      </c>
      <c r="C81" s="420" t="s"/>
      <c r="D81" s="420" t="s">
        <v>807</v>
      </c>
      <c r="E81" s="429" t="s">
        <v>45</v>
      </c>
      <c r="F81" s="429">
        <v>6</v>
      </c>
      <c r="G81" s="429" t="s"/>
      <c r="H81" s="30" t="s"/>
      <c r="I81" s="429">
        <v>6</v>
      </c>
      <c r="J81" s="108">
        <f>=AI81</f>
        <v>0</v>
      </c>
      <c r="K81" s="62">
        <f>=S81</f>
        <v>884</v>
      </c>
      <c r="L81" s="37">
        <f>=K81*I81</f>
        <v>5304</v>
      </c>
      <c r="M81" s="398" t="s"/>
      <c r="N81" s="398" t="s"/>
      <c r="O81" s="398" t="s"/>
      <c r="P81" s="398" t="s"/>
      <c r="Q81" s="398" t="s"/>
      <c r="R81" s="447">
        <f>=AVERAGE(X81,AD81,AJ81,AP81)</f>
        <v>1234.63333333333</v>
      </c>
      <c r="S81" s="462">
        <f>=MIN(X81,AD81,AJ81,AP81)</f>
        <v>884</v>
      </c>
      <c r="T81" s="400" t="s">
        <v>625</v>
      </c>
      <c r="U81" s="400" t="s">
        <v>626</v>
      </c>
      <c r="V81" s="429">
        <v>1386</v>
      </c>
      <c r="W81" s="383">
        <v>0.35</v>
      </c>
      <c r="X81" s="408">
        <f>=V81*(1-W81)</f>
        <v>900.9</v>
      </c>
      <c r="Y81" s="391">
        <f>=X81*I81</f>
        <v>5405.4</v>
      </c>
      <c r="Z81" s="41" t="s">
        <v>627</v>
      </c>
      <c r="AA81" s="41" t="s">
        <v>628</v>
      </c>
      <c r="AB81" s="41">
        <v>1919</v>
      </c>
      <c r="AC81" s="383" t="s"/>
      <c r="AD81" s="41">
        <f>=AB81*(1-AC81)</f>
        <v>1919</v>
      </c>
      <c r="AE81" s="41">
        <f>=AB81*I81</f>
        <v>11514</v>
      </c>
      <c r="AF81" s="41" t="s">
        <v>629</v>
      </c>
      <c r="AG81" s="41" t="s">
        <v>630</v>
      </c>
      <c r="AH81" s="41">
        <v>884</v>
      </c>
      <c r="AI81" s="387" t="s"/>
      <c r="AJ81" s="41">
        <f>=AH81*(1-AI81)</f>
        <v>884</v>
      </c>
      <c r="AK81" s="41">
        <f>=AH81*I81</f>
        <v>5304</v>
      </c>
      <c r="AL81" s="41" t="s"/>
      <c r="AM81" s="41" t="s"/>
      <c r="AN81" s="41" t="s"/>
      <c r="AO81" s="41" t="s"/>
      <c r="AP81" s="41" t="s"/>
      <c r="AQ81" s="41" t="s"/>
    </row>
    <row r="82" spans="1:43" s="453" customHeight="false">
      <c r="A82" s="495">
        <v>12</v>
      </c>
      <c r="B82" s="420" t="s">
        <v>808</v>
      </c>
      <c r="C82" s="420" t="s"/>
      <c r="D82" s="420" t="s">
        <v>807</v>
      </c>
      <c r="E82" s="429" t="s">
        <v>45</v>
      </c>
      <c r="F82" s="429">
        <v>3</v>
      </c>
      <c r="G82" s="429" t="s"/>
      <c r="H82" s="30" t="s"/>
      <c r="I82" s="429">
        <v>3</v>
      </c>
      <c r="J82" s="108">
        <f>=W82</f>
        <v>0.35</v>
      </c>
      <c r="K82" s="62">
        <f>=S82</f>
        <v>1146.6</v>
      </c>
      <c r="L82" s="37">
        <f>=K82*I82</f>
        <v>3439.8</v>
      </c>
      <c r="M82" s="398" t="s"/>
      <c r="N82" s="398" t="s"/>
      <c r="O82" s="398" t="s"/>
      <c r="P82" s="398" t="s"/>
      <c r="Q82" s="398" t="s"/>
      <c r="R82" s="447">
        <f>=AVERAGE(X82,AD82,AJ82,AP82)</f>
        <v>2030.53333333333</v>
      </c>
      <c r="S82" s="462">
        <f>=MIN(X82,AD82,AJ82,AP82)</f>
        <v>1146.6</v>
      </c>
      <c r="T82" s="400" t="s">
        <v>625</v>
      </c>
      <c r="U82" s="400" t="s">
        <v>626</v>
      </c>
      <c r="V82" s="429">
        <v>1764</v>
      </c>
      <c r="W82" s="383">
        <v>0.35</v>
      </c>
      <c r="X82" s="408">
        <f>=V82*(1-W82)</f>
        <v>1146.6</v>
      </c>
      <c r="Y82" s="391">
        <f>=X82*I82</f>
        <v>3439.8</v>
      </c>
      <c r="Z82" s="41" t="s">
        <v>627</v>
      </c>
      <c r="AA82" s="41" t="s">
        <v>628</v>
      </c>
      <c r="AB82" s="41">
        <v>3512</v>
      </c>
      <c r="AC82" s="383" t="s"/>
      <c r="AD82" s="41">
        <f>=AB82*(1-AC82)</f>
        <v>3512</v>
      </c>
      <c r="AE82" s="41">
        <f>=AB82*I82</f>
        <v>10536</v>
      </c>
      <c r="AF82" s="41" t="s">
        <v>629</v>
      </c>
      <c r="AG82" s="41" t="s">
        <v>630</v>
      </c>
      <c r="AH82" s="41">
        <v>1433</v>
      </c>
      <c r="AI82" s="387" t="s"/>
      <c r="AJ82" s="41">
        <f>=AH82*(1-AI82)</f>
        <v>1433</v>
      </c>
      <c r="AK82" s="41">
        <f>=AH82*I82</f>
        <v>4299</v>
      </c>
      <c r="AL82" s="41" t="s"/>
      <c r="AM82" s="41" t="s"/>
      <c r="AN82" s="41" t="s"/>
      <c r="AO82" s="41" t="s"/>
      <c r="AP82" s="41" t="s"/>
      <c r="AQ82" s="41" t="s"/>
    </row>
    <row r="83" spans="1:43" s="453" customHeight="false">
      <c r="A83" s="495">
        <v>13</v>
      </c>
      <c r="B83" s="420" t="s">
        <v>809</v>
      </c>
      <c r="C83" s="420" t="s"/>
      <c r="D83" s="420" t="s">
        <v>810</v>
      </c>
      <c r="E83" s="429" t="s">
        <v>45</v>
      </c>
      <c r="F83" s="429">
        <v>2</v>
      </c>
      <c r="G83" s="429">
        <v>67.64</v>
      </c>
      <c r="H83" s="30" t="s"/>
      <c r="I83" s="429">
        <v>2</v>
      </c>
      <c r="J83" s="108" t="s"/>
      <c r="K83" s="62">
        <f>=40.8</f>
        <v>40.8</v>
      </c>
      <c r="L83" s="37">
        <f>=K83*I83</f>
        <v>81.6</v>
      </c>
      <c r="M83" s="398" t="s"/>
      <c r="N83" s="398" t="s"/>
      <c r="O83" s="398" t="s"/>
      <c r="P83" s="398" t="s"/>
      <c r="Q83" s="398" t="s"/>
      <c r="R83" s="447">
        <f>=AVERAGE(X83,AD83,AJ83,AP83)</f>
        <v>837.225</v>
      </c>
      <c r="S83" s="462">
        <f>=MIN(X83,AD83,AJ83,AP83)</f>
        <v>450.45</v>
      </c>
      <c r="T83" s="400" t="s">
        <v>625</v>
      </c>
      <c r="U83" s="400" t="s">
        <v>626</v>
      </c>
      <c r="V83" s="429">
        <v>693</v>
      </c>
      <c r="W83" s="383">
        <v>0.35</v>
      </c>
      <c r="X83" s="408">
        <f>=V83*(1-W83)</f>
        <v>450.45</v>
      </c>
      <c r="Y83" s="391">
        <f>=X83*I83</f>
        <v>900.9</v>
      </c>
      <c r="Z83" s="41" t="s">
        <v>627</v>
      </c>
      <c r="AA83" s="41" t="s">
        <v>628</v>
      </c>
      <c r="AB83" s="41">
        <v>1224</v>
      </c>
      <c r="AC83" s="383" t="s"/>
      <c r="AD83" s="41">
        <f>=AB83*(1-AC83)</f>
        <v>1224</v>
      </c>
      <c r="AE83" s="41">
        <f>=AB83*I83</f>
        <v>2448</v>
      </c>
      <c r="AF83" s="41" t="s">
        <v>629</v>
      </c>
      <c r="AG83" s="41" t="s">
        <v>630</v>
      </c>
      <c r="AH83" s="41" t="s">
        <v>631</v>
      </c>
      <c r="AI83" s="387" t="s"/>
      <c r="AJ83" s="41" t="s"/>
      <c r="AK83" s="41" t="s">
        <v>631</v>
      </c>
      <c r="AL83" s="41" t="s"/>
      <c r="AM83" s="41" t="s"/>
      <c r="AN83" s="41" t="s"/>
      <c r="AO83" s="41" t="s"/>
      <c r="AP83" s="41" t="s"/>
      <c r="AQ83" s="41" t="s"/>
    </row>
    <row r="84" spans="1:43" customHeight="false">
      <c r="A84" s="497" t="s">
        <v>811</v>
      </c>
      <c r="B84" s="498" t="s">
        <v>812</v>
      </c>
      <c r="C84" s="499" t="s"/>
      <c r="D84" s="72" t="s"/>
      <c r="E84" s="248" t="s"/>
      <c r="F84" s="248" t="s"/>
      <c r="G84" s="248" t="s"/>
      <c r="H84" s="500" t="s"/>
      <c r="I84" s="501" t="s"/>
      <c r="J84" s="502" t="s"/>
      <c r="K84" s="503" t="s"/>
      <c r="L84" s="503" t="s"/>
      <c r="M84" s="397" t="s"/>
      <c r="N84" s="397" t="s"/>
      <c r="O84" s="397" t="s"/>
      <c r="P84" s="397" t="s"/>
      <c r="Q84" s="397" t="s"/>
      <c r="R84" s="398" t="s"/>
      <c r="S84" s="504" t="s"/>
      <c r="T84" s="74" t="s"/>
      <c r="U84" s="74" t="s"/>
      <c r="V84" s="74" t="s"/>
      <c r="W84" s="505" t="s"/>
      <c r="X84" s="506" t="s"/>
      <c r="Y84" s="74" t="s"/>
      <c r="Z84" s="72" t="s"/>
      <c r="AA84" s="72" t="s"/>
      <c r="AB84" s="74" t="s"/>
      <c r="AC84" s="505" t="s"/>
      <c r="AD84" s="41" t="s"/>
      <c r="AE84" s="74" t="s"/>
      <c r="AF84" s="74" t="s"/>
      <c r="AG84" s="74" t="s"/>
      <c r="AH84" s="143" t="s"/>
      <c r="AI84" s="507" t="s"/>
      <c r="AJ84" s="61" t="s"/>
      <c r="AK84" s="143" t="s"/>
      <c r="AL84" s="74" t="s"/>
      <c r="AM84" s="74" t="s"/>
      <c r="AN84" s="74" t="s"/>
      <c r="AO84" s="508" t="s"/>
      <c r="AP84" s="508" t="s"/>
      <c r="AQ84" s="74" t="s"/>
    </row>
    <row r="85" spans="1:43" s="999" customHeight="false">
      <c r="A85" s="429">
        <v>1</v>
      </c>
      <c r="B85" s="41" t="s">
        <v>813</v>
      </c>
      <c r="C85" s="41" t="s"/>
      <c r="D85" s="41" t="s">
        <v>814</v>
      </c>
      <c r="E85" s="429" t="s">
        <v>32</v>
      </c>
      <c r="F85" s="429">
        <v>2</v>
      </c>
      <c r="G85" s="429">
        <v>232600</v>
      </c>
      <c r="H85" s="30">
        <f>=G85*F85</f>
        <v>465200</v>
      </c>
      <c r="I85" s="469">
        <v>2</v>
      </c>
      <c r="J85" s="407">
        <f>=W85</f>
        <v>0.2</v>
      </c>
      <c r="K85" s="84">
        <f>=S85</f>
        <v>144000</v>
      </c>
      <c r="L85" s="83">
        <f>=K85*I85</f>
        <v>288000</v>
      </c>
      <c r="M85" s="398" t="s"/>
      <c r="N85" s="398" t="s"/>
      <c r="O85" s="398">
        <v>130000</v>
      </c>
      <c r="P85" s="398" t="s"/>
      <c r="Q85" s="398" t="s"/>
      <c r="R85" s="447">
        <f>=AVERAGE(X85,AD85,AJ85,AP85)</f>
        <v>173533.333333333</v>
      </c>
      <c r="S85" s="462">
        <f>=MIN(X85,AD85,AJ85,AP85)</f>
        <v>144000</v>
      </c>
      <c r="T85" s="41" t="s">
        <v>815</v>
      </c>
      <c r="U85" s="41" t="s">
        <v>591</v>
      </c>
      <c r="V85" s="41">
        <v>180000</v>
      </c>
      <c r="W85" s="383">
        <v>0.2</v>
      </c>
      <c r="X85" s="408">
        <f>=V85*(1-W85)</f>
        <v>144000</v>
      </c>
      <c r="Y85" s="391">
        <f>=X85*I85</f>
        <v>288000</v>
      </c>
      <c r="Z85" s="41" t="s">
        <v>592</v>
      </c>
      <c r="AA85" s="41" t="s">
        <v>593</v>
      </c>
      <c r="AB85" s="41">
        <v>175000</v>
      </c>
      <c r="AC85" s="383" t="s"/>
      <c r="AD85" s="41">
        <f>=AB85*(1-AC85)</f>
        <v>175000</v>
      </c>
      <c r="AE85" s="41">
        <f>=AB85*I85</f>
        <v>350000</v>
      </c>
      <c r="AF85" s="41" t="s">
        <v>594</v>
      </c>
      <c r="AG85" s="400" t="s">
        <v>595</v>
      </c>
      <c r="AH85" s="41">
        <v>201600</v>
      </c>
      <c r="AI85" s="387" t="s"/>
      <c r="AJ85" s="41">
        <f>=AH85*(1-AI85)</f>
        <v>201600</v>
      </c>
      <c r="AK85" s="41">
        <f>=AH85*I85</f>
        <v>403200</v>
      </c>
      <c r="AL85" s="41" t="s"/>
      <c r="AM85" s="41" t="s"/>
      <c r="AN85" s="41" t="s"/>
      <c r="AO85" s="41" t="s"/>
      <c r="AP85" s="41" t="s"/>
      <c r="AQ85" s="41" t="s"/>
    </row>
    <row r="86" spans="1:43" s="999" customHeight="false">
      <c r="A86" s="429">
        <v>2</v>
      </c>
      <c r="B86" s="41" t="s">
        <v>816</v>
      </c>
      <c r="C86" s="41" t="s"/>
      <c r="D86" s="41" t="s">
        <v>817</v>
      </c>
      <c r="E86" s="429" t="s">
        <v>32</v>
      </c>
      <c r="F86" s="429">
        <v>2</v>
      </c>
      <c r="G86" s="429">
        <v>200000</v>
      </c>
      <c r="H86" s="30">
        <f>=G86*F86</f>
        <v>400000</v>
      </c>
      <c r="I86" s="469">
        <v>2</v>
      </c>
      <c r="J86" s="407">
        <f>=AI86</f>
        <v>0</v>
      </c>
      <c r="K86" s="84">
        <f>=S86</f>
        <v>49300</v>
      </c>
      <c r="L86" s="83">
        <f>=K86*I86</f>
        <v>98600</v>
      </c>
      <c r="M86" s="398" t="s"/>
      <c r="N86" s="398" t="s"/>
      <c r="O86" s="398" t="s">
        <v>818</v>
      </c>
      <c r="P86" s="398" t="s"/>
      <c r="Q86" s="398" t="s"/>
      <c r="R86" s="398">
        <f>=AVERAGE(X86,AD86,AJ86,AP86)</f>
        <v>87900</v>
      </c>
      <c r="S86" s="399">
        <f>=MIN(X86,AD86,AJ86,AP86)</f>
        <v>49300</v>
      </c>
      <c r="T86" s="41" t="s">
        <v>819</v>
      </c>
      <c r="U86" s="41" t="s">
        <v>820</v>
      </c>
      <c r="V86" s="41">
        <v>126500</v>
      </c>
      <c r="W86" s="383" t="s"/>
      <c r="X86" s="408">
        <f>=V86*(1-W86)</f>
        <v>126500</v>
      </c>
      <c r="Y86" s="391">
        <f>=X86*I86</f>
        <v>253000</v>
      </c>
      <c r="Z86" s="41" t="s">
        <v>821</v>
      </c>
      <c r="AA86" s="41" t="s">
        <v>822</v>
      </c>
      <c r="AB86" s="41" t="s">
        <v>823</v>
      </c>
      <c r="AC86" s="383" t="s"/>
      <c r="AD86" s="41" t="s"/>
      <c r="AE86" s="41" t="s">
        <v>823</v>
      </c>
      <c r="AF86" s="41" t="s">
        <v>824</v>
      </c>
      <c r="AG86" s="41" t="s">
        <v>825</v>
      </c>
      <c r="AH86" s="41">
        <v>49300</v>
      </c>
      <c r="AI86" s="387" t="s"/>
      <c r="AJ86" s="41">
        <f>=AH86*(1-AI86)</f>
        <v>49300</v>
      </c>
      <c r="AK86" s="41">
        <f>=AH86*I86</f>
        <v>98600</v>
      </c>
      <c r="AL86" s="41" t="s"/>
      <c r="AM86" s="41" t="s"/>
      <c r="AN86" s="41" t="s"/>
      <c r="AO86" s="41" t="s"/>
      <c r="AP86" s="41" t="s"/>
      <c r="AQ86" s="41" t="s"/>
    </row>
    <row r="87" spans="1:43" s="999" customHeight="false">
      <c r="A87" s="476">
        <v>3</v>
      </c>
      <c r="B87" s="420" t="s">
        <v>826</v>
      </c>
      <c r="C87" s="420" t="s"/>
      <c r="D87" s="420" t="s">
        <v>827</v>
      </c>
      <c r="E87" s="476" t="s">
        <v>45</v>
      </c>
      <c r="F87" s="476">
        <v>3</v>
      </c>
      <c r="G87" s="429" t="s"/>
      <c r="H87" s="430" t="s"/>
      <c r="I87" s="476">
        <v>3</v>
      </c>
      <c r="J87" s="407">
        <f>=W87</f>
        <v>0.35</v>
      </c>
      <c r="K87" s="84">
        <f>=S87</f>
        <v>2529.8</v>
      </c>
      <c r="L87" s="83">
        <f>=K87*I87</f>
        <v>7589.4</v>
      </c>
      <c r="M87" s="374" t="s"/>
      <c r="N87" s="374" t="s"/>
      <c r="O87" s="374" t="s"/>
      <c r="P87" s="374" t="s"/>
      <c r="Q87" s="374" t="s"/>
      <c r="R87" s="374">
        <f>=AVERAGE(X87,AD87,AJ87,AP87)</f>
        <v>4834.93333333333</v>
      </c>
      <c r="S87" s="399">
        <f>=MIN(X87,AD87,AJ87,AP87)</f>
        <v>2529.8</v>
      </c>
      <c r="T87" s="400" t="s">
        <v>625</v>
      </c>
      <c r="U87" s="400" t="s">
        <v>626</v>
      </c>
      <c r="V87" s="41">
        <v>3892</v>
      </c>
      <c r="W87" s="383">
        <v>0.35</v>
      </c>
      <c r="X87" s="408">
        <f>=V87*(1-W87)</f>
        <v>2529.8</v>
      </c>
      <c r="Y87" s="391">
        <f>=X87*I87</f>
        <v>7589.4</v>
      </c>
      <c r="Z87" s="41" t="s">
        <v>627</v>
      </c>
      <c r="AA87" s="41" t="s">
        <v>628</v>
      </c>
      <c r="AB87" s="41">
        <v>6292</v>
      </c>
      <c r="AC87" s="383" t="s"/>
      <c r="AD87" s="41">
        <f>=AB87*(1-AC87)</f>
        <v>6292</v>
      </c>
      <c r="AE87" s="41">
        <f>=AB87*I87</f>
        <v>18876</v>
      </c>
      <c r="AF87" s="41" t="s">
        <v>629</v>
      </c>
      <c r="AG87" s="41" t="s">
        <v>630</v>
      </c>
      <c r="AH87" s="41">
        <v>5683</v>
      </c>
      <c r="AI87" s="387" t="s"/>
      <c r="AJ87" s="41">
        <f>=AH87*(1-AI87)</f>
        <v>5683</v>
      </c>
      <c r="AK87" s="41">
        <f>=AH87*I87</f>
        <v>17049</v>
      </c>
      <c r="AL87" s="41" t="s"/>
      <c r="AM87" s="41" t="s"/>
      <c r="AN87" s="41" t="s"/>
      <c r="AO87" s="41" t="s"/>
      <c r="AP87" s="41" t="s"/>
      <c r="AQ87" s="41" t="s"/>
    </row>
    <row r="88" spans="1:43" s="999" customHeight="false">
      <c r="A88" s="476">
        <v>4</v>
      </c>
      <c r="B88" s="509" t="s">
        <v>828</v>
      </c>
      <c r="C88" s="509" t="s"/>
      <c r="D88" s="509" t="s">
        <v>655</v>
      </c>
      <c r="E88" s="476" t="s">
        <v>45</v>
      </c>
      <c r="F88" s="510">
        <v>5</v>
      </c>
      <c r="G88" s="475" t="s"/>
      <c r="H88" s="30" t="s"/>
      <c r="I88" s="510">
        <v>5</v>
      </c>
      <c r="J88" s="407">
        <f>=W88</f>
        <v>0.35</v>
      </c>
      <c r="K88" s="84">
        <f>=S88</f>
        <v>1792.7</v>
      </c>
      <c r="L88" s="83">
        <f>=K88*I88</f>
        <v>8963.5</v>
      </c>
      <c r="M88" s="511" t="s"/>
      <c r="N88" s="511" t="s"/>
      <c r="O88" s="511" t="s"/>
      <c r="P88" s="511" t="s"/>
      <c r="Q88" s="511" t="s"/>
      <c r="R88" s="398">
        <f>=AVERAGE(X88,AD88,AJ88,AP88)</f>
        <v>2415.56666666667</v>
      </c>
      <c r="S88" s="399">
        <f>=MIN(X88,AD88,AJ88,AP88)</f>
        <v>1792.7</v>
      </c>
      <c r="T88" s="400" t="s">
        <v>625</v>
      </c>
      <c r="U88" s="400" t="s">
        <v>626</v>
      </c>
      <c r="V88" s="38">
        <v>2758</v>
      </c>
      <c r="W88" s="383">
        <v>0.35</v>
      </c>
      <c r="X88" s="408">
        <f>=V88*(1-W88)</f>
        <v>1792.7</v>
      </c>
      <c r="Y88" s="391">
        <f>=X88*I88</f>
        <v>8963.5</v>
      </c>
      <c r="Z88" s="41" t="s">
        <v>627</v>
      </c>
      <c r="AA88" s="41" t="s">
        <v>628</v>
      </c>
      <c r="AB88" s="38">
        <v>3412</v>
      </c>
      <c r="AC88" s="512" t="s"/>
      <c r="AD88" s="41">
        <f>=AB88*(1-AC88)</f>
        <v>3412</v>
      </c>
      <c r="AE88" s="41">
        <f>=AB88*I88</f>
        <v>17060</v>
      </c>
      <c r="AF88" s="41" t="s">
        <v>629</v>
      </c>
      <c r="AG88" s="41" t="s">
        <v>630</v>
      </c>
      <c r="AH88" s="41">
        <v>2042</v>
      </c>
      <c r="AI88" s="387" t="s"/>
      <c r="AJ88" s="41">
        <f>=AH88*(1-AI88)</f>
        <v>2042</v>
      </c>
      <c r="AK88" s="41">
        <f>=AH88*I88</f>
        <v>10210</v>
      </c>
      <c r="AL88" s="38" t="s"/>
      <c r="AM88" s="38" t="s"/>
      <c r="AN88" s="38" t="s"/>
      <c r="AO88" s="154" t="s"/>
      <c r="AP88" s="154" t="s"/>
      <c r="AQ88" s="38" t="s"/>
    </row>
    <row r="89" spans="1:43" s="453" ht="26.25" customHeight="true">
      <c r="A89" s="476">
        <v>5</v>
      </c>
      <c r="B89" s="420" t="s">
        <v>828</v>
      </c>
      <c r="C89" s="420" t="s"/>
      <c r="D89" s="420" t="s">
        <v>660</v>
      </c>
      <c r="E89" s="476" t="s">
        <v>45</v>
      </c>
      <c r="F89" s="476">
        <v>3</v>
      </c>
      <c r="G89" s="429" t="s"/>
      <c r="H89" s="30" t="s"/>
      <c r="I89" s="476">
        <v>3</v>
      </c>
      <c r="J89" s="446">
        <f>=W89</f>
        <v>0.35</v>
      </c>
      <c r="K89" s="62">
        <f>=S89</f>
        <v>2784.6</v>
      </c>
      <c r="L89" s="37">
        <f>=K89*I89</f>
        <v>8353.8</v>
      </c>
      <c r="M89" s="513" t="s"/>
      <c r="N89" s="513" t="s"/>
      <c r="O89" s="513">
        <v>3200</v>
      </c>
      <c r="P89" s="398" t="s"/>
      <c r="Q89" s="398" t="s"/>
      <c r="R89" s="447">
        <f>=AVERAGE(X89,AD89,AJ89,AP89)</f>
        <v>3795.86666666667</v>
      </c>
      <c r="S89" s="462">
        <f>=MIN(X89,AD89,AJ89,AP89)</f>
        <v>2784.6</v>
      </c>
      <c r="T89" s="400" t="s">
        <v>625</v>
      </c>
      <c r="U89" s="400" t="s">
        <v>626</v>
      </c>
      <c r="V89" s="41">
        <v>4284</v>
      </c>
      <c r="W89" s="383">
        <v>0.35</v>
      </c>
      <c r="X89" s="408">
        <f>=V89*(1-W89)</f>
        <v>2784.6</v>
      </c>
      <c r="Y89" s="391">
        <f>=X89*I89</f>
        <v>8353.8</v>
      </c>
      <c r="Z89" s="41" t="s">
        <v>627</v>
      </c>
      <c r="AA89" s="41" t="s">
        <v>628</v>
      </c>
      <c r="AB89" s="41">
        <v>5591</v>
      </c>
      <c r="AC89" s="383" t="s"/>
      <c r="AD89" s="41">
        <f>=AB89*(1-AC89)</f>
        <v>5591</v>
      </c>
      <c r="AE89" s="41">
        <f>=AB89*I89</f>
        <v>16773</v>
      </c>
      <c r="AF89" s="41" t="s">
        <v>629</v>
      </c>
      <c r="AG89" s="41" t="s">
        <v>630</v>
      </c>
      <c r="AH89" s="41">
        <v>3012</v>
      </c>
      <c r="AI89" s="387" t="s"/>
      <c r="AJ89" s="41">
        <f>=AH89*(1-AI89)</f>
        <v>3012</v>
      </c>
      <c r="AK89" s="41">
        <f>=AH89*I89</f>
        <v>9036</v>
      </c>
      <c r="AL89" s="41" t="s"/>
      <c r="AM89" s="41" t="s"/>
      <c r="AN89" s="41" t="s"/>
      <c r="AO89" s="41" t="s"/>
      <c r="AP89" s="41" t="s"/>
      <c r="AQ89" s="41" t="s"/>
    </row>
    <row r="90" spans="1:43" s="453" customHeight="false">
      <c r="A90" s="476">
        <v>6</v>
      </c>
      <c r="B90" s="420" t="s">
        <v>632</v>
      </c>
      <c r="C90" s="420" t="s"/>
      <c r="D90" s="420" t="s">
        <v>655</v>
      </c>
      <c r="E90" s="476" t="s">
        <v>45</v>
      </c>
      <c r="F90" s="476">
        <v>2</v>
      </c>
      <c r="G90" s="429" t="s"/>
      <c r="H90" s="514" t="s"/>
      <c r="I90" s="476">
        <v>2</v>
      </c>
      <c r="J90" s="108">
        <f>=AI90</f>
        <v>0</v>
      </c>
      <c r="K90" s="62">
        <f>=S90</f>
        <v>3047</v>
      </c>
      <c r="L90" s="37">
        <f>=K90*I90</f>
        <v>6094</v>
      </c>
      <c r="M90" s="398" t="s"/>
      <c r="N90" s="398" t="s"/>
      <c r="O90" s="398" t="s"/>
      <c r="P90" s="398" t="s"/>
      <c r="Q90" s="398" t="s">
        <v>656</v>
      </c>
      <c r="R90" s="447">
        <f>=AVERAGE(X90,AD90,AJ90,AP90)</f>
        <v>3731.63333333333</v>
      </c>
      <c r="S90" s="462">
        <f>=MIN(X90,AD90,AJ90,AP90)</f>
        <v>3047</v>
      </c>
      <c r="T90" s="400" t="s">
        <v>625</v>
      </c>
      <c r="U90" s="400" t="s">
        <v>626</v>
      </c>
      <c r="V90" s="41">
        <v>4746</v>
      </c>
      <c r="W90" s="383">
        <v>0.35</v>
      </c>
      <c r="X90" s="408">
        <f>=V90*(1-W90)</f>
        <v>3084.9</v>
      </c>
      <c r="Y90" s="391">
        <f>=X90*I90</f>
        <v>6169.8</v>
      </c>
      <c r="Z90" s="41" t="s">
        <v>627</v>
      </c>
      <c r="AA90" s="41" t="s">
        <v>628</v>
      </c>
      <c r="AB90" s="41">
        <v>5063</v>
      </c>
      <c r="AC90" s="383" t="s"/>
      <c r="AD90" s="41">
        <f>=AB90*(1-AC90)</f>
        <v>5063</v>
      </c>
      <c r="AE90" s="41">
        <f>=AB90*I90</f>
        <v>10126</v>
      </c>
      <c r="AF90" s="41" t="s">
        <v>629</v>
      </c>
      <c r="AG90" s="41" t="s">
        <v>630</v>
      </c>
      <c r="AH90" s="41">
        <v>3047</v>
      </c>
      <c r="AI90" s="387" t="s"/>
      <c r="AJ90" s="41">
        <f>=AH90*(1-AI90)</f>
        <v>3047</v>
      </c>
      <c r="AK90" s="41">
        <f>=AH90*I90</f>
        <v>6094</v>
      </c>
      <c r="AL90" s="41" t="s"/>
      <c r="AM90" s="41" t="s"/>
      <c r="AN90" s="41" t="s"/>
      <c r="AO90" s="41" t="s"/>
      <c r="AP90" s="41" t="s"/>
      <c r="AQ90" s="41" t="s"/>
    </row>
    <row r="91" spans="1:43" s="1001" customHeight="false">
      <c r="A91" s="476">
        <v>7</v>
      </c>
      <c r="B91" s="420" t="s">
        <v>632</v>
      </c>
      <c r="C91" s="420" t="s"/>
      <c r="D91" s="420" t="s">
        <v>662</v>
      </c>
      <c r="E91" s="476" t="s">
        <v>45</v>
      </c>
      <c r="F91" s="476">
        <v>1</v>
      </c>
      <c r="G91" s="429" t="s"/>
      <c r="H91" s="514" t="s"/>
      <c r="I91" s="476">
        <v>1</v>
      </c>
      <c r="J91" s="446">
        <f>=W91</f>
        <v>0.35</v>
      </c>
      <c r="K91" s="62">
        <f>=S91</f>
        <v>800.8</v>
      </c>
      <c r="L91" s="37">
        <f>=K91*I91</f>
        <v>800.8</v>
      </c>
      <c r="M91" s="398" t="s"/>
      <c r="N91" s="398" t="s"/>
      <c r="O91" s="398" t="s"/>
      <c r="P91" s="398" t="s"/>
      <c r="Q91" s="398" t="s">
        <v>829</v>
      </c>
      <c r="R91" s="447">
        <f>=AVERAGE(X91,AD91,AJ91,AP91)</f>
        <v>1767.93333333333</v>
      </c>
      <c r="S91" s="462">
        <f>=MIN(X91,AD91,AJ91,AP91)</f>
        <v>800.8</v>
      </c>
      <c r="T91" s="400" t="s">
        <v>625</v>
      </c>
      <c r="U91" s="400" t="s">
        <v>626</v>
      </c>
      <c r="V91" s="41">
        <v>1232</v>
      </c>
      <c r="W91" s="383">
        <v>0.35</v>
      </c>
      <c r="X91" s="408">
        <f>=V91*(1-W91)</f>
        <v>800.8</v>
      </c>
      <c r="Y91" s="391">
        <f>=X91*I91</f>
        <v>800.8</v>
      </c>
      <c r="Z91" s="41" t="s">
        <v>627</v>
      </c>
      <c r="AA91" s="41" t="s">
        <v>628</v>
      </c>
      <c r="AB91" s="41">
        <v>3260</v>
      </c>
      <c r="AC91" s="383" t="s"/>
      <c r="AD91" s="41">
        <f>=AB91*(1-AC91)</f>
        <v>3260</v>
      </c>
      <c r="AE91" s="41">
        <f>=AB91*I91</f>
        <v>3260</v>
      </c>
      <c r="AF91" s="41" t="s">
        <v>629</v>
      </c>
      <c r="AG91" s="41" t="s">
        <v>630</v>
      </c>
      <c r="AH91" s="41">
        <v>1243</v>
      </c>
      <c r="AI91" s="387" t="s"/>
      <c r="AJ91" s="41">
        <f>=AH91*(1-AI91)</f>
        <v>1243</v>
      </c>
      <c r="AK91" s="41">
        <f>=AH91*I91</f>
        <v>1243</v>
      </c>
      <c r="AL91" s="41" t="s"/>
      <c r="AM91" s="41" t="s"/>
      <c r="AN91" s="41" t="s"/>
      <c r="AO91" s="41" t="s"/>
      <c r="AP91" s="41" t="s"/>
      <c r="AQ91" s="41" t="s"/>
    </row>
    <row r="92" spans="1:37" s="1001">
      <c r="A92" s="476">
        <v>8</v>
      </c>
      <c r="B92" s="420" t="s">
        <v>828</v>
      </c>
      <c r="C92" s="420" t="s"/>
      <c r="D92" s="420" t="s">
        <v>662</v>
      </c>
      <c r="E92" s="515" t="s">
        <v>45</v>
      </c>
      <c r="F92" s="515">
        <v>1</v>
      </c>
      <c r="G92" s="41" t="s"/>
      <c r="H92" s="41" t="s"/>
      <c r="I92" s="420">
        <v>1</v>
      </c>
      <c r="J92" s="108">
        <f>=AI92</f>
        <v>0</v>
      </c>
      <c r="K92" s="62">
        <f>=S92</f>
        <v>624</v>
      </c>
      <c r="L92" s="37">
        <f>=K92*I92</f>
        <v>624</v>
      </c>
      <c r="M92" s="398" t="s"/>
      <c r="N92" s="398" t="s"/>
      <c r="O92" s="358" t="s"/>
      <c r="P92" s="358" t="s"/>
      <c r="Q92" s="358" t="s"/>
      <c r="R92" s="447">
        <f>=AVERAGE(X92,AD92,AJ92,AP92)</f>
        <v>937.483333333333</v>
      </c>
      <c r="S92" s="462">
        <f>=MIN(X92,AD92,AJ92,AP92)</f>
        <v>624</v>
      </c>
      <c r="T92" s="516" t="s">
        <v>625</v>
      </c>
      <c r="U92" s="516" t="s">
        <v>626</v>
      </c>
      <c r="V92" s="41">
        <v>973</v>
      </c>
      <c r="W92" s="383">
        <v>0.35</v>
      </c>
      <c r="X92" s="408">
        <f>=V92*(1-W92)</f>
        <v>632.45</v>
      </c>
      <c r="Y92" s="391">
        <f>=X92*I92</f>
        <v>632.45</v>
      </c>
      <c r="Z92" s="41" t="s">
        <v>627</v>
      </c>
      <c r="AA92" s="41" t="s">
        <v>628</v>
      </c>
      <c r="AB92" s="41">
        <v>1556</v>
      </c>
      <c r="AC92" s="383" t="s"/>
      <c r="AD92" s="41">
        <f>=AB92*(1-AC92)</f>
        <v>1556</v>
      </c>
      <c r="AE92" s="41">
        <f>=AB92*I92</f>
        <v>1556</v>
      </c>
      <c r="AF92" s="41" t="s">
        <v>629</v>
      </c>
      <c r="AG92" s="41" t="s">
        <v>630</v>
      </c>
      <c r="AH92" s="41">
        <v>624</v>
      </c>
      <c r="AI92" s="387" t="s"/>
      <c r="AJ92" s="41">
        <f>=AH92*(1-AI92)</f>
        <v>624</v>
      </c>
      <c r="AK92" s="41">
        <f>=AH92*I92</f>
        <v>624</v>
      </c>
    </row>
    <row r="93" spans="1:43" customHeight="false">
      <c r="A93" s="497" t="s">
        <v>830</v>
      </c>
      <c r="B93" s="498" t="s">
        <v>831</v>
      </c>
      <c r="C93" s="499" t="s"/>
      <c r="D93" s="72" t="s"/>
      <c r="E93" s="248" t="s"/>
      <c r="F93" s="248" t="s"/>
      <c r="G93" s="248" t="s"/>
      <c r="H93" s="500" t="s"/>
      <c r="I93" s="501" t="s"/>
      <c r="J93" s="502" t="s"/>
      <c r="K93" s="503" t="s"/>
      <c r="L93" s="503" t="s"/>
      <c r="M93" s="397" t="s"/>
      <c r="N93" s="397" t="s"/>
      <c r="O93" s="397" t="s"/>
      <c r="P93" s="397" t="s"/>
      <c r="Q93" s="397" t="s"/>
      <c r="R93" s="447" t="s"/>
      <c r="S93" s="399" t="s"/>
      <c r="T93" s="74" t="s"/>
      <c r="U93" s="74" t="s"/>
      <c r="V93" s="74" t="s"/>
      <c r="W93" s="505" t="s"/>
      <c r="X93" s="506" t="s"/>
      <c r="Y93" s="74" t="s"/>
      <c r="Z93" s="72" t="s"/>
      <c r="AA93" s="72" t="s"/>
      <c r="AB93" s="74" t="s"/>
      <c r="AC93" s="505" t="s"/>
      <c r="AD93" s="41" t="s"/>
      <c r="AE93" s="74" t="s"/>
      <c r="AF93" s="74" t="s"/>
      <c r="AG93" s="74" t="s"/>
      <c r="AH93" s="143" t="s"/>
      <c r="AI93" s="507" t="s"/>
      <c r="AJ93" s="61" t="s"/>
      <c r="AK93" s="143" t="s"/>
      <c r="AL93" s="74" t="s"/>
      <c r="AM93" s="74" t="s"/>
      <c r="AN93" s="74" t="s"/>
      <c r="AO93" s="508" t="s"/>
      <c r="AP93" s="508" t="s"/>
      <c r="AQ93" s="74" t="s"/>
    </row>
    <row r="94" spans="1:43" s="999" customHeight="false">
      <c r="A94" s="429">
        <v>1</v>
      </c>
      <c r="B94" s="41" t="s">
        <v>611</v>
      </c>
      <c r="C94" s="41" t="s"/>
      <c r="D94" s="41" t="s">
        <v>832</v>
      </c>
      <c r="E94" s="429" t="s">
        <v>36</v>
      </c>
      <c r="F94" s="429">
        <v>1</v>
      </c>
      <c r="G94" s="429">
        <v>33600</v>
      </c>
      <c r="H94" s="30">
        <f>=G94*F94</f>
        <v>33600</v>
      </c>
      <c r="I94" s="469">
        <v>1</v>
      </c>
      <c r="J94" s="407">
        <f>=AI94</f>
        <v>0</v>
      </c>
      <c r="K94" s="83">
        <f>=G94</f>
        <v>33600</v>
      </c>
      <c r="L94" s="83">
        <f>=K94*I94</f>
        <v>33600</v>
      </c>
      <c r="M94" s="398" t="s"/>
      <c r="N94" s="398" t="s"/>
      <c r="O94" s="398">
        <v>65000</v>
      </c>
      <c r="P94" s="398" t="s"/>
      <c r="Q94" s="398">
        <v>62586</v>
      </c>
      <c r="R94" s="447">
        <f>=AVERAGE(X94,AD94,AJ94,AP94)</f>
        <v>41566.6666666667</v>
      </c>
      <c r="S94" s="462">
        <f>=MIN(X94,AD94,AJ94,AP94)</f>
        <v>13200</v>
      </c>
      <c r="T94" s="41" t="s">
        <v>615</v>
      </c>
      <c r="U94" s="41" t="s">
        <v>616</v>
      </c>
      <c r="V94" s="429">
        <v>87000</v>
      </c>
      <c r="W94" s="383">
        <v>0.1</v>
      </c>
      <c r="X94" s="408">
        <f>=V94*(1-W94)</f>
        <v>78300</v>
      </c>
      <c r="Y94" s="391">
        <f>=X94*I94</f>
        <v>78300</v>
      </c>
      <c r="Z94" s="41" t="s">
        <v>617</v>
      </c>
      <c r="AA94" s="41" t="s">
        <v>618</v>
      </c>
      <c r="AB94" s="41">
        <v>33200</v>
      </c>
      <c r="AC94" s="383" t="s"/>
      <c r="AD94" s="41">
        <f>=AB94*(1-AC94)</f>
        <v>33200</v>
      </c>
      <c r="AE94" s="41">
        <f>=AB94*I94</f>
        <v>33200</v>
      </c>
      <c r="AF94" s="41" t="s">
        <v>619</v>
      </c>
      <c r="AG94" s="41" t="s">
        <v>620</v>
      </c>
      <c r="AH94" s="429">
        <v>13200</v>
      </c>
      <c r="AI94" s="387" t="s"/>
      <c r="AJ94" s="41">
        <f>=AH94*(1-AI94)</f>
        <v>13200</v>
      </c>
      <c r="AK94" s="41">
        <f>=AH94*I94</f>
        <v>13200</v>
      </c>
      <c r="AL94" s="41" t="s"/>
      <c r="AM94" s="41" t="s"/>
      <c r="AN94" s="41" t="s"/>
      <c r="AO94" s="41" t="s"/>
      <c r="AP94" s="41" t="s"/>
      <c r="AQ94" s="41" t="s"/>
    </row>
    <row r="95" spans="1:43" s="999" customHeight="false">
      <c r="A95" s="429">
        <v>2</v>
      </c>
      <c r="B95" s="41" t="s">
        <v>833</v>
      </c>
      <c r="C95" s="41" t="s"/>
      <c r="D95" s="30" t="s">
        <v>834</v>
      </c>
      <c r="E95" s="429" t="s">
        <v>36</v>
      </c>
      <c r="F95" s="429">
        <v>3</v>
      </c>
      <c r="G95" s="429">
        <v>35000</v>
      </c>
      <c r="H95" s="30">
        <f>=G95*F95</f>
        <v>105000</v>
      </c>
      <c r="I95" s="469">
        <v>3</v>
      </c>
      <c r="J95" s="407">
        <f>=AI95</f>
        <v>0.1</v>
      </c>
      <c r="K95" s="83">
        <f>=S95</f>
        <v>23728.5</v>
      </c>
      <c r="L95" s="83">
        <f>=K95*I95</f>
        <v>71185.5</v>
      </c>
      <c r="M95" s="398" t="s"/>
      <c r="N95" s="398" t="s"/>
      <c r="O95" s="398" t="s">
        <v>835</v>
      </c>
      <c r="P95" s="398" t="s"/>
      <c r="Q95" s="398" t="s">
        <v>836</v>
      </c>
      <c r="R95" s="447">
        <f>=AVERAGE(X95,AD95,AJ95,AP95)</f>
        <v>39156.75</v>
      </c>
      <c r="S95" s="399">
        <f>=MIN(X95,AD95,AJ95,AP95)</f>
        <v>23728.5</v>
      </c>
      <c r="T95" s="41" t="s">
        <v>837</v>
      </c>
      <c r="U95" s="41" t="s">
        <v>838</v>
      </c>
      <c r="V95" s="421">
        <v>54585</v>
      </c>
      <c r="W95" s="383">
        <v>0</v>
      </c>
      <c r="X95" s="408">
        <f>=V95*(1-W95)</f>
        <v>54585</v>
      </c>
      <c r="Y95" s="420">
        <f>=X95*I95</f>
        <v>163755</v>
      </c>
      <c r="Z95" s="41" t="s">
        <v>839</v>
      </c>
      <c r="AA95" s="41" t="s">
        <v>840</v>
      </c>
      <c r="AB95" s="41" t="s">
        <v>841</v>
      </c>
      <c r="AC95" s="383" t="s"/>
      <c r="AD95" s="41" t="s"/>
      <c r="AE95" s="41" t="s">
        <v>841</v>
      </c>
      <c r="AF95" s="41" t="s">
        <v>842</v>
      </c>
      <c r="AG95" s="41" t="s">
        <v>843</v>
      </c>
      <c r="AH95" s="429">
        <v>26365</v>
      </c>
      <c r="AI95" s="387">
        <v>0.1</v>
      </c>
      <c r="AJ95" s="41">
        <f>=AH95*(1-AI95)</f>
        <v>23728.5</v>
      </c>
      <c r="AK95" s="41">
        <f>=AH95*I95</f>
        <v>79095</v>
      </c>
      <c r="AL95" s="41" t="s"/>
      <c r="AM95" s="41" t="s"/>
      <c r="AN95" s="41" t="s"/>
      <c r="AO95" s="41" t="s"/>
      <c r="AP95" s="41" t="s"/>
      <c r="AQ95" s="41" t="s"/>
    </row>
    <row r="96" spans="1:43" s="999" customHeight="false">
      <c r="A96" s="429">
        <v>3</v>
      </c>
      <c r="B96" s="41" t="s">
        <v>844</v>
      </c>
      <c r="C96" s="41" t="s"/>
      <c r="D96" s="41" t="s">
        <v>845</v>
      </c>
      <c r="E96" s="429" t="s">
        <v>36</v>
      </c>
      <c r="F96" s="429">
        <v>3</v>
      </c>
      <c r="G96" s="429">
        <v>120000</v>
      </c>
      <c r="H96" s="30">
        <f>=G96*F96</f>
        <v>360000</v>
      </c>
      <c r="I96" s="469">
        <v>3</v>
      </c>
      <c r="J96" s="407">
        <f>=AI96</f>
        <v>0.1</v>
      </c>
      <c r="K96" s="83">
        <f>=S96</f>
        <v>63819</v>
      </c>
      <c r="L96" s="83">
        <f>=K96*I96</f>
        <v>191457</v>
      </c>
      <c r="M96" s="398" t="s"/>
      <c r="N96" s="398" t="s"/>
      <c r="O96" s="398" t="s"/>
      <c r="P96" s="398" t="s"/>
      <c r="Q96" s="398" t="s">
        <v>846</v>
      </c>
      <c r="R96" s="447">
        <f>=AVERAGE(X96,AD96,AJ96,AP96)</f>
        <v>137875.5</v>
      </c>
      <c r="S96" s="399">
        <f>=MIN(X96,AD96,AJ96,AP96)</f>
        <v>63819</v>
      </c>
      <c r="T96" s="41" t="s">
        <v>837</v>
      </c>
      <c r="U96" s="41" t="s">
        <v>838</v>
      </c>
      <c r="V96" s="421">
        <v>211932</v>
      </c>
      <c r="W96" s="383">
        <v>0</v>
      </c>
      <c r="X96" s="408">
        <f>=V96*(1-W96)</f>
        <v>211932</v>
      </c>
      <c r="Y96" s="420">
        <f>=X96*I96</f>
        <v>635796</v>
      </c>
      <c r="Z96" s="41" t="s">
        <v>839</v>
      </c>
      <c r="AA96" s="41" t="s">
        <v>840</v>
      </c>
      <c r="AB96" s="41" t="s">
        <v>841</v>
      </c>
      <c r="AC96" s="383" t="s"/>
      <c r="AD96" s="41" t="s"/>
      <c r="AE96" s="41" t="s">
        <v>841</v>
      </c>
      <c r="AF96" s="41" t="s">
        <v>842</v>
      </c>
      <c r="AG96" s="41" t="s">
        <v>843</v>
      </c>
      <c r="AH96" s="429">
        <v>70910</v>
      </c>
      <c r="AI96" s="387">
        <v>0.1</v>
      </c>
      <c r="AJ96" s="41">
        <f>=AH96*(1-AI96)</f>
        <v>63819</v>
      </c>
      <c r="AK96" s="41">
        <f>=AH96*I96</f>
        <v>212730</v>
      </c>
      <c r="AL96" s="41" t="s"/>
      <c r="AM96" s="41" t="s"/>
      <c r="AN96" s="41" t="s"/>
      <c r="AO96" s="41" t="s"/>
      <c r="AP96" s="41" t="s"/>
      <c r="AQ96" s="41" t="s"/>
    </row>
    <row r="97" spans="1:43" s="999" customHeight="false">
      <c r="A97" s="475">
        <v>4</v>
      </c>
      <c r="B97" s="38" t="s">
        <v>637</v>
      </c>
      <c r="C97" s="38" t="s"/>
      <c r="D97" s="38" t="s">
        <v>847</v>
      </c>
      <c r="E97" s="429" t="s">
        <v>45</v>
      </c>
      <c r="F97" s="429">
        <v>3</v>
      </c>
      <c r="G97" s="429">
        <v>81500</v>
      </c>
      <c r="H97" s="30">
        <f>=G97*F97</f>
        <v>244500</v>
      </c>
      <c r="I97" s="469">
        <v>3</v>
      </c>
      <c r="J97" s="407">
        <f>=W97</f>
        <v>0.35</v>
      </c>
      <c r="K97" s="83">
        <f>=S97</f>
        <v>25841.4</v>
      </c>
      <c r="L97" s="83">
        <f>=K97*I97</f>
        <v>77524.2</v>
      </c>
      <c r="M97" s="398" t="s"/>
      <c r="N97" s="398" t="s"/>
      <c r="O97" s="398" t="s">
        <v>848</v>
      </c>
      <c r="P97" s="398" t="s"/>
      <c r="Q97" s="398" t="s"/>
      <c r="R97" s="447">
        <f>=AVERAGE(X97,AD97,AJ97,AP97)</f>
        <v>35964.1333333333</v>
      </c>
      <c r="S97" s="399">
        <f>=MIN(X97,AD97,AJ97,AP97)</f>
        <v>25841.4</v>
      </c>
      <c r="T97" s="41" t="s">
        <v>625</v>
      </c>
      <c r="U97" s="41" t="s">
        <v>626</v>
      </c>
      <c r="V97" s="429">
        <v>39756</v>
      </c>
      <c r="W97" s="383">
        <v>0.35</v>
      </c>
      <c r="X97" s="408">
        <f>=V97*(1-W97)</f>
        <v>25841.4</v>
      </c>
      <c r="Y97" s="391">
        <f>=X97*I97</f>
        <v>77524.2</v>
      </c>
      <c r="Z97" s="41" t="s">
        <v>627</v>
      </c>
      <c r="AA97" s="41" t="s">
        <v>628</v>
      </c>
      <c r="AB97" s="41">
        <v>47792</v>
      </c>
      <c r="AC97" s="383" t="s"/>
      <c r="AD97" s="41">
        <f>=AB97*(1-AC97)</f>
        <v>47792</v>
      </c>
      <c r="AE97" s="41">
        <f>=AB97*I97</f>
        <v>143376</v>
      </c>
      <c r="AF97" s="41" t="s">
        <v>629</v>
      </c>
      <c r="AG97" s="41" t="s">
        <v>630</v>
      </c>
      <c r="AH97" s="429">
        <v>34259</v>
      </c>
      <c r="AI97" s="387" t="s"/>
      <c r="AJ97" s="41">
        <f>=AH97*(1-AI97)</f>
        <v>34259</v>
      </c>
      <c r="AK97" s="41">
        <f>=AH97*I97</f>
        <v>102777</v>
      </c>
      <c r="AL97" s="41" t="s"/>
      <c r="AM97" s="41" t="s"/>
      <c r="AN97" s="41" t="s"/>
      <c r="AO97" s="41" t="s"/>
      <c r="AP97" s="41" t="s"/>
      <c r="AQ97" s="41" t="s"/>
    </row>
    <row r="98" spans="1:43" s="999" customHeight="false">
      <c r="A98" s="429">
        <v>5</v>
      </c>
      <c r="B98" s="41" t="s">
        <v>637</v>
      </c>
      <c r="C98" s="41" t="s"/>
      <c r="D98" s="41" t="s">
        <v>643</v>
      </c>
      <c r="E98" s="428" t="s">
        <v>45</v>
      </c>
      <c r="F98" s="429">
        <v>3</v>
      </c>
      <c r="G98" s="429">
        <v>91300</v>
      </c>
      <c r="H98" s="30">
        <f>=G98*F98</f>
        <v>273900</v>
      </c>
      <c r="I98" s="469">
        <v>3</v>
      </c>
      <c r="J98" s="407">
        <f>=AI98</f>
        <v>0</v>
      </c>
      <c r="K98" s="83">
        <f>=S98</f>
        <v>40808</v>
      </c>
      <c r="L98" s="83">
        <f>=K98*I98</f>
        <v>122424</v>
      </c>
      <c r="M98" s="398">
        <f>=K98*0.9</f>
        <v>36727.2</v>
      </c>
      <c r="N98" s="398">
        <f>=M98*I98-I98*K98</f>
        <v>-12242.4</v>
      </c>
      <c r="O98" s="398" t="s">
        <v>644</v>
      </c>
      <c r="P98" s="398" t="s"/>
      <c r="Q98" s="398" t="s"/>
      <c r="R98" s="447">
        <f>=AVERAGE(X98,AD98,AJ98,AP98)</f>
        <v>57820.1166666667</v>
      </c>
      <c r="S98" s="399">
        <f>=MIN(X98,AD98,AJ98,AP98)</f>
        <v>40808</v>
      </c>
      <c r="T98" s="41" t="s">
        <v>625</v>
      </c>
      <c r="U98" s="41" t="s">
        <v>626</v>
      </c>
      <c r="V98" s="429">
        <v>77219</v>
      </c>
      <c r="W98" s="383">
        <v>0.35</v>
      </c>
      <c r="X98" s="408">
        <f>=V98*(1-W98)</f>
        <v>50192.35</v>
      </c>
      <c r="Y98" s="391">
        <f>=X98*I98</f>
        <v>150577.05</v>
      </c>
      <c r="Z98" s="41" t="s">
        <v>627</v>
      </c>
      <c r="AA98" s="41" t="s">
        <v>628</v>
      </c>
      <c r="AB98" s="41">
        <v>82460</v>
      </c>
      <c r="AC98" s="383" t="s"/>
      <c r="AD98" s="41">
        <f>=AB98*(1-AC98)</f>
        <v>82460</v>
      </c>
      <c r="AE98" s="41">
        <f>=AB98*I98</f>
        <v>247380</v>
      </c>
      <c r="AF98" s="41" t="s">
        <v>629</v>
      </c>
      <c r="AG98" s="41" t="s">
        <v>630</v>
      </c>
      <c r="AH98" s="429">
        <v>40808</v>
      </c>
      <c r="AI98" s="387" t="s"/>
      <c r="AJ98" s="41">
        <f>=AH98*(1-AI98)</f>
        <v>40808</v>
      </c>
      <c r="AK98" s="41">
        <f>=AH98*I98</f>
        <v>122424</v>
      </c>
      <c r="AL98" s="41" t="s"/>
      <c r="AM98" s="41" t="s"/>
      <c r="AN98" s="41" t="s"/>
      <c r="AO98" s="41" t="s"/>
      <c r="AP98" s="41" t="s"/>
      <c r="AQ98" s="41" t="s"/>
    </row>
    <row r="99" spans="1:43" s="999" customHeight="false">
      <c r="A99" s="476">
        <v>6</v>
      </c>
      <c r="B99" s="420" t="s">
        <v>632</v>
      </c>
      <c r="C99" s="420" t="s"/>
      <c r="D99" s="420" t="s">
        <v>849</v>
      </c>
      <c r="E99" s="428" t="s">
        <v>45</v>
      </c>
      <c r="F99" s="429">
        <v>3</v>
      </c>
      <c r="G99" s="514" t="s"/>
      <c r="H99" s="380" t="s"/>
      <c r="I99" s="429">
        <v>3</v>
      </c>
      <c r="J99" s="407">
        <f>=AI99</f>
        <v>0</v>
      </c>
      <c r="K99" s="83">
        <f>=S99</f>
        <v>12788</v>
      </c>
      <c r="L99" s="83">
        <f>=K99*I99</f>
        <v>38364</v>
      </c>
      <c r="M99" s="398">
        <f>=K99*0.9</f>
        <v>11509.2</v>
      </c>
      <c r="N99" s="398">
        <f>=M99*I99-I99*K99</f>
        <v>-3836.39999999999</v>
      </c>
      <c r="O99" s="398" t="s"/>
      <c r="P99" s="398" t="s"/>
      <c r="Q99" s="398" t="s"/>
      <c r="R99" s="447">
        <f>=AVERAGE(X99,AD99,AJ99,AP99)</f>
        <v>14183.3333333333</v>
      </c>
      <c r="S99" s="399">
        <f>=MIN(X99,AD99,AJ99,AP99)</f>
        <v>12788</v>
      </c>
      <c r="T99" s="400" t="s">
        <v>625</v>
      </c>
      <c r="U99" s="400" t="s">
        <v>626</v>
      </c>
      <c r="V99" s="429">
        <v>23100</v>
      </c>
      <c r="W99" s="383">
        <v>0.35</v>
      </c>
      <c r="X99" s="408">
        <f>=V99*(1-W99)</f>
        <v>15015</v>
      </c>
      <c r="Y99" s="391">
        <f>=X99*I99</f>
        <v>45045</v>
      </c>
      <c r="Z99" s="41" t="s">
        <v>627</v>
      </c>
      <c r="AA99" s="41" t="s">
        <v>628</v>
      </c>
      <c r="AB99" s="41">
        <v>14747</v>
      </c>
      <c r="AC99" s="383" t="s"/>
      <c r="AD99" s="41">
        <f>=AB99*(1-AC99)</f>
        <v>14747</v>
      </c>
      <c r="AE99" s="41">
        <f>=AB99*I99</f>
        <v>44241</v>
      </c>
      <c r="AF99" s="41" t="s">
        <v>629</v>
      </c>
      <c r="AG99" s="41" t="s">
        <v>630</v>
      </c>
      <c r="AH99" s="429">
        <v>12788</v>
      </c>
      <c r="AI99" s="387" t="s"/>
      <c r="AJ99" s="41">
        <f>=AH99*(1-AI99)</f>
        <v>12788</v>
      </c>
      <c r="AK99" s="41">
        <f>=AH99*I99</f>
        <v>38364</v>
      </c>
      <c r="AL99" s="41" t="s"/>
      <c r="AM99" s="41" t="s"/>
      <c r="AN99" s="41" t="s"/>
      <c r="AO99" s="41" t="s"/>
      <c r="AP99" s="41" t="s"/>
      <c r="AQ99" s="41" t="s"/>
    </row>
    <row r="100" spans="1:43" s="999" customHeight="false">
      <c r="A100" s="476">
        <v>7</v>
      </c>
      <c r="B100" s="420" t="s">
        <v>632</v>
      </c>
      <c r="C100" s="420" t="s"/>
      <c r="D100" s="420" t="s">
        <v>650</v>
      </c>
      <c r="E100" s="428" t="s">
        <v>45</v>
      </c>
      <c r="F100" s="429">
        <v>3</v>
      </c>
      <c r="G100" s="429" t="s"/>
      <c r="H100" s="30" t="s"/>
      <c r="I100" s="429">
        <v>3</v>
      </c>
      <c r="J100" s="407">
        <f>=AI100</f>
        <v>0</v>
      </c>
      <c r="K100" s="83">
        <f>=S100</f>
        <v>43851</v>
      </c>
      <c r="L100" s="83">
        <f>=K100*I100</f>
        <v>131553</v>
      </c>
      <c r="M100" s="398">
        <f>=K100*0.9</f>
        <v>39465.9</v>
      </c>
      <c r="N100" s="398">
        <f>=M100*I100-I100*K100</f>
        <v>-13155.3</v>
      </c>
      <c r="O100" s="398" t="s">
        <v>634</v>
      </c>
      <c r="P100" s="398" t="s"/>
      <c r="Q100" s="398" t="s"/>
      <c r="R100" s="447">
        <f>=AVERAGE(X100,AD100,AJ100,AP100)</f>
        <v>50769</v>
      </c>
      <c r="S100" s="399">
        <f>=MIN(X100,AD100,AJ100,AP100)</f>
        <v>43851</v>
      </c>
      <c r="T100" s="400" t="s">
        <v>625</v>
      </c>
      <c r="U100" s="400" t="s">
        <v>626</v>
      </c>
      <c r="V100" s="429">
        <v>69300</v>
      </c>
      <c r="W100" s="383">
        <v>0.35</v>
      </c>
      <c r="X100" s="408">
        <f>=V100*(1-W100)</f>
        <v>45045</v>
      </c>
      <c r="Y100" s="391">
        <f>=X100*I100</f>
        <v>135135</v>
      </c>
      <c r="Z100" s="41" t="s">
        <v>627</v>
      </c>
      <c r="AA100" s="41" t="s">
        <v>628</v>
      </c>
      <c r="AB100" s="41">
        <v>63411</v>
      </c>
      <c r="AC100" s="383" t="s"/>
      <c r="AD100" s="41">
        <f>=AB100*(1-AC100)</f>
        <v>63411</v>
      </c>
      <c r="AE100" s="41">
        <f>=AB100*I100</f>
        <v>190233</v>
      </c>
      <c r="AF100" s="41" t="s">
        <v>629</v>
      </c>
      <c r="AG100" s="41" t="s">
        <v>630</v>
      </c>
      <c r="AH100" s="429">
        <v>43851</v>
      </c>
      <c r="AI100" s="387" t="s"/>
      <c r="AJ100" s="41">
        <f>=AH100*(1-AI100)</f>
        <v>43851</v>
      </c>
      <c r="AK100" s="41">
        <f>=AH100*I100</f>
        <v>131553</v>
      </c>
      <c r="AL100" s="41" t="s"/>
      <c r="AM100" s="41" t="s"/>
      <c r="AN100" s="41" t="s"/>
      <c r="AO100" s="41" t="s"/>
      <c r="AP100" s="41" t="s"/>
      <c r="AQ100" s="41" t="s"/>
    </row>
    <row r="101" spans="1:43" customHeight="false">
      <c r="A101" s="497" t="s">
        <v>850</v>
      </c>
      <c r="B101" s="498" t="s">
        <v>420</v>
      </c>
      <c r="C101" s="499" t="s"/>
      <c r="D101" s="72" t="s"/>
      <c r="E101" s="16" t="s"/>
      <c r="F101" s="16" t="s"/>
      <c r="G101" s="16" t="s"/>
      <c r="H101" s="482" t="s"/>
      <c r="I101" s="82" t="s"/>
      <c r="J101" s="483" t="s"/>
      <c r="K101" s="484" t="s"/>
      <c r="L101" s="484" t="s"/>
      <c r="M101" s="398" t="s"/>
      <c r="N101" s="398" t="s"/>
      <c r="O101" s="398" t="s"/>
      <c r="P101" s="398" t="s"/>
      <c r="Q101" s="398" t="s"/>
      <c r="R101" s="398" t="s"/>
      <c r="S101" s="399" t="s"/>
      <c r="T101" s="42" t="s"/>
      <c r="U101" s="42" t="s"/>
      <c r="V101" s="42" t="s"/>
      <c r="W101" s="402" t="s"/>
      <c r="X101" s="403" t="s"/>
      <c r="Y101" s="42" t="s"/>
      <c r="Z101" s="41" t="s"/>
      <c r="AA101" s="41" t="s"/>
      <c r="AB101" s="42" t="s"/>
      <c r="AC101" s="402" t="s"/>
      <c r="AD101" s="41" t="s"/>
      <c r="AE101" s="42" t="s"/>
      <c r="AF101" s="42" t="s"/>
      <c r="AG101" s="42" t="s"/>
      <c r="AH101" s="9" t="s"/>
      <c r="AI101" s="485" t="s"/>
      <c r="AJ101" s="9" t="s"/>
      <c r="AK101" s="9" t="s"/>
      <c r="AL101" s="42" t="s"/>
      <c r="AM101" s="42" t="s"/>
      <c r="AN101" s="42" t="s"/>
      <c r="AO101" s="42" t="s"/>
      <c r="AP101" s="42" t="s"/>
      <c r="AQ101" s="42" t="s"/>
    </row>
    <row r="102" spans="1:43" s="999" customHeight="false">
      <c r="A102" s="476">
        <v>1</v>
      </c>
      <c r="B102" s="420" t="s">
        <v>637</v>
      </c>
      <c r="C102" s="420" t="s"/>
      <c r="D102" s="420" t="s">
        <v>851</v>
      </c>
      <c r="E102" s="429" t="s">
        <v>45</v>
      </c>
      <c r="F102" s="429">
        <v>8</v>
      </c>
      <c r="G102" s="429">
        <v>81549</v>
      </c>
      <c r="H102" s="30">
        <f>=G102*F102</f>
        <v>652392</v>
      </c>
      <c r="I102" s="469">
        <v>6</v>
      </c>
      <c r="J102" s="407">
        <f>=AI102</f>
        <v>0</v>
      </c>
      <c r="K102" s="83">
        <f>=S102</f>
        <v>36501</v>
      </c>
      <c r="L102" s="83">
        <f>=K102*I102</f>
        <v>219006</v>
      </c>
      <c r="M102" s="398">
        <f>=K102*0.9</f>
        <v>32850.9</v>
      </c>
      <c r="N102" s="398">
        <f>=M102*I102-I102*K102</f>
        <v>-21900.6</v>
      </c>
      <c r="O102" s="398" t="s">
        <v>852</v>
      </c>
      <c r="P102" s="398" t="s"/>
      <c r="Q102" s="398" t="s"/>
      <c r="R102" s="447">
        <f>=AVERAGE(X102,AD102,AJ102,AP102)</f>
        <v>45552.55</v>
      </c>
      <c r="S102" s="399">
        <f>=MIN(X102,AD102,AJ102,AP102)</f>
        <v>36501</v>
      </c>
      <c r="T102" s="41" t="s">
        <v>625</v>
      </c>
      <c r="U102" s="41" t="s">
        <v>626</v>
      </c>
      <c r="V102" s="429">
        <v>80561</v>
      </c>
      <c r="W102" s="383">
        <v>0.35</v>
      </c>
      <c r="X102" s="408">
        <f>=V102*(1-W102)</f>
        <v>52364.65</v>
      </c>
      <c r="Y102" s="391">
        <f>=X102*I102</f>
        <v>314187.9</v>
      </c>
      <c r="Z102" s="41" t="s">
        <v>627</v>
      </c>
      <c r="AA102" s="41" t="s">
        <v>628</v>
      </c>
      <c r="AB102" s="41">
        <v>47792</v>
      </c>
      <c r="AC102" s="383" t="s"/>
      <c r="AD102" s="41">
        <f>=AB102*(1-AC102)</f>
        <v>47792</v>
      </c>
      <c r="AE102" s="41">
        <f>=AB102*I102</f>
        <v>286752</v>
      </c>
      <c r="AF102" s="41" t="s">
        <v>629</v>
      </c>
      <c r="AG102" s="41" t="s">
        <v>630</v>
      </c>
      <c r="AH102" s="429">
        <v>36501</v>
      </c>
      <c r="AI102" s="387" t="s"/>
      <c r="AJ102" s="41">
        <f>=AH102*(1-AI102)</f>
        <v>36501</v>
      </c>
      <c r="AK102" s="41">
        <f>=AJ102*F102</f>
        <v>292008</v>
      </c>
      <c r="AL102" s="41" t="s"/>
      <c r="AM102" s="41" t="s"/>
      <c r="AN102" s="41" t="s"/>
      <c r="AO102" s="41" t="s"/>
      <c r="AP102" s="41" t="s"/>
      <c r="AQ102" s="41" t="s"/>
    </row>
    <row r="103" spans="1:43" s="999" customHeight="false">
      <c r="A103" s="429">
        <v>2</v>
      </c>
      <c r="B103" s="41" t="s">
        <v>611</v>
      </c>
      <c r="C103" s="41" t="s"/>
      <c r="D103" s="41" t="s">
        <v>853</v>
      </c>
      <c r="E103" s="429" t="s">
        <v>32</v>
      </c>
      <c r="F103" s="429">
        <v>6</v>
      </c>
      <c r="G103" s="429">
        <v>20700</v>
      </c>
      <c r="H103" s="30">
        <f>=G103*F103</f>
        <v>124200</v>
      </c>
      <c r="I103" s="469">
        <v>6</v>
      </c>
      <c r="J103" s="407">
        <f>=AC103</f>
        <v>0</v>
      </c>
      <c r="K103" s="83">
        <f>=S103</f>
        <v>27500</v>
      </c>
      <c r="L103" s="83">
        <f>=K103*I103</f>
        <v>165000</v>
      </c>
      <c r="M103" s="398">
        <f>=K103*0.9</f>
        <v>24750</v>
      </c>
      <c r="N103" s="398">
        <f>=M103*I103-I103*K103</f>
        <v>-16500</v>
      </c>
      <c r="O103" s="398" t="s">
        <v>854</v>
      </c>
      <c r="P103" s="398" t="s"/>
      <c r="Q103" s="398" t="s"/>
      <c r="R103" s="447">
        <f>=AVERAGE(X103,AD103,AJ103,AP103)</f>
        <v>43066.6666666667</v>
      </c>
      <c r="S103" s="399">
        <f>=MIN(X103,AD103,AJ103,AP103)</f>
        <v>27500</v>
      </c>
      <c r="T103" s="41" t="s">
        <v>615</v>
      </c>
      <c r="U103" s="41" t="s">
        <v>616</v>
      </c>
      <c r="V103" s="429">
        <v>78000</v>
      </c>
      <c r="W103" s="383">
        <v>0.1</v>
      </c>
      <c r="X103" s="408">
        <f>=V103*(1-W103)</f>
        <v>70200</v>
      </c>
      <c r="Y103" s="391">
        <f>=X103*I103</f>
        <v>421200</v>
      </c>
      <c r="Z103" s="41" t="s">
        <v>617</v>
      </c>
      <c r="AA103" s="41" t="s">
        <v>618</v>
      </c>
      <c r="AB103" s="41">
        <v>27500</v>
      </c>
      <c r="AC103" s="383" t="s"/>
      <c r="AD103" s="41">
        <f>=AB103*(1-AC103)</f>
        <v>27500</v>
      </c>
      <c r="AE103" s="41">
        <f>=AB103*I103</f>
        <v>165000</v>
      </c>
      <c r="AF103" s="41" t="s">
        <v>619</v>
      </c>
      <c r="AG103" s="41" t="s">
        <v>620</v>
      </c>
      <c r="AH103" s="429">
        <v>31500</v>
      </c>
      <c r="AI103" s="387" t="s"/>
      <c r="AJ103" s="41">
        <f>=AH103*(1-AI103)</f>
        <v>31500</v>
      </c>
      <c r="AK103" s="41">
        <f>=AJ103*F103</f>
        <v>189000</v>
      </c>
      <c r="AL103" s="41" t="s"/>
      <c r="AM103" s="41" t="s"/>
      <c r="AN103" s="41" t="s"/>
      <c r="AO103" s="41" t="s"/>
      <c r="AP103" s="41" t="s"/>
      <c r="AQ103" s="41" t="s"/>
    </row>
    <row r="104" spans="1:43" s="999" customHeight="false">
      <c r="A104" s="466" t="s">
        <v>855</v>
      </c>
      <c r="B104" s="467" t="s">
        <v>411</v>
      </c>
      <c r="C104" s="390" t="s"/>
      <c r="D104" s="41" t="s"/>
      <c r="E104" s="429" t="s"/>
      <c r="F104" s="429" t="s"/>
      <c r="G104" s="429" t="s"/>
      <c r="H104" s="430" t="s"/>
      <c r="I104" s="469" t="s"/>
      <c r="J104" s="407" t="s"/>
      <c r="K104" s="83" t="s"/>
      <c r="L104" s="83" t="s"/>
      <c r="M104" s="374" t="s"/>
      <c r="N104" s="374" t="s"/>
      <c r="O104" s="374" t="s"/>
      <c r="P104" s="374" t="s"/>
      <c r="Q104" s="374" t="s"/>
      <c r="R104" s="398" t="s"/>
      <c r="S104" s="399" t="s"/>
      <c r="T104" s="30" t="s"/>
      <c r="U104" s="41" t="s"/>
      <c r="V104" s="41" t="s"/>
      <c r="W104" s="383" t="s"/>
      <c r="X104" s="384" t="s"/>
      <c r="Y104" s="41" t="s"/>
      <c r="Z104" s="41" t="s"/>
      <c r="AA104" s="41" t="s"/>
      <c r="AB104" s="41" t="s"/>
      <c r="AC104" s="383" t="s"/>
      <c r="AD104" s="41" t="s"/>
      <c r="AE104" s="41" t="s"/>
      <c r="AF104" s="41" t="s"/>
      <c r="AG104" s="41" t="s"/>
      <c r="AH104" s="453" t="s"/>
      <c r="AI104" s="452" t="s"/>
      <c r="AJ104" s="453" t="s"/>
      <c r="AK104" s="453" t="s"/>
      <c r="AL104" s="41" t="s"/>
      <c r="AM104" s="41" t="s"/>
      <c r="AN104" s="41" t="s"/>
      <c r="AO104" s="41" t="s"/>
      <c r="AP104" s="41" t="s"/>
      <c r="AQ104" s="41" t="s"/>
    </row>
    <row r="105" spans="1:43" s="999" ht="57.75" customHeight="true">
      <c r="A105" s="429">
        <v>1</v>
      </c>
      <c r="B105" s="41" t="s">
        <v>856</v>
      </c>
      <c r="C105" s="41" t="s"/>
      <c r="D105" s="41" t="s">
        <v>857</v>
      </c>
      <c r="E105" s="429" t="s">
        <v>36</v>
      </c>
      <c r="F105" s="429">
        <v>3</v>
      </c>
      <c r="G105" s="475">
        <v>272000</v>
      </c>
      <c r="H105" s="30">
        <f>=G105</f>
        <v>272000</v>
      </c>
      <c r="I105" s="469">
        <v>3</v>
      </c>
      <c r="J105" s="407">
        <f>=AO105</f>
        <v>0</v>
      </c>
      <c r="K105" s="83">
        <f>=S105</f>
        <v>18946</v>
      </c>
      <c r="L105" s="83">
        <f>=K105*I105</f>
        <v>56838</v>
      </c>
      <c r="M105" s="398" t="s"/>
      <c r="N105" s="398" t="s"/>
      <c r="O105" s="398" t="s">
        <v>858</v>
      </c>
      <c r="P105" s="398" t="s"/>
      <c r="Q105" s="398" t="s"/>
      <c r="R105" s="447">
        <f>=AVERAGE(X105,AD105,AJ105,AP105)</f>
        <v>22930.5</v>
      </c>
      <c r="S105" s="399">
        <f>=MIN(X105,AD105,AJ105,AP105)</f>
        <v>18946</v>
      </c>
      <c r="T105" s="41" t="s">
        <v>753</v>
      </c>
      <c r="U105" s="41" t="s">
        <v>754</v>
      </c>
      <c r="V105" s="41">
        <v>24363</v>
      </c>
      <c r="W105" s="383" t="s"/>
      <c r="X105" s="384" t="s"/>
      <c r="Y105" s="391">
        <f>=V105*I105</f>
        <v>73089</v>
      </c>
      <c r="Z105" s="41" t="s">
        <v>821</v>
      </c>
      <c r="AA105" s="41" t="s">
        <v>822</v>
      </c>
      <c r="AB105" s="41" t="s">
        <v>823</v>
      </c>
      <c r="AC105" s="383" t="s"/>
      <c r="AD105" s="41" t="s"/>
      <c r="AE105" s="41" t="s">
        <v>823</v>
      </c>
      <c r="AF105" s="41" t="s">
        <v>757</v>
      </c>
      <c r="AG105" s="41" t="s">
        <v>758</v>
      </c>
      <c r="AH105" s="429">
        <v>26915</v>
      </c>
      <c r="AI105" s="387" t="s"/>
      <c r="AJ105" s="41">
        <f>=AH105*(1-AI105)</f>
        <v>26915</v>
      </c>
      <c r="AK105" s="41">
        <f>=AH105*I105</f>
        <v>80745</v>
      </c>
      <c r="AL105" s="41" t="s"/>
      <c r="AM105" s="41" t="s"/>
      <c r="AN105" s="41">
        <v>18946</v>
      </c>
      <c r="AO105" s="41" t="s"/>
      <c r="AP105" s="41">
        <f>=AN105*(1-AO105)</f>
        <v>18946</v>
      </c>
      <c r="AQ105" s="41">
        <f>=AN105*I105</f>
        <v>56838</v>
      </c>
    </row>
    <row r="106" spans="1:43" s="999" customHeight="false">
      <c r="A106" s="429" t="s"/>
      <c r="B106" s="41" t="s">
        <v>859</v>
      </c>
      <c r="C106" s="41" t="s"/>
      <c r="D106" s="41" t="s">
        <v>860</v>
      </c>
      <c r="E106" s="429" t="s">
        <v>36</v>
      </c>
      <c r="F106" s="429" t="s"/>
      <c r="G106" s="517" t="s"/>
      <c r="H106" s="30" t="s"/>
      <c r="I106" s="469">
        <v>1</v>
      </c>
      <c r="J106" s="407">
        <f>=AO106</f>
        <v>0</v>
      </c>
      <c r="K106" s="83">
        <f>=S106*(1-J106)</f>
        <v>59980</v>
      </c>
      <c r="L106" s="83">
        <f>=K106*I106</f>
        <v>59980</v>
      </c>
      <c r="M106" s="398" t="s"/>
      <c r="N106" s="398" t="s"/>
      <c r="O106" s="398" t="s"/>
      <c r="P106" s="398" t="s"/>
      <c r="Q106" s="398" t="s"/>
      <c r="R106" s="447">
        <f>=AVERAGE(X106,AD106,AJ106,AP106)</f>
        <v>59980</v>
      </c>
      <c r="S106" s="399">
        <f>=MIN(X106,AD106,AJ106,AP106)</f>
        <v>59980</v>
      </c>
      <c r="T106" s="41" t="s"/>
      <c r="U106" s="41" t="s"/>
      <c r="V106" s="41" t="s"/>
      <c r="W106" s="383" t="s"/>
      <c r="X106" s="384" t="s"/>
      <c r="Y106" s="41" t="s"/>
      <c r="Z106" s="41" t="s"/>
      <c r="AA106" s="41" t="s"/>
      <c r="AB106" s="41" t="s"/>
      <c r="AC106" s="383" t="s"/>
      <c r="AD106" s="41" t="s"/>
      <c r="AE106" s="41" t="s"/>
      <c r="AF106" s="41" t="s"/>
      <c r="AG106" s="41" t="s"/>
      <c r="AH106" s="429" t="s"/>
      <c r="AI106" s="452" t="s"/>
      <c r="AJ106" s="41" t="s"/>
      <c r="AK106" s="453" t="s"/>
      <c r="AL106" s="41" t="s"/>
      <c r="AM106" s="41" t="s"/>
      <c r="AN106" s="41">
        <v>59980</v>
      </c>
      <c r="AO106" s="41" t="s"/>
      <c r="AP106" s="41">
        <f>=AN106*(1-AO106)</f>
        <v>59980</v>
      </c>
      <c r="AQ106" s="41">
        <f>=AN106*I106</f>
        <v>59980</v>
      </c>
    </row>
    <row r="107" spans="1:43" s="999" customHeight="false">
      <c r="A107" s="429">
        <v>2</v>
      </c>
      <c r="B107" s="41" t="s">
        <v>861</v>
      </c>
      <c r="C107" s="41" t="s"/>
      <c r="D107" s="41" t="s">
        <v>862</v>
      </c>
      <c r="E107" s="429" t="s">
        <v>36</v>
      </c>
      <c r="F107" s="429">
        <v>2</v>
      </c>
      <c r="G107" s="57" t="s"/>
      <c r="H107" s="30">
        <f>=G107*F107</f>
        <v>0</v>
      </c>
      <c r="I107" s="469">
        <v>2</v>
      </c>
      <c r="J107" s="407">
        <f>=AO107</f>
        <v>0</v>
      </c>
      <c r="K107" s="83">
        <f>=S107</f>
        <v>20017</v>
      </c>
      <c r="L107" s="83">
        <f>=K107*I107</f>
        <v>40034</v>
      </c>
      <c r="M107" s="398" t="s"/>
      <c r="N107" s="398" t="s"/>
      <c r="O107" s="398" t="s">
        <v>863</v>
      </c>
      <c r="P107" s="398" t="s"/>
      <c r="Q107" s="398" t="s"/>
      <c r="R107" s="447">
        <f>=AVERAGE(X107,AD107,AJ107,AP107)</f>
        <v>20017</v>
      </c>
      <c r="S107" s="399">
        <f>=MIN(X107,AD107,AJ107,AP107)</f>
        <v>20017</v>
      </c>
      <c r="T107" s="41" t="s"/>
      <c r="U107" s="41" t="s"/>
      <c r="V107" s="41" t="s"/>
      <c r="W107" s="383" t="s"/>
      <c r="X107" s="384" t="s"/>
      <c r="Y107" s="41" t="s"/>
      <c r="Z107" s="41" t="s"/>
      <c r="AA107" s="41" t="s"/>
      <c r="AB107" s="41" t="s"/>
      <c r="AC107" s="383" t="s"/>
      <c r="AD107" s="41" t="s"/>
      <c r="AE107" s="41" t="s"/>
      <c r="AF107" s="41" t="s"/>
      <c r="AG107" s="41" t="s"/>
      <c r="AH107" s="429" t="s"/>
      <c r="AI107" s="452" t="s"/>
      <c r="AJ107" s="41" t="s"/>
      <c r="AK107" s="453" t="s"/>
      <c r="AL107" s="41" t="s"/>
      <c r="AM107" s="41" t="s"/>
      <c r="AN107" s="41">
        <v>20017</v>
      </c>
      <c r="AO107" s="41" t="s"/>
      <c r="AP107" s="41">
        <f>=AN107*(1-AO107)</f>
        <v>20017</v>
      </c>
      <c r="AQ107" s="41">
        <f>=AN107*I107</f>
        <v>40034</v>
      </c>
    </row>
    <row r="108" spans="1:43" s="999" ht="21" customHeight="true">
      <c r="A108" s="429">
        <v>3</v>
      </c>
      <c r="B108" s="41" t="s">
        <v>864</v>
      </c>
      <c r="C108" s="41" t="s"/>
      <c r="D108" s="41" t="s">
        <v>865</v>
      </c>
      <c r="E108" s="429" t="s">
        <v>36</v>
      </c>
      <c r="F108" s="429">
        <v>2</v>
      </c>
      <c r="G108" s="61" t="s"/>
      <c r="H108" s="30">
        <f>=G108*F108</f>
        <v>0</v>
      </c>
      <c r="I108" s="469">
        <v>2</v>
      </c>
      <c r="J108" s="407">
        <f>=AC108</f>
        <v>0</v>
      </c>
      <c r="K108" s="83">
        <f>=S108</f>
        <v>50000</v>
      </c>
      <c r="L108" s="83">
        <f>=K108*I108</f>
        <v>100000</v>
      </c>
      <c r="M108" s="398" t="s"/>
      <c r="N108" s="398" t="s"/>
      <c r="O108" s="398" t="s">
        <v>866</v>
      </c>
      <c r="P108" s="398" t="s"/>
      <c r="Q108" s="398" t="s"/>
      <c r="R108" s="447">
        <f>=AVERAGE(X108,AD108,AJ108,AP108)</f>
        <v>110345.333333333</v>
      </c>
      <c r="S108" s="399">
        <f>=MIN(X108,AD108,AJ108,AP108)</f>
        <v>50000</v>
      </c>
      <c r="T108" s="41" t="s">
        <v>753</v>
      </c>
      <c r="U108" s="41" t="s">
        <v>754</v>
      </c>
      <c r="V108" s="41">
        <v>85800</v>
      </c>
      <c r="W108" s="383">
        <v>0</v>
      </c>
      <c r="X108" s="384" t="s"/>
      <c r="Y108" s="391">
        <f>=V108*I108</f>
        <v>171600</v>
      </c>
      <c r="Z108" s="41" t="s">
        <v>755</v>
      </c>
      <c r="AA108" s="41" t="s">
        <v>756</v>
      </c>
      <c r="AB108" s="41">
        <v>50000</v>
      </c>
      <c r="AC108" s="383" t="s"/>
      <c r="AD108" s="41">
        <f>=AB108*(1-AC108)</f>
        <v>50000</v>
      </c>
      <c r="AE108" s="41">
        <f>=AB108*I108</f>
        <v>100000</v>
      </c>
      <c r="AF108" s="41" t="s">
        <v>757</v>
      </c>
      <c r="AG108" s="41" t="s">
        <v>758</v>
      </c>
      <c r="AH108" s="429">
        <v>94786</v>
      </c>
      <c r="AI108" s="387" t="s"/>
      <c r="AJ108" s="41">
        <f>=AH108*(1-AI108)</f>
        <v>94786</v>
      </c>
      <c r="AK108" s="41">
        <f>=AH108*I108</f>
        <v>189572</v>
      </c>
      <c r="AL108" s="41" t="s"/>
      <c r="AM108" s="41" t="s"/>
      <c r="AN108" s="41">
        <v>186250</v>
      </c>
      <c r="AO108" s="41" t="s"/>
      <c r="AP108" s="41">
        <f>=AN108*(1-AO108)</f>
        <v>186250</v>
      </c>
      <c r="AQ108" s="41">
        <f>=AN108*I108</f>
        <v>372500</v>
      </c>
    </row>
    <row r="109" spans="1:43" s="999" ht="21" customHeight="true">
      <c r="A109" s="429">
        <v>4</v>
      </c>
      <c r="B109" s="41" t="s">
        <v>867</v>
      </c>
      <c r="C109" s="41" t="s"/>
      <c r="D109" s="41" t="s">
        <v>868</v>
      </c>
      <c r="E109" s="429" t="s">
        <v>36</v>
      </c>
      <c r="F109" s="429">
        <v>2</v>
      </c>
      <c r="G109" s="475">
        <v>99700</v>
      </c>
      <c r="H109" s="518">
        <f>=G109</f>
        <v>99700</v>
      </c>
      <c r="I109" s="469">
        <v>2</v>
      </c>
      <c r="J109" s="407">
        <f>=AC109</f>
        <v>0</v>
      </c>
      <c r="K109" s="83">
        <f>=S109</f>
        <v>24503</v>
      </c>
      <c r="L109" s="83">
        <f>=K109*I109</f>
        <v>49006</v>
      </c>
      <c r="M109" s="398" t="s"/>
      <c r="N109" s="398" t="s"/>
      <c r="O109" s="398" t="s">
        <v>869</v>
      </c>
      <c r="P109" s="398" t="s"/>
      <c r="Q109" s="398" t="s"/>
      <c r="R109" s="447">
        <f>=AVERAGE(X109,AD109,AJ109,AP109)</f>
        <v>24503</v>
      </c>
      <c r="S109" s="399">
        <f>=MIN(X109,AD109,AJ109,AP109)</f>
        <v>24503</v>
      </c>
      <c r="T109" s="41" t="s">
        <v>753</v>
      </c>
      <c r="U109" s="41" t="s">
        <v>754</v>
      </c>
      <c r="V109" s="41">
        <v>22180</v>
      </c>
      <c r="W109" s="383">
        <v>0</v>
      </c>
      <c r="X109" s="384" t="s"/>
      <c r="Y109" s="391">
        <f>=V109*I109</f>
        <v>44360</v>
      </c>
      <c r="Z109" s="41" t="s">
        <v>821</v>
      </c>
      <c r="AA109" s="41" t="s">
        <v>822</v>
      </c>
      <c r="AB109" s="41" t="s">
        <v>823</v>
      </c>
      <c r="AC109" s="383" t="s"/>
      <c r="AD109" s="41" t="s"/>
      <c r="AE109" s="41" t="s">
        <v>823</v>
      </c>
      <c r="AF109" s="41" t="s">
        <v>757</v>
      </c>
      <c r="AG109" s="41" t="s">
        <v>758</v>
      </c>
      <c r="AH109" s="429">
        <v>24503</v>
      </c>
      <c r="AI109" s="387" t="s"/>
      <c r="AJ109" s="41">
        <f>=AH109*(1-AI109)</f>
        <v>24503</v>
      </c>
      <c r="AK109" s="41">
        <f>=AH109*I109</f>
        <v>49006</v>
      </c>
      <c r="AL109" s="41" t="s"/>
      <c r="AM109" s="41" t="s"/>
      <c r="AN109" s="41" t="s"/>
      <c r="AO109" s="41" t="s"/>
      <c r="AP109" s="41" t="s"/>
      <c r="AQ109" s="41" t="s"/>
    </row>
    <row r="110" spans="1:43" s="999" ht="21" customHeight="true">
      <c r="A110" s="429">
        <v>5</v>
      </c>
      <c r="B110" s="420" t="s">
        <v>867</v>
      </c>
      <c r="C110" s="41" t="s"/>
      <c r="D110" s="41" t="s">
        <v>870</v>
      </c>
      <c r="E110" s="429" t="s">
        <v>36</v>
      </c>
      <c r="F110" s="429">
        <v>2</v>
      </c>
      <c r="G110" s="57" t="s"/>
      <c r="H110" s="58" t="s"/>
      <c r="I110" s="469">
        <v>2</v>
      </c>
      <c r="J110" s="407">
        <f>=AC110</f>
        <v>0</v>
      </c>
      <c r="K110" s="83">
        <f>=S110</f>
        <v>75674</v>
      </c>
      <c r="L110" s="83">
        <f>=K110*I110</f>
        <v>151348</v>
      </c>
      <c r="M110" s="398">
        <f>=K110*0.9</f>
        <v>68106.6</v>
      </c>
      <c r="N110" s="398">
        <f>=M110*I110-I110*K110</f>
        <v>-15134.8</v>
      </c>
      <c r="O110" s="398" t="s">
        <v>871</v>
      </c>
      <c r="P110" s="398" t="s"/>
      <c r="Q110" s="398" t="s"/>
      <c r="R110" s="447">
        <f>=AVERAGE(X110,AD110,AJ110,AP110)</f>
        <v>75674</v>
      </c>
      <c r="S110" s="399">
        <f>=MIN(X110,AD110,AJ110,AP110)</f>
        <v>75674</v>
      </c>
      <c r="T110" s="41" t="s">
        <v>753</v>
      </c>
      <c r="U110" s="41" t="s">
        <v>754</v>
      </c>
      <c r="V110" s="41">
        <v>68500</v>
      </c>
      <c r="W110" s="383">
        <v>0</v>
      </c>
      <c r="X110" s="384" t="s"/>
      <c r="Y110" s="391">
        <f>=V110*I110</f>
        <v>137000</v>
      </c>
      <c r="Z110" s="41" t="s">
        <v>821</v>
      </c>
      <c r="AA110" s="41" t="s">
        <v>822</v>
      </c>
      <c r="AB110" s="41" t="s">
        <v>823</v>
      </c>
      <c r="AC110" s="383" t="s"/>
      <c r="AD110" s="41" t="s"/>
      <c r="AE110" s="41" t="s">
        <v>823</v>
      </c>
      <c r="AF110" s="41" t="s">
        <v>757</v>
      </c>
      <c r="AG110" s="41" t="s">
        <v>758</v>
      </c>
      <c r="AH110" s="429">
        <v>75674</v>
      </c>
      <c r="AI110" s="387" t="s"/>
      <c r="AJ110" s="41">
        <f>=AH110*(1-AI110)</f>
        <v>75674</v>
      </c>
      <c r="AK110" s="41">
        <f>=AH110*I110</f>
        <v>151348</v>
      </c>
      <c r="AL110" s="41" t="s"/>
      <c r="AM110" s="41" t="s"/>
      <c r="AN110" s="41" t="s"/>
      <c r="AO110" s="41" t="s"/>
      <c r="AP110" s="41" t="s"/>
      <c r="AQ110" s="41" t="s"/>
    </row>
    <row r="111" spans="1:43" s="999" customHeight="false">
      <c r="A111" s="429">
        <v>6</v>
      </c>
      <c r="B111" s="41" t="s">
        <v>872</v>
      </c>
      <c r="C111" s="41" t="s"/>
      <c r="D111" s="41" t="s">
        <v>873</v>
      </c>
      <c r="E111" s="429" t="s">
        <v>36</v>
      </c>
      <c r="F111" s="429">
        <v>2</v>
      </c>
      <c r="G111" s="57" t="s"/>
      <c r="H111" s="58" t="s"/>
      <c r="I111" s="469">
        <v>2</v>
      </c>
      <c r="J111" s="407">
        <f>=AO111</f>
        <v>0</v>
      </c>
      <c r="K111" s="83">
        <f>=S111</f>
        <v>16396</v>
      </c>
      <c r="L111" s="83">
        <f>=K111*I111</f>
        <v>32792</v>
      </c>
      <c r="M111" s="398" t="s"/>
      <c r="N111" s="398" t="s"/>
      <c r="O111" s="398">
        <v>37200</v>
      </c>
      <c r="P111" s="398" t="s"/>
      <c r="Q111" s="398" t="s"/>
      <c r="R111" s="447">
        <f>=AVERAGE(X111,AD111,AJ111,AP111)</f>
        <v>16396</v>
      </c>
      <c r="S111" s="399">
        <f>=MIN(X111,AD111,AJ111,AP111)</f>
        <v>16396</v>
      </c>
      <c r="T111" s="41" t="s"/>
      <c r="U111" s="41" t="s"/>
      <c r="V111" s="41" t="s"/>
      <c r="W111" s="383" t="s"/>
      <c r="X111" s="384" t="s"/>
      <c r="Y111" s="41" t="s"/>
      <c r="Z111" s="41" t="s"/>
      <c r="AA111" s="41" t="s"/>
      <c r="AB111" s="41" t="s"/>
      <c r="AC111" s="383" t="s"/>
      <c r="AD111" s="41" t="s"/>
      <c r="AE111" s="41" t="s"/>
      <c r="AF111" s="41" t="s"/>
      <c r="AG111" s="41" t="s"/>
      <c r="AH111" s="429" t="s"/>
      <c r="AI111" s="452" t="s"/>
      <c r="AJ111" s="41" t="s"/>
      <c r="AK111" s="453" t="s"/>
      <c r="AL111" s="41" t="s"/>
      <c r="AM111" s="41" t="s"/>
      <c r="AN111" s="41" t="s"/>
      <c r="AO111" s="41" t="s"/>
      <c r="AP111" s="41">
        <v>16396</v>
      </c>
      <c r="AQ111" s="41" t="s"/>
    </row>
    <row r="112" spans="1:43" s="999">
      <c r="A112" s="429" t="s"/>
      <c r="B112" s="41" t="s">
        <v>859</v>
      </c>
      <c r="C112" s="41" t="s"/>
      <c r="D112" s="41" t="s">
        <v>860</v>
      </c>
      <c r="E112" s="429" t="s"/>
      <c r="F112" s="429" t="s"/>
      <c r="G112" s="517" t="s"/>
      <c r="H112" s="519" t="s"/>
      <c r="I112" s="469">
        <v>1</v>
      </c>
      <c r="J112" s="407">
        <f>=AO112</f>
        <v>0</v>
      </c>
      <c r="K112" s="83">
        <f>=S112</f>
        <v>80206</v>
      </c>
      <c r="L112" s="83">
        <f>=K112*I112</f>
        <v>80206</v>
      </c>
      <c r="M112" s="398" t="s"/>
      <c r="N112" s="398" t="s"/>
      <c r="O112" s="398" t="s"/>
      <c r="P112" s="398" t="s"/>
      <c r="Q112" s="398" t="s"/>
      <c r="R112" s="398">
        <f>=AVERAGE(X112,AD112,AJ112,AP112)</f>
        <v>80206</v>
      </c>
      <c r="S112" s="399">
        <f>=MIN(X112,AD112,AJ112,AP112)</f>
        <v>80206</v>
      </c>
      <c r="T112" s="41" t="s"/>
      <c r="U112" s="41" t="s"/>
      <c r="V112" s="41" t="s"/>
      <c r="W112" s="383" t="s"/>
      <c r="X112" s="384" t="s"/>
      <c r="Y112" s="41" t="s"/>
      <c r="Z112" s="41" t="s"/>
      <c r="AA112" s="41" t="s"/>
      <c r="AB112" s="41" t="s"/>
      <c r="AC112" s="383" t="s"/>
      <c r="AD112" s="41" t="s"/>
      <c r="AE112" s="41" t="s"/>
      <c r="AF112" s="41" t="s"/>
      <c r="AG112" s="41" t="s"/>
      <c r="AH112" s="429" t="s"/>
      <c r="AI112" s="452" t="s"/>
      <c r="AJ112" s="41" t="s"/>
      <c r="AK112" s="453" t="s"/>
      <c r="AL112" s="41" t="s"/>
      <c r="AM112" s="41" t="s"/>
      <c r="AN112" s="41" t="s"/>
      <c r="AO112" s="41" t="s"/>
      <c r="AP112" s="41">
        <v>80206</v>
      </c>
      <c r="AQ112" s="41" t="s"/>
    </row>
    <row r="113" spans="1:43" s="999" ht="21" customHeight="true">
      <c r="A113" s="429">
        <v>7</v>
      </c>
      <c r="B113" s="41" t="s">
        <v>874</v>
      </c>
      <c r="C113" s="41" t="s"/>
      <c r="D113" s="41" t="s">
        <v>875</v>
      </c>
      <c r="E113" s="429" t="s">
        <v>36</v>
      </c>
      <c r="F113" s="429">
        <v>3</v>
      </c>
      <c r="G113" s="61" t="s"/>
      <c r="H113" s="87" t="s"/>
      <c r="I113" s="469">
        <v>3</v>
      </c>
      <c r="J113" s="407">
        <f>=AO113</f>
        <v>0</v>
      </c>
      <c r="K113" s="83">
        <f>=S113</f>
        <v>59665</v>
      </c>
      <c r="L113" s="83">
        <f>=K113*I113</f>
        <v>178995</v>
      </c>
      <c r="M113" s="398">
        <f>=K113*0.9</f>
        <v>53698.5</v>
      </c>
      <c r="N113" s="398">
        <f>=M113*I113-I113*K113</f>
        <v>-17899.5</v>
      </c>
      <c r="O113" s="398" t="s">
        <v>876</v>
      </c>
      <c r="P113" s="398" t="s"/>
      <c r="Q113" s="398" t="s"/>
      <c r="R113" s="447">
        <f>=AVERAGE(X113,AD113,AJ113,AP113)</f>
        <v>59665</v>
      </c>
      <c r="S113" s="399">
        <f>=MIN(X113,AD113,AJ113,AP113)</f>
        <v>59665</v>
      </c>
      <c r="T113" s="41" t="s"/>
      <c r="U113" s="41" t="s"/>
      <c r="V113" s="41" t="s"/>
      <c r="W113" s="383" t="s"/>
      <c r="X113" s="384" t="s"/>
      <c r="Y113" s="41" t="s"/>
      <c r="Z113" s="41" t="s"/>
      <c r="AA113" s="41" t="s"/>
      <c r="AB113" s="41" t="s"/>
      <c r="AC113" s="383" t="s"/>
      <c r="AD113" s="41" t="s"/>
      <c r="AE113" s="41" t="s"/>
      <c r="AF113" s="41" t="s"/>
      <c r="AG113" s="41" t="s"/>
      <c r="AH113" s="429" t="s"/>
      <c r="AI113" s="452" t="s"/>
      <c r="AJ113" s="41" t="s"/>
      <c r="AK113" s="453" t="s"/>
      <c r="AL113" s="41" t="s"/>
      <c r="AM113" s="41" t="s"/>
      <c r="AN113" s="41" t="s"/>
      <c r="AO113" s="41" t="s"/>
      <c r="AP113" s="41">
        <v>59665</v>
      </c>
      <c r="AQ113" s="41" t="s"/>
    </row>
    <row r="114" spans="1:43" s="999" ht="21" customHeight="true">
      <c r="A114" s="429">
        <v>8</v>
      </c>
      <c r="B114" s="41" t="s">
        <v>877</v>
      </c>
      <c r="C114" s="41" t="s"/>
      <c r="D114" s="41" t="s">
        <v>878</v>
      </c>
      <c r="E114" s="429" t="s">
        <v>36</v>
      </c>
      <c r="F114" s="429">
        <v>2</v>
      </c>
      <c r="G114" s="475">
        <v>138700</v>
      </c>
      <c r="H114" s="518">
        <f>=G114</f>
        <v>138700</v>
      </c>
      <c r="I114" s="469">
        <v>2</v>
      </c>
      <c r="J114" s="407">
        <f>=AI114</f>
        <v>0</v>
      </c>
      <c r="K114" s="83">
        <f>=S114</f>
        <v>75674</v>
      </c>
      <c r="L114" s="83">
        <f>=K114*I114</f>
        <v>151348</v>
      </c>
      <c r="M114" s="398">
        <f>=K114*0.9</f>
        <v>68106.6</v>
      </c>
      <c r="N114" s="398">
        <f>=M114*I114-I114*K114</f>
        <v>-15134.8</v>
      </c>
      <c r="O114" s="398" t="s">
        <v>879</v>
      </c>
      <c r="P114" s="398" t="s"/>
      <c r="Q114" s="398" t="s"/>
      <c r="R114" s="447">
        <f>=AVERAGE(X114,AD114,AJ114,AP114)</f>
        <v>75674</v>
      </c>
      <c r="S114" s="399">
        <f>=MIN(X114,AD114,AJ114,AP114)</f>
        <v>75674</v>
      </c>
      <c r="T114" s="41" t="s">
        <v>753</v>
      </c>
      <c r="U114" s="41" t="s">
        <v>754</v>
      </c>
      <c r="V114" s="41">
        <v>68500</v>
      </c>
      <c r="W114" s="383">
        <v>0</v>
      </c>
      <c r="X114" s="384" t="s"/>
      <c r="Y114" s="391">
        <f>=V114*I114</f>
        <v>137000</v>
      </c>
      <c r="Z114" s="41" t="s">
        <v>821</v>
      </c>
      <c r="AA114" s="41" t="s">
        <v>822</v>
      </c>
      <c r="AB114" s="41" t="s">
        <v>823</v>
      </c>
      <c r="AC114" s="383" t="s"/>
      <c r="AD114" s="41" t="s"/>
      <c r="AE114" s="41" t="s">
        <v>823</v>
      </c>
      <c r="AF114" s="41" t="s">
        <v>757</v>
      </c>
      <c r="AG114" s="41" t="s">
        <v>758</v>
      </c>
      <c r="AH114" s="429">
        <v>75674</v>
      </c>
      <c r="AI114" s="387" t="s"/>
      <c r="AJ114" s="41">
        <f>=AH114*(1-AI114)</f>
        <v>75674</v>
      </c>
      <c r="AK114" s="41">
        <f>=AH114*I114</f>
        <v>151348</v>
      </c>
      <c r="AL114" s="41" t="s"/>
      <c r="AM114" s="41" t="s"/>
      <c r="AN114" s="41" t="s"/>
      <c r="AO114" s="41" t="s"/>
      <c r="AP114" s="41" t="s"/>
      <c r="AQ114" s="41" t="s"/>
    </row>
    <row r="115" spans="1:43" s="999" ht="21" customHeight="true">
      <c r="A115" s="429">
        <v>9</v>
      </c>
      <c r="B115" s="41" t="s">
        <v>880</v>
      </c>
      <c r="C115" s="41" t="s"/>
      <c r="D115" s="41" t="s">
        <v>865</v>
      </c>
      <c r="E115" s="429" t="s">
        <v>36</v>
      </c>
      <c r="F115" s="429">
        <v>1</v>
      </c>
      <c r="G115" s="57" t="s"/>
      <c r="H115" s="58" t="s"/>
      <c r="I115" s="469">
        <v>1</v>
      </c>
      <c r="J115" s="407">
        <f>=AC115</f>
        <v>0</v>
      </c>
      <c r="K115" s="83">
        <f>=S115</f>
        <v>60000</v>
      </c>
      <c r="L115" s="83">
        <f>=K115*I115</f>
        <v>60000</v>
      </c>
      <c r="M115" s="398" t="s"/>
      <c r="N115" s="398" t="s"/>
      <c r="O115" s="398" t="s">
        <v>866</v>
      </c>
      <c r="P115" s="398" t="s"/>
      <c r="Q115" s="398" t="s"/>
      <c r="R115" s="447">
        <f>=AVERAGE(X115,AD115,AJ115,AP115)</f>
        <v>77393</v>
      </c>
      <c r="S115" s="399">
        <f>=MIN(X115,AD115,AJ115,AP115)</f>
        <v>60000</v>
      </c>
      <c r="T115" s="41" t="s">
        <v>753</v>
      </c>
      <c r="U115" s="41" t="s">
        <v>754</v>
      </c>
      <c r="V115" s="41">
        <v>85800</v>
      </c>
      <c r="W115" s="383">
        <v>0</v>
      </c>
      <c r="X115" s="384" t="s"/>
      <c r="Y115" s="391">
        <f>=V115*I115</f>
        <v>85800</v>
      </c>
      <c r="Z115" s="41" t="s">
        <v>755</v>
      </c>
      <c r="AA115" s="41" t="s">
        <v>756</v>
      </c>
      <c r="AB115" s="41">
        <v>60000</v>
      </c>
      <c r="AC115" s="383" t="s"/>
      <c r="AD115" s="41">
        <f>=AB115*(1-AC115)</f>
        <v>60000</v>
      </c>
      <c r="AE115" s="41">
        <f>=AB115*I115</f>
        <v>60000</v>
      </c>
      <c r="AF115" s="41" t="s">
        <v>757</v>
      </c>
      <c r="AG115" s="41" t="s">
        <v>758</v>
      </c>
      <c r="AH115" s="429">
        <v>94786</v>
      </c>
      <c r="AI115" s="387" t="s"/>
      <c r="AJ115" s="41">
        <f>=AH115*(1-AI115)</f>
        <v>94786</v>
      </c>
      <c r="AK115" s="41">
        <f>=AH115*I115</f>
        <v>94786</v>
      </c>
      <c r="AL115" s="41" t="s"/>
      <c r="AM115" s="41" t="s"/>
      <c r="AN115" s="41" t="s"/>
      <c r="AO115" s="41" t="s"/>
      <c r="AP115" s="41" t="s"/>
      <c r="AQ115" s="41" t="s"/>
    </row>
    <row r="116" spans="1:43" s="999" customHeight="false">
      <c r="A116" s="429">
        <v>10</v>
      </c>
      <c r="B116" s="41" t="s">
        <v>881</v>
      </c>
      <c r="C116" s="41" t="s"/>
      <c r="D116" s="41" t="s">
        <v>882</v>
      </c>
      <c r="E116" s="429" t="s">
        <v>36</v>
      </c>
      <c r="F116" s="429">
        <v>1</v>
      </c>
      <c r="G116" s="61" t="s"/>
      <c r="H116" s="87" t="s"/>
      <c r="I116" s="469">
        <v>1</v>
      </c>
      <c r="J116" s="407">
        <f>=AC116</f>
        <v>0</v>
      </c>
      <c r="K116" s="457">
        <f>=S116</f>
        <v>15188</v>
      </c>
      <c r="L116" s="457">
        <f>=K116*I116</f>
        <v>15188</v>
      </c>
      <c r="M116" s="511" t="s"/>
      <c r="N116" s="511" t="s"/>
      <c r="O116" s="458" t="s"/>
      <c r="P116" s="458" t="s"/>
      <c r="Q116" s="458" t="s"/>
      <c r="R116" s="520">
        <f>=AVERAGE(X116,AD116,AJ116,AP116)</f>
        <v>15188</v>
      </c>
      <c r="S116" s="521">
        <f>=MIN(X116,AD116,AJ116,AP116)</f>
        <v>15188</v>
      </c>
      <c r="T116" s="38" t="s"/>
      <c r="U116" s="38" t="s"/>
      <c r="V116" s="38" t="s"/>
      <c r="W116" s="522" t="s"/>
      <c r="X116" s="523" t="s"/>
      <c r="Y116" s="38" t="s"/>
      <c r="Z116" s="38" t="s"/>
      <c r="AA116" s="38" t="s"/>
      <c r="AB116" s="38" t="s"/>
      <c r="AC116" s="522" t="s"/>
      <c r="AD116" s="41" t="s"/>
      <c r="AE116" s="41" t="s"/>
      <c r="AF116" s="41" t="s"/>
      <c r="AG116" s="41" t="s"/>
      <c r="AH116" s="429" t="s"/>
      <c r="AI116" s="452" t="s"/>
      <c r="AJ116" s="41" t="s"/>
      <c r="AK116" s="453" t="s"/>
      <c r="AL116" s="41" t="s"/>
      <c r="AM116" s="41" t="s"/>
      <c r="AN116" s="41" t="s"/>
      <c r="AO116" s="41" t="s"/>
      <c r="AP116" s="41">
        <v>15188</v>
      </c>
      <c r="AQ116" s="41" t="s"/>
    </row>
    <row r="117" spans="1:43" s="999" ht="21" customHeight="true">
      <c r="A117" s="429">
        <v>11</v>
      </c>
      <c r="B117" s="420" t="s">
        <v>883</v>
      </c>
      <c r="C117" s="41" t="s"/>
      <c r="D117" s="41" t="s">
        <v>884</v>
      </c>
      <c r="E117" s="429" t="s">
        <v>36</v>
      </c>
      <c r="F117" s="429">
        <v>2</v>
      </c>
      <c r="G117" s="49">
        <v>384500</v>
      </c>
      <c r="H117" s="524">
        <f>=G117</f>
        <v>384500</v>
      </c>
      <c r="I117" s="469">
        <v>2</v>
      </c>
      <c r="J117" s="407">
        <f>=AI117</f>
        <v>0</v>
      </c>
      <c r="K117" s="80">
        <f>=S117</f>
        <v>64075</v>
      </c>
      <c r="L117" s="80">
        <f>=K117*I117</f>
        <v>128150</v>
      </c>
      <c r="M117" s="447" t="s"/>
      <c r="N117" s="447" t="s"/>
      <c r="O117" s="358">
        <v>34050</v>
      </c>
      <c r="P117" s="358" t="s"/>
      <c r="Q117" s="358" t="s"/>
      <c r="R117" s="358">
        <f>=AVERAGE(X117,AD117,AJ117,AP117)</f>
        <v>64075</v>
      </c>
      <c r="S117" s="468">
        <f>=MIN(X117,AD117,AJ117,AP117)</f>
        <v>64075</v>
      </c>
      <c r="T117" s="41" t="s">
        <v>753</v>
      </c>
      <c r="U117" s="41" t="s">
        <v>754</v>
      </c>
      <c r="V117" s="41">
        <v>58000</v>
      </c>
      <c r="W117" s="383">
        <v>0</v>
      </c>
      <c r="X117" s="384" t="s"/>
      <c r="Y117" s="391">
        <f>=V117*I117</f>
        <v>116000</v>
      </c>
      <c r="Z117" s="41" t="s">
        <v>821</v>
      </c>
      <c r="AA117" s="41" t="s">
        <v>822</v>
      </c>
      <c r="AB117" s="41" t="s">
        <v>823</v>
      </c>
      <c r="AC117" s="383" t="s"/>
      <c r="AD117" s="52" t="s"/>
      <c r="AE117" s="41" t="s">
        <v>823</v>
      </c>
      <c r="AF117" s="41" t="s">
        <v>757</v>
      </c>
      <c r="AG117" s="41" t="s">
        <v>758</v>
      </c>
      <c r="AH117" s="429">
        <v>64075</v>
      </c>
      <c r="AI117" s="387" t="s"/>
      <c r="AJ117" s="41">
        <f>=AH117*(1-AI117)</f>
        <v>64075</v>
      </c>
      <c r="AK117" s="41">
        <f>=AH117*I117</f>
        <v>128150</v>
      </c>
      <c r="AL117" s="41" t="s"/>
      <c r="AM117" s="41" t="s"/>
      <c r="AN117" s="41" t="s"/>
      <c r="AO117" s="41" t="s"/>
      <c r="AP117" s="41" t="s"/>
      <c r="AQ117" s="41" t="s"/>
    </row>
    <row r="118" spans="1:43" customHeight="false">
      <c r="A118" s="16" t="s"/>
      <c r="B118" s="41" t="s">
        <v>859</v>
      </c>
      <c r="C118" s="41" t="s"/>
      <c r="D118" s="41" t="s">
        <v>860</v>
      </c>
      <c r="E118" s="16" t="s"/>
      <c r="F118" s="16" t="s"/>
      <c r="G118" s="525" t="s"/>
      <c r="H118" s="526" t="s"/>
      <c r="I118" s="82">
        <v>1</v>
      </c>
      <c r="J118" s="483">
        <f>=AO118</f>
        <v>0</v>
      </c>
      <c r="K118" s="80">
        <f>=AP118</f>
        <v>33838</v>
      </c>
      <c r="L118" s="80">
        <f>=K118*I118</f>
        <v>33838</v>
      </c>
      <c r="M118" s="358" t="s"/>
      <c r="N118" s="358" t="s"/>
      <c r="O118" s="358" t="s"/>
      <c r="P118" s="358" t="s"/>
      <c r="Q118" s="358" t="s"/>
      <c r="R118" s="358" t="s"/>
      <c r="S118" s="468" t="s"/>
      <c r="T118" s="42" t="s"/>
      <c r="U118" s="42" t="s"/>
      <c r="V118" s="9" t="s"/>
      <c r="W118" s="527" t="s"/>
      <c r="X118" s="528" t="s"/>
      <c r="Y118" s="42" t="s"/>
      <c r="Z118" s="41" t="s"/>
      <c r="AA118" s="41" t="s"/>
      <c r="AB118" s="42" t="s"/>
      <c r="AC118" s="402" t="s"/>
      <c r="AD118" s="52" t="s"/>
      <c r="AE118" s="42" t="s"/>
      <c r="AF118" s="42" t="s"/>
      <c r="AG118" s="42" t="s"/>
      <c r="AH118" s="16" t="s"/>
      <c r="AI118" s="485" t="s"/>
      <c r="AJ118" s="41" t="s"/>
      <c r="AK118" s="9" t="s"/>
      <c r="AL118" s="42" t="s"/>
      <c r="AM118" s="42" t="s"/>
      <c r="AN118" s="42" t="s"/>
      <c r="AO118" s="42" t="s"/>
      <c r="AP118" s="42">
        <v>33838</v>
      </c>
      <c r="AQ118" s="42" t="s"/>
    </row>
    <row r="119" spans="1:43" customHeight="false">
      <c r="A119" s="16">
        <v>12</v>
      </c>
      <c r="B119" s="42" t="s">
        <v>885</v>
      </c>
      <c r="C119" s="42" t="s"/>
      <c r="D119" s="41" t="s">
        <v>873</v>
      </c>
      <c r="E119" s="16" t="s">
        <v>36</v>
      </c>
      <c r="F119" s="16">
        <v>2</v>
      </c>
      <c r="G119" s="61" t="s"/>
      <c r="H119" s="87" t="s"/>
      <c r="I119" s="82">
        <v>2</v>
      </c>
      <c r="J119" s="483">
        <f>=AO119</f>
        <v>0</v>
      </c>
      <c r="K119" s="80">
        <f>=S119</f>
        <v>16237</v>
      </c>
      <c r="L119" s="80">
        <f>=K119*I119</f>
        <v>32474</v>
      </c>
      <c r="M119" s="358" t="s"/>
      <c r="N119" s="358" t="s"/>
      <c r="O119" s="358">
        <v>37200</v>
      </c>
      <c r="P119" s="358" t="s"/>
      <c r="Q119" s="358" t="s"/>
      <c r="R119" s="358">
        <f>=AVERAGE(X119,AD119,AJ119,AP119)</f>
        <v>16237</v>
      </c>
      <c r="S119" s="468">
        <f>=MIN(X119,AD119,AJ119,AP119)</f>
        <v>16237</v>
      </c>
      <c r="T119" s="42" t="s"/>
      <c r="U119" s="42" t="s"/>
      <c r="V119" s="9" t="s"/>
      <c r="W119" s="527" t="s"/>
      <c r="X119" s="528" t="s"/>
      <c r="Y119" s="42" t="s"/>
      <c r="Z119" s="41" t="s"/>
      <c r="AA119" s="41" t="s"/>
      <c r="AB119" s="42" t="s"/>
      <c r="AC119" s="402" t="s"/>
      <c r="AD119" s="52" t="s"/>
      <c r="AE119" s="42" t="s"/>
      <c r="AF119" s="42" t="s"/>
      <c r="AG119" s="42" t="s"/>
      <c r="AH119" s="16" t="s"/>
      <c r="AI119" s="485" t="s"/>
      <c r="AJ119" s="41" t="s"/>
      <c r="AK119" s="9" t="s"/>
      <c r="AL119" s="42" t="s"/>
      <c r="AM119" s="42" t="s"/>
      <c r="AN119" s="42" t="s"/>
      <c r="AO119" s="42" t="s"/>
      <c r="AP119" s="42">
        <v>16237</v>
      </c>
      <c r="AQ119" s="42" t="s"/>
    </row>
    <row r="120" spans="1:43" s="999" ht="21" customHeight="true">
      <c r="A120" s="429">
        <v>13</v>
      </c>
      <c r="B120" s="41" t="s">
        <v>886</v>
      </c>
      <c r="C120" s="41" t="s"/>
      <c r="D120" s="41" t="s">
        <v>887</v>
      </c>
      <c r="E120" s="429" t="s">
        <v>36</v>
      </c>
      <c r="F120" s="429">
        <v>3</v>
      </c>
      <c r="G120" s="475">
        <v>250000</v>
      </c>
      <c r="H120" s="518">
        <f>=G120</f>
        <v>250000</v>
      </c>
      <c r="I120" s="469">
        <v>3</v>
      </c>
      <c r="J120" s="407">
        <f>=AI120</f>
        <v>0</v>
      </c>
      <c r="K120" s="80">
        <f>=S120</f>
        <v>23267</v>
      </c>
      <c r="L120" s="80">
        <f>=K120*I120</f>
        <v>69801</v>
      </c>
      <c r="M120" s="358" t="s"/>
      <c r="N120" s="358" t="s"/>
      <c r="O120" s="358" t="s">
        <v>888</v>
      </c>
      <c r="P120" s="358" t="s"/>
      <c r="Q120" s="358" t="s"/>
      <c r="R120" s="358">
        <f>=AVERAGE(X120,AD120,AJ120,AP120)</f>
        <v>23267</v>
      </c>
      <c r="S120" s="468">
        <f>=MIN(X120,AD120,AJ120,AP120)</f>
        <v>23267</v>
      </c>
      <c r="T120" s="41" t="s">
        <v>753</v>
      </c>
      <c r="U120" s="41" t="s">
        <v>754</v>
      </c>
      <c r="V120" s="41">
        <v>21061</v>
      </c>
      <c r="W120" s="383">
        <v>0</v>
      </c>
      <c r="X120" s="384" t="s"/>
      <c r="Y120" s="391">
        <f>=V120*I120</f>
        <v>63183</v>
      </c>
      <c r="Z120" s="41" t="s">
        <v>821</v>
      </c>
      <c r="AA120" s="41" t="s">
        <v>822</v>
      </c>
      <c r="AB120" s="41" t="s">
        <v>823</v>
      </c>
      <c r="AC120" s="383" t="s"/>
      <c r="AD120" s="52" t="s"/>
      <c r="AE120" s="41" t="s">
        <v>823</v>
      </c>
      <c r="AF120" s="41" t="s">
        <v>757</v>
      </c>
      <c r="AG120" s="41" t="s">
        <v>758</v>
      </c>
      <c r="AH120" s="429">
        <v>23267</v>
      </c>
      <c r="AI120" s="387" t="s"/>
      <c r="AJ120" s="41">
        <f>=AH120*(1-AI120)</f>
        <v>23267</v>
      </c>
      <c r="AK120" s="41">
        <f>=AH120*I120</f>
        <v>69801</v>
      </c>
      <c r="AL120" s="41" t="s"/>
      <c r="AM120" s="41" t="s"/>
      <c r="AN120" s="41" t="s"/>
      <c r="AO120" s="41" t="s"/>
      <c r="AP120" s="41" t="s"/>
      <c r="AQ120" s="41" t="s"/>
    </row>
    <row r="121" spans="1:43" s="999">
      <c r="A121" s="429" t="s"/>
      <c r="B121" s="41" t="s">
        <v>859</v>
      </c>
      <c r="C121" s="41" t="s"/>
      <c r="D121" s="41" t="s">
        <v>860</v>
      </c>
      <c r="E121" s="429" t="s"/>
      <c r="F121" s="429" t="s"/>
      <c r="G121" s="517" t="s"/>
      <c r="H121" s="519" t="s"/>
      <c r="I121" s="469">
        <v>1</v>
      </c>
      <c r="J121" s="407">
        <f>=AO121</f>
        <v>0</v>
      </c>
      <c r="K121" s="529">
        <f>=AP121</f>
        <v>58644</v>
      </c>
      <c r="L121" s="80">
        <f>=K121*I121</f>
        <v>58644</v>
      </c>
      <c r="M121" s="397" t="s"/>
      <c r="N121" s="397" t="s"/>
      <c r="O121" s="397" t="s"/>
      <c r="P121" s="397" t="s"/>
      <c r="Q121" s="397" t="s"/>
      <c r="R121" s="397" t="s"/>
      <c r="S121" s="504" t="s"/>
      <c r="T121" s="494" t="s"/>
      <c r="U121" s="494" t="s"/>
      <c r="V121" s="494" t="s"/>
      <c r="W121" s="530" t="s"/>
      <c r="X121" s="531" t="s"/>
      <c r="Y121" s="494" t="s"/>
      <c r="Z121" s="494" t="s"/>
      <c r="AA121" s="494" t="s"/>
      <c r="AB121" s="494" t="s"/>
      <c r="AC121" s="530" t="s"/>
      <c r="AD121" s="103" t="s"/>
      <c r="AE121" s="41" t="s"/>
      <c r="AF121" s="41" t="s"/>
      <c r="AG121" s="41" t="s"/>
      <c r="AH121" s="429" t="s"/>
      <c r="AI121" s="387" t="s"/>
      <c r="AJ121" s="41" t="s"/>
      <c r="AK121" s="41" t="s"/>
      <c r="AL121" s="41" t="s"/>
      <c r="AM121" s="41" t="s"/>
      <c r="AN121" s="41" t="s"/>
      <c r="AO121" s="41" t="s"/>
      <c r="AP121" s="41">
        <v>58644</v>
      </c>
      <c r="AQ121" s="41" t="s"/>
    </row>
    <row r="122" spans="1:43" s="999" ht="21" customHeight="true">
      <c r="A122" s="429">
        <v>14</v>
      </c>
      <c r="B122" s="41" t="s">
        <v>889</v>
      </c>
      <c r="C122" s="41" t="s"/>
      <c r="D122" s="41" t="s">
        <v>865</v>
      </c>
      <c r="E122" s="429" t="s">
        <v>36</v>
      </c>
      <c r="F122" s="429">
        <v>2</v>
      </c>
      <c r="G122" s="61" t="s"/>
      <c r="H122" s="87" t="s"/>
      <c r="I122" s="469">
        <v>2</v>
      </c>
      <c r="J122" s="407">
        <f>=AC122</f>
        <v>0</v>
      </c>
      <c r="K122" s="396">
        <f>=S122</f>
        <v>60000</v>
      </c>
      <c r="L122" s="80">
        <f>=K122*I122</f>
        <v>120000</v>
      </c>
      <c r="M122" s="398">
        <f>=K122*0.9</f>
        <v>54000</v>
      </c>
      <c r="N122" s="398">
        <f>=M122*I122-I122*K122</f>
        <v>-12000</v>
      </c>
      <c r="O122" s="465">
        <v>29978</v>
      </c>
      <c r="P122" s="465" t="s"/>
      <c r="Q122" s="465" t="s"/>
      <c r="R122" s="532">
        <f>=AVERAGE(X122,AD122,AJ122,AP122)</f>
        <v>77393</v>
      </c>
      <c r="S122" s="533">
        <f>=MIN(X122,AD122,AJ122,AP122)</f>
        <v>60000</v>
      </c>
      <c r="T122" s="72" t="s">
        <v>753</v>
      </c>
      <c r="U122" s="72" t="s">
        <v>754</v>
      </c>
      <c r="V122" s="72">
        <v>85800</v>
      </c>
      <c r="W122" s="534">
        <v>0</v>
      </c>
      <c r="X122" s="535" t="s"/>
      <c r="Y122" s="454">
        <f>=V122*I122</f>
        <v>171600</v>
      </c>
      <c r="Z122" s="72" t="s">
        <v>755</v>
      </c>
      <c r="AA122" s="72" t="s">
        <v>756</v>
      </c>
      <c r="AB122" s="72">
        <v>60000</v>
      </c>
      <c r="AC122" s="534" t="s"/>
      <c r="AD122" s="41">
        <f>=AB122*(1-AC122)</f>
        <v>60000</v>
      </c>
      <c r="AE122" s="41">
        <f>=AB122*I122</f>
        <v>120000</v>
      </c>
      <c r="AF122" s="41" t="s">
        <v>757</v>
      </c>
      <c r="AG122" s="41" t="s">
        <v>758</v>
      </c>
      <c r="AH122" s="429">
        <v>94786</v>
      </c>
      <c r="AI122" s="387" t="s"/>
      <c r="AJ122" s="41">
        <f>=AH122*(1-AI122)</f>
        <v>94786</v>
      </c>
      <c r="AK122" s="41">
        <f>=AH122*I122</f>
        <v>189572</v>
      </c>
      <c r="AL122" s="41" t="s"/>
      <c r="AM122" s="41" t="s"/>
      <c r="AN122" s="41" t="s"/>
      <c r="AO122" s="41" t="s"/>
      <c r="AP122" s="41" t="s"/>
      <c r="AQ122" s="41" t="s"/>
    </row>
    <row r="123" spans="1:43" s="999" customHeight="false">
      <c r="A123" s="429">
        <v>15</v>
      </c>
      <c r="B123" s="41" t="s">
        <v>890</v>
      </c>
      <c r="C123" s="41" t="s"/>
      <c r="D123" s="41" t="s">
        <v>891</v>
      </c>
      <c r="E123" s="429" t="s">
        <v>45</v>
      </c>
      <c r="F123" s="429">
        <v>5</v>
      </c>
      <c r="G123" s="429">
        <v>3400</v>
      </c>
      <c r="H123" s="430">
        <f>=G123*F123</f>
        <v>17000</v>
      </c>
      <c r="I123" s="469">
        <v>5</v>
      </c>
      <c r="J123" s="407">
        <f>=W123</f>
        <v>0.35</v>
      </c>
      <c r="K123" s="83">
        <f>=S123</f>
        <v>18794.75</v>
      </c>
      <c r="L123" s="80">
        <f>=K123*I123</f>
        <v>93973.75</v>
      </c>
      <c r="M123" s="398" t="s"/>
      <c r="N123" s="398" t="s"/>
      <c r="O123" s="398" t="s"/>
      <c r="P123" s="398" t="s"/>
      <c r="Q123" s="398" t="s"/>
      <c r="R123" s="447">
        <f>=AVERAGE(X123,AD123,AJ123,AP123)</f>
        <v>37038.25</v>
      </c>
      <c r="S123" s="399">
        <f>=MIN(X123,AD123,AJ123,AP123)</f>
        <v>18794.75</v>
      </c>
      <c r="T123" s="41" t="s">
        <v>625</v>
      </c>
      <c r="U123" s="41" t="s">
        <v>626</v>
      </c>
      <c r="V123" s="429">
        <v>28915</v>
      </c>
      <c r="W123" s="424">
        <v>0.35</v>
      </c>
      <c r="X123" s="384">
        <f>=V123*(1-W123)</f>
        <v>18794.75</v>
      </c>
      <c r="Y123" s="391">
        <f>=V123*I123</f>
        <v>144575</v>
      </c>
      <c r="Z123" s="41" t="s">
        <v>627</v>
      </c>
      <c r="AA123" s="41" t="s">
        <v>628</v>
      </c>
      <c r="AB123" s="41">
        <v>51203</v>
      </c>
      <c r="AC123" s="383" t="s"/>
      <c r="AD123" s="41">
        <f>=AB123*(1-AC123)</f>
        <v>51203</v>
      </c>
      <c r="AE123" s="41">
        <f>=AB123*I123</f>
        <v>256015</v>
      </c>
      <c r="AF123" s="41" t="s">
        <v>629</v>
      </c>
      <c r="AG123" s="41" t="s">
        <v>630</v>
      </c>
      <c r="AH123" s="536">
        <v>41117</v>
      </c>
      <c r="AI123" s="387" t="s"/>
      <c r="AJ123" s="41">
        <f>=AH123*(1-AI123)</f>
        <v>41117</v>
      </c>
      <c r="AK123" s="41">
        <f>=AH123*I123</f>
        <v>205585</v>
      </c>
      <c r="AL123" s="41" t="s"/>
      <c r="AM123" s="41" t="s"/>
      <c r="AN123" s="41" t="s"/>
      <c r="AO123" s="41" t="s"/>
      <c r="AP123" s="41" t="s"/>
      <c r="AQ123" s="41" t="s"/>
    </row>
    <row r="124" spans="1:43" s="999" customHeight="false">
      <c r="A124" s="429">
        <v>16</v>
      </c>
      <c r="B124" s="41" t="s">
        <v>890</v>
      </c>
      <c r="C124" s="41" t="s"/>
      <c r="D124" s="41" t="s">
        <v>892</v>
      </c>
      <c r="E124" s="429" t="s">
        <v>45</v>
      </c>
      <c r="F124" s="429">
        <v>9</v>
      </c>
      <c r="G124" s="429">
        <v>1500</v>
      </c>
      <c r="H124" s="430">
        <f>=G124*F124</f>
        <v>13500</v>
      </c>
      <c r="I124" s="469">
        <v>9</v>
      </c>
      <c r="J124" s="407">
        <f>=W124</f>
        <v>0.35</v>
      </c>
      <c r="K124" s="83">
        <f>=S124</f>
        <v>17721.6</v>
      </c>
      <c r="L124" s="80">
        <f>=K124*I124</f>
        <v>159494.4</v>
      </c>
      <c r="M124" s="398" t="s"/>
      <c r="N124" s="398" t="s"/>
      <c r="O124" s="398" t="s"/>
      <c r="P124" s="398" t="s"/>
      <c r="Q124" s="398" t="s"/>
      <c r="R124" s="447">
        <f>=AVERAGE(X124,AD124,AJ124,AP124)</f>
        <v>33151.2</v>
      </c>
      <c r="S124" s="399">
        <f>=MIN(X124,AD124,AJ124,AP124)</f>
        <v>17721.6</v>
      </c>
      <c r="T124" s="41" t="s">
        <v>625</v>
      </c>
      <c r="U124" s="41" t="s">
        <v>626</v>
      </c>
      <c r="V124" s="429">
        <v>27264</v>
      </c>
      <c r="W124" s="424">
        <v>0.35</v>
      </c>
      <c r="X124" s="384">
        <f>=V124*(1-W124)</f>
        <v>17721.6</v>
      </c>
      <c r="Y124" s="391">
        <f>=V124*I124</f>
        <v>245376</v>
      </c>
      <c r="Z124" s="41" t="s">
        <v>627</v>
      </c>
      <c r="AA124" s="41" t="s">
        <v>628</v>
      </c>
      <c r="AB124" s="41">
        <v>44887</v>
      </c>
      <c r="AC124" s="383" t="s"/>
      <c r="AD124" s="41">
        <f>=AB124*(1-AC124)</f>
        <v>44887</v>
      </c>
      <c r="AE124" s="41">
        <f>=AB124*I124</f>
        <v>403983</v>
      </c>
      <c r="AF124" s="41" t="s">
        <v>629</v>
      </c>
      <c r="AG124" s="41" t="s">
        <v>630</v>
      </c>
      <c r="AH124" s="536">
        <v>36845</v>
      </c>
      <c r="AI124" s="387" t="s"/>
      <c r="AJ124" s="41">
        <f>=AH124*(1-AI124)</f>
        <v>36845</v>
      </c>
      <c r="AK124" s="41">
        <f>=AH124*I124</f>
        <v>331605</v>
      </c>
      <c r="AL124" s="41" t="s"/>
      <c r="AM124" s="41" t="s"/>
      <c r="AN124" s="41" t="s"/>
      <c r="AO124" s="41" t="s"/>
      <c r="AP124" s="41" t="s"/>
      <c r="AQ124" s="41" t="s"/>
    </row>
    <row r="125" spans="1:43" s="999" customHeight="false">
      <c r="A125" s="429">
        <v>20</v>
      </c>
      <c r="B125" s="41" t="s">
        <v>890</v>
      </c>
      <c r="C125" s="41" t="s"/>
      <c r="D125" s="41" t="s">
        <v>893</v>
      </c>
      <c r="E125" s="429" t="s">
        <v>45</v>
      </c>
      <c r="F125" s="429">
        <v>2</v>
      </c>
      <c r="G125" s="429">
        <v>1000</v>
      </c>
      <c r="H125" s="430">
        <f>=G125*F125</f>
        <v>2000</v>
      </c>
      <c r="I125" s="469">
        <v>2</v>
      </c>
      <c r="J125" s="407">
        <f>=W125</f>
        <v>0.35</v>
      </c>
      <c r="K125" s="83">
        <f>=S125</f>
        <v>17401.15</v>
      </c>
      <c r="L125" s="80">
        <f>=K125*I125</f>
        <v>34802.3</v>
      </c>
      <c r="M125" s="398" t="s"/>
      <c r="N125" s="398" t="s"/>
      <c r="O125" s="398" t="s"/>
      <c r="P125" s="398" t="s"/>
      <c r="Q125" s="398" t="s"/>
      <c r="R125" s="447">
        <f>=AVERAGE(X125,AD125,AJ125,AP125)</f>
        <v>31696.3833333333</v>
      </c>
      <c r="S125" s="399">
        <f>=MIN(X125,AD125,AJ125,AP125)</f>
        <v>17401.15</v>
      </c>
      <c r="T125" s="41" t="s">
        <v>625</v>
      </c>
      <c r="U125" s="41" t="s">
        <v>626</v>
      </c>
      <c r="V125" s="429">
        <v>26771</v>
      </c>
      <c r="W125" s="424">
        <v>0.35</v>
      </c>
      <c r="X125" s="384">
        <f>=V125*(1-W125)</f>
        <v>17401.15</v>
      </c>
      <c r="Y125" s="391">
        <f>=V125*I125</f>
        <v>53542</v>
      </c>
      <c r="Z125" s="41" t="s">
        <v>627</v>
      </c>
      <c r="AA125" s="41" t="s">
        <v>628</v>
      </c>
      <c r="AB125" s="41">
        <v>41110</v>
      </c>
      <c r="AC125" s="383" t="s"/>
      <c r="AD125" s="41">
        <f>=AB125*(1-AC125)</f>
        <v>41110</v>
      </c>
      <c r="AE125" s="41">
        <f>=AB125*I125</f>
        <v>82220</v>
      </c>
      <c r="AF125" s="41" t="s">
        <v>629</v>
      </c>
      <c r="AG125" s="41" t="s">
        <v>630</v>
      </c>
      <c r="AH125" s="536">
        <v>36578</v>
      </c>
      <c r="AI125" s="387" t="s"/>
      <c r="AJ125" s="41">
        <f>=AH125*(1-AI125)</f>
        <v>36578</v>
      </c>
      <c r="AK125" s="41">
        <f>=AH125*I125</f>
        <v>73156</v>
      </c>
      <c r="AL125" s="41" t="s"/>
      <c r="AM125" s="41" t="s"/>
      <c r="AN125" s="41" t="s"/>
      <c r="AO125" s="41" t="s"/>
      <c r="AP125" s="41" t="s"/>
      <c r="AQ125" s="41" t="s"/>
    </row>
    <row r="126" spans="1:43" s="1002" customHeight="false">
      <c r="A126" s="476">
        <v>25</v>
      </c>
      <c r="B126" s="420" t="s">
        <v>894</v>
      </c>
      <c r="C126" s="420" t="s"/>
      <c r="D126" s="420" t="s">
        <v>895</v>
      </c>
      <c r="E126" s="510" t="s">
        <v>45</v>
      </c>
      <c r="F126" s="476">
        <f>=3+3+2</f>
        <v>8</v>
      </c>
      <c r="G126" s="476">
        <v>126.71</v>
      </c>
      <c r="H126" s="537">
        <f>=G126*F126</f>
        <v>1013.68</v>
      </c>
      <c r="I126" s="420">
        <v>8</v>
      </c>
      <c r="J126" s="419">
        <f>=W126</f>
        <v>0.35</v>
      </c>
      <c r="K126" s="37">
        <f>=S126</f>
        <v>88.4</v>
      </c>
      <c r="L126" s="80">
        <f>=K126*I126</f>
        <v>707.2</v>
      </c>
      <c r="M126" s="398" t="s"/>
      <c r="N126" s="398" t="s"/>
      <c r="O126" s="398" t="s"/>
      <c r="P126" s="398" t="s"/>
      <c r="Q126" s="398" t="s"/>
      <c r="R126" s="538">
        <f>=AVERAGE(X126,AD126,AJ126,AP126)</f>
        <v>91.2</v>
      </c>
      <c r="S126" s="462">
        <f>=MIN(X126,AD126,AJ126,AP126)</f>
        <v>88.4</v>
      </c>
      <c r="T126" s="416" t="s">
        <v>625</v>
      </c>
      <c r="U126" s="416" t="s">
        <v>626</v>
      </c>
      <c r="V126" s="476">
        <v>136</v>
      </c>
      <c r="W126" s="424">
        <v>0.35</v>
      </c>
      <c r="X126" s="384">
        <f>=V126*(1-W126)</f>
        <v>88.4</v>
      </c>
      <c r="Y126" s="391">
        <f>=V126*I126</f>
        <v>1088</v>
      </c>
      <c r="Z126" s="509" t="s">
        <v>627</v>
      </c>
      <c r="AA126" s="509" t="s">
        <v>628</v>
      </c>
      <c r="AB126" s="420" t="s">
        <v>631</v>
      </c>
      <c r="AC126" s="383" t="s"/>
      <c r="AD126" s="41" t="s"/>
      <c r="AE126" s="420" t="s">
        <v>631</v>
      </c>
      <c r="AF126" s="420" t="s">
        <v>629</v>
      </c>
      <c r="AG126" s="420" t="s">
        <v>630</v>
      </c>
      <c r="AH126" s="539">
        <v>94</v>
      </c>
      <c r="AI126" s="387" t="s"/>
      <c r="AJ126" s="41">
        <f>=AH126*(1-AI126)</f>
        <v>94</v>
      </c>
      <c r="AK126" s="41">
        <f>=AH126*I126</f>
        <v>752</v>
      </c>
      <c r="AL126" s="420" t="s"/>
      <c r="AM126" s="420" t="s"/>
      <c r="AN126" s="420" t="s"/>
      <c r="AO126" s="41" t="s"/>
      <c r="AP126" s="41" t="s"/>
      <c r="AQ126" s="420" t="s"/>
    </row>
    <row r="127" spans="1:43" s="1002" customHeight="false">
      <c r="A127" s="476">
        <v>28</v>
      </c>
      <c r="B127" s="420" t="s">
        <v>896</v>
      </c>
      <c r="C127" s="420" t="s"/>
      <c r="D127" s="420" t="s">
        <v>897</v>
      </c>
      <c r="E127" s="476" t="s">
        <v>25</v>
      </c>
      <c r="F127" s="476">
        <v>2</v>
      </c>
      <c r="G127" s="476">
        <v>380</v>
      </c>
      <c r="H127" s="537">
        <f>=G127*F127</f>
        <v>760</v>
      </c>
      <c r="I127" s="476">
        <v>2</v>
      </c>
      <c r="J127" s="419">
        <f>=W127</f>
        <v>0.35</v>
      </c>
      <c r="K127" s="37">
        <f>=S127</f>
        <v>7975.5</v>
      </c>
      <c r="L127" s="80">
        <f>=K127*I127</f>
        <v>15951</v>
      </c>
      <c r="M127" s="398" t="s"/>
      <c r="N127" s="398" t="s"/>
      <c r="O127" s="398" t="s"/>
      <c r="P127" s="398" t="s"/>
      <c r="Q127" s="398" t="s"/>
      <c r="R127" s="538">
        <f>=AVERAGE(X127,AD127,AJ127,AP127)</f>
        <v>7976.25</v>
      </c>
      <c r="S127" s="462">
        <f>=MIN(X127,AD127,AJ127,AP127)</f>
        <v>7975.5</v>
      </c>
      <c r="T127" s="416" t="s">
        <v>625</v>
      </c>
      <c r="U127" s="416" t="s">
        <v>626</v>
      </c>
      <c r="V127" s="476">
        <f>=1386+1364+9520</f>
        <v>12270</v>
      </c>
      <c r="W127" s="424">
        <v>0.35</v>
      </c>
      <c r="X127" s="384">
        <f>=V127*(1-W127)</f>
        <v>7975.5</v>
      </c>
      <c r="Y127" s="391">
        <f>=V127*I127</f>
        <v>24540</v>
      </c>
      <c r="Z127" s="509" t="s">
        <v>627</v>
      </c>
      <c r="AA127" s="509" t="s">
        <v>628</v>
      </c>
      <c r="AB127" s="420">
        <v>7977</v>
      </c>
      <c r="AC127" s="383" t="s"/>
      <c r="AD127" s="41">
        <f>=AB127*(1-AC127)</f>
        <v>7977</v>
      </c>
      <c r="AE127" s="41">
        <f>=AB127*I127</f>
        <v>15954</v>
      </c>
      <c r="AF127" s="420" t="s">
        <v>629</v>
      </c>
      <c r="AG127" s="420" t="s">
        <v>630</v>
      </c>
      <c r="AH127" s="539" t="s">
        <v>719</v>
      </c>
      <c r="AI127" s="387" t="s"/>
      <c r="AJ127" s="41" t="s"/>
      <c r="AK127" s="420" t="s">
        <v>719</v>
      </c>
      <c r="AL127" s="420" t="s"/>
      <c r="AM127" s="420" t="s"/>
      <c r="AN127" s="420" t="s"/>
      <c r="AO127" s="41" t="s"/>
      <c r="AP127" s="41" t="s"/>
      <c r="AQ127" s="420" t="s"/>
    </row>
    <row r="128" spans="1:43" s="1002" customHeight="false">
      <c r="A128" s="476">
        <v>29</v>
      </c>
      <c r="B128" s="420" t="s">
        <v>898</v>
      </c>
      <c r="C128" s="420" t="s"/>
      <c r="D128" s="420" t="s">
        <v>899</v>
      </c>
      <c r="E128" s="510" t="s">
        <v>45</v>
      </c>
      <c r="F128" s="476">
        <v>38</v>
      </c>
      <c r="G128" s="476">
        <v>8.25</v>
      </c>
      <c r="H128" s="537">
        <f>=G128*F128</f>
        <v>313.5</v>
      </c>
      <c r="I128" s="476">
        <v>38</v>
      </c>
      <c r="J128" s="419">
        <f>=AO128</f>
        <v>0</v>
      </c>
      <c r="K128" s="37">
        <f>=S128</f>
        <v>8.25</v>
      </c>
      <c r="L128" s="80">
        <f>=K128*I128</f>
        <v>313.5</v>
      </c>
      <c r="M128" s="398" t="s"/>
      <c r="N128" s="398" t="s"/>
      <c r="O128" s="398" t="s"/>
      <c r="P128" s="398" t="s"/>
      <c r="Q128" s="398" t="s"/>
      <c r="R128" s="538">
        <f>=AVERAGE(X128,AD128,AJ128,AP128)</f>
        <v>41.7</v>
      </c>
      <c r="S128" s="462">
        <f>=MIN(X128,AD128,AJ128,AP128)</f>
        <v>8.25</v>
      </c>
      <c r="T128" s="416" t="s">
        <v>625</v>
      </c>
      <c r="U128" s="416" t="s">
        <v>626</v>
      </c>
      <c r="V128" s="476">
        <v>69</v>
      </c>
      <c r="W128" s="424">
        <v>0.35</v>
      </c>
      <c r="X128" s="384">
        <f>=V128*(1-W128)</f>
        <v>44.85</v>
      </c>
      <c r="Y128" s="391">
        <f>=V128*I128</f>
        <v>2622</v>
      </c>
      <c r="Z128" s="509" t="s">
        <v>627</v>
      </c>
      <c r="AA128" s="509" t="s">
        <v>628</v>
      </c>
      <c r="AB128" s="420" t="s">
        <v>631</v>
      </c>
      <c r="AC128" s="383" t="s"/>
      <c r="AD128" s="41" t="s"/>
      <c r="AE128" s="420" t="s">
        <v>631</v>
      </c>
      <c r="AF128" s="420" t="s">
        <v>629</v>
      </c>
      <c r="AG128" s="420" t="s">
        <v>630</v>
      </c>
      <c r="AH128" s="539">
        <v>72</v>
      </c>
      <c r="AI128" s="387" t="s"/>
      <c r="AJ128" s="41">
        <f>=AH128*(1-AI128)</f>
        <v>72</v>
      </c>
      <c r="AK128" s="41">
        <f>=AH128*I128</f>
        <v>2736</v>
      </c>
      <c r="AL128" s="420" t="s"/>
      <c r="AM128" s="420" t="s"/>
      <c r="AN128" s="420" t="s"/>
      <c r="AO128" s="41" t="s"/>
      <c r="AP128" s="41">
        <v>8.25</v>
      </c>
      <c r="AQ128" s="420" t="s"/>
    </row>
    <row r="129" spans="1:43" s="1002" customHeight="false">
      <c r="A129" s="476">
        <v>30</v>
      </c>
      <c r="B129" s="420" t="s">
        <v>898</v>
      </c>
      <c r="C129" s="420" t="s"/>
      <c r="D129" s="420" t="s">
        <v>900</v>
      </c>
      <c r="E129" s="510" t="s">
        <v>45</v>
      </c>
      <c r="F129" s="476">
        <v>39</v>
      </c>
      <c r="G129" s="476">
        <v>19.28</v>
      </c>
      <c r="H129" s="537">
        <f>=G129*F129</f>
        <v>751.92</v>
      </c>
      <c r="I129" s="476">
        <v>39</v>
      </c>
      <c r="J129" s="419">
        <f>=AO129</f>
        <v>0</v>
      </c>
      <c r="K129" s="37">
        <f>=S129</f>
        <v>19.284</v>
      </c>
      <c r="L129" s="80">
        <f>=K129*I129</f>
        <v>752.076</v>
      </c>
      <c r="M129" s="398" t="s"/>
      <c r="N129" s="398" t="s"/>
      <c r="O129" s="398" t="s"/>
      <c r="P129" s="398" t="s"/>
      <c r="Q129" s="398" t="s"/>
      <c r="R129" s="538">
        <f>=AVERAGE(X129,AD129,AJ129,AP129)</f>
        <v>59.8113333333333</v>
      </c>
      <c r="S129" s="462">
        <f>=MIN(X129,AD129,AJ129,AP129)</f>
        <v>19.284</v>
      </c>
      <c r="T129" s="416" t="s">
        <v>625</v>
      </c>
      <c r="U129" s="416" t="s">
        <v>626</v>
      </c>
      <c r="V129" s="476">
        <v>91</v>
      </c>
      <c r="W129" s="424">
        <v>0.35</v>
      </c>
      <c r="X129" s="384">
        <f>=V129*(1-W129)</f>
        <v>59.15</v>
      </c>
      <c r="Y129" s="391">
        <f>=V129*I129</f>
        <v>3549</v>
      </c>
      <c r="Z129" s="509" t="s">
        <v>627</v>
      </c>
      <c r="AA129" s="509" t="s">
        <v>628</v>
      </c>
      <c r="AB129" s="420" t="s">
        <v>631</v>
      </c>
      <c r="AC129" s="383" t="s"/>
      <c r="AD129" s="41" t="s"/>
      <c r="AE129" s="420" t="s">
        <v>631</v>
      </c>
      <c r="AF129" s="420" t="s">
        <v>629</v>
      </c>
      <c r="AG129" s="420" t="s">
        <v>630</v>
      </c>
      <c r="AH129" s="539">
        <v>101</v>
      </c>
      <c r="AI129" s="387" t="s"/>
      <c r="AJ129" s="41">
        <f>=AH129*(1-AI129)</f>
        <v>101</v>
      </c>
      <c r="AK129" s="41">
        <f>=AH129*I129</f>
        <v>3939</v>
      </c>
      <c r="AL129" s="420" t="s"/>
      <c r="AM129" s="420" t="s"/>
      <c r="AN129" s="420" t="s"/>
      <c r="AO129" s="41" t="s"/>
      <c r="AP129" s="41">
        <v>19.284</v>
      </c>
      <c r="AQ129" s="420" t="s"/>
    </row>
    <row r="130" spans="1:43" s="1002" customHeight="false">
      <c r="A130" s="476">
        <v>31</v>
      </c>
      <c r="B130" s="420" t="s">
        <v>898</v>
      </c>
      <c r="C130" s="420" t="s"/>
      <c r="D130" s="420" t="s">
        <v>901</v>
      </c>
      <c r="E130" s="510" t="s">
        <v>45</v>
      </c>
      <c r="F130" s="476">
        <v>4</v>
      </c>
      <c r="G130" s="476">
        <v>16</v>
      </c>
      <c r="H130" s="537">
        <f>=G130*F130</f>
        <v>64</v>
      </c>
      <c r="I130" s="476">
        <v>4</v>
      </c>
      <c r="J130" s="419">
        <f>=AO130</f>
        <v>0</v>
      </c>
      <c r="K130" s="37">
        <f>=S130</f>
        <v>35</v>
      </c>
      <c r="L130" s="80">
        <f>=K130*I130</f>
        <v>140</v>
      </c>
      <c r="M130" s="398" t="s"/>
      <c r="N130" s="398" t="s"/>
      <c r="O130" s="398" t="s"/>
      <c r="P130" s="398" t="s"/>
      <c r="Q130" s="398" t="s"/>
      <c r="R130" s="538">
        <f>=AVERAGE(X130,AD130,AJ130,AP130)</f>
        <v>120.383333333333</v>
      </c>
      <c r="S130" s="462">
        <f>=MIN(X130,AD130,AJ130,AP130)</f>
        <v>35</v>
      </c>
      <c r="T130" s="416" t="s">
        <v>625</v>
      </c>
      <c r="U130" s="416" t="s">
        <v>626</v>
      </c>
      <c r="V130" s="476">
        <v>171</v>
      </c>
      <c r="W130" s="424">
        <v>0.35</v>
      </c>
      <c r="X130" s="384">
        <f>=V130*(1-W130)</f>
        <v>111.15</v>
      </c>
      <c r="Y130" s="391">
        <f>=V130*I130</f>
        <v>684</v>
      </c>
      <c r="Z130" s="509" t="s">
        <v>627</v>
      </c>
      <c r="AA130" s="509" t="s">
        <v>628</v>
      </c>
      <c r="AB130" s="420" t="s">
        <v>631</v>
      </c>
      <c r="AC130" s="383" t="s"/>
      <c r="AD130" s="41" t="s"/>
      <c r="AE130" s="420" t="s">
        <v>631</v>
      </c>
      <c r="AF130" s="420" t="s">
        <v>629</v>
      </c>
      <c r="AG130" s="420" t="s">
        <v>630</v>
      </c>
      <c r="AH130" s="539">
        <v>215</v>
      </c>
      <c r="AI130" s="387" t="s"/>
      <c r="AJ130" s="41">
        <f>=AH130*(1-AI130)</f>
        <v>215</v>
      </c>
      <c r="AK130" s="41">
        <f>=AH130*I130</f>
        <v>860</v>
      </c>
      <c r="AL130" s="420" t="s"/>
      <c r="AM130" s="420" t="s"/>
      <c r="AN130" s="420" t="s"/>
      <c r="AO130" s="41" t="s"/>
      <c r="AP130" s="41">
        <v>35</v>
      </c>
      <c r="AQ130" s="420" t="s"/>
    </row>
    <row r="131" spans="1:43" s="1002" customHeight="false">
      <c r="A131" s="476">
        <v>32</v>
      </c>
      <c r="B131" s="420" t="s">
        <v>898</v>
      </c>
      <c r="C131" s="420" t="s"/>
      <c r="D131" s="420" t="s">
        <v>902</v>
      </c>
      <c r="E131" s="510" t="s">
        <v>45</v>
      </c>
      <c r="F131" s="476">
        <v>43</v>
      </c>
      <c r="G131" s="476">
        <v>23</v>
      </c>
      <c r="H131" s="537">
        <f>=G131*F131</f>
        <v>989</v>
      </c>
      <c r="I131" s="476">
        <v>43</v>
      </c>
      <c r="J131" s="419">
        <f>=AO131</f>
        <v>0</v>
      </c>
      <c r="K131" s="37">
        <f>=S131</f>
        <v>42</v>
      </c>
      <c r="L131" s="80">
        <f>=K131*I131</f>
        <v>1806</v>
      </c>
      <c r="M131" s="398" t="s"/>
      <c r="N131" s="398" t="s"/>
      <c r="O131" s="398" t="s"/>
      <c r="P131" s="398" t="s"/>
      <c r="Q131" s="398" t="s"/>
      <c r="R131" s="538">
        <f>=AVERAGE(X131,AD131,AJ131,AP131)</f>
        <v>165.05</v>
      </c>
      <c r="S131" s="462">
        <f>=MIN(X131,AD131,AJ131,AP131)</f>
        <v>42</v>
      </c>
      <c r="T131" s="416" t="s">
        <v>625</v>
      </c>
      <c r="U131" s="416" t="s">
        <v>626</v>
      </c>
      <c r="V131" s="476">
        <v>231</v>
      </c>
      <c r="W131" s="424">
        <v>0.35</v>
      </c>
      <c r="X131" s="384">
        <f>=V131*(1-W131)</f>
        <v>150.15</v>
      </c>
      <c r="Y131" s="391">
        <f>=V131*I131</f>
        <v>9933</v>
      </c>
      <c r="Z131" s="509" t="s">
        <v>627</v>
      </c>
      <c r="AA131" s="509" t="s">
        <v>628</v>
      </c>
      <c r="AB131" s="420" t="s">
        <v>631</v>
      </c>
      <c r="AC131" s="383" t="s"/>
      <c r="AD131" s="41" t="s"/>
      <c r="AE131" s="420" t="s">
        <v>631</v>
      </c>
      <c r="AF131" s="420" t="s">
        <v>629</v>
      </c>
      <c r="AG131" s="420" t="s">
        <v>630</v>
      </c>
      <c r="AH131" s="539">
        <v>303</v>
      </c>
      <c r="AI131" s="387" t="s"/>
      <c r="AJ131" s="41">
        <f>=AH131*(1-AI131)</f>
        <v>303</v>
      </c>
      <c r="AK131" s="41">
        <f>=AH131*I131</f>
        <v>13029</v>
      </c>
      <c r="AL131" s="420" t="s"/>
      <c r="AM131" s="420" t="s"/>
      <c r="AN131" s="420" t="s"/>
      <c r="AO131" s="41" t="s"/>
      <c r="AP131" s="41">
        <v>42</v>
      </c>
      <c r="AQ131" s="420" t="s"/>
    </row>
    <row r="132" spans="1:43" s="1002" customHeight="false">
      <c r="A132" s="476">
        <v>33</v>
      </c>
      <c r="B132" s="420" t="s">
        <v>898</v>
      </c>
      <c r="C132" s="420" t="s"/>
      <c r="D132" s="420" t="s">
        <v>903</v>
      </c>
      <c r="E132" s="510" t="s">
        <v>45</v>
      </c>
      <c r="F132" s="476">
        <v>18</v>
      </c>
      <c r="G132" s="476">
        <v>23</v>
      </c>
      <c r="H132" s="537">
        <f>=G132*F132</f>
        <v>414</v>
      </c>
      <c r="I132" s="476">
        <v>18</v>
      </c>
      <c r="J132" s="419">
        <f>=AO132</f>
        <v>0</v>
      </c>
      <c r="K132" s="37">
        <f>=S132</f>
        <v>42</v>
      </c>
      <c r="L132" s="80">
        <f>=K132*I132</f>
        <v>756</v>
      </c>
      <c r="M132" s="398" t="s"/>
      <c r="N132" s="398" t="s"/>
      <c r="O132" s="398" t="s"/>
      <c r="P132" s="398" t="s"/>
      <c r="Q132" s="398" t="s"/>
      <c r="R132" s="538">
        <f>=AVERAGE(X132,AD132,AJ132,AP132)</f>
        <v>165.05</v>
      </c>
      <c r="S132" s="462">
        <f>=MIN(X132,AD132,AJ132,AP132)</f>
        <v>42</v>
      </c>
      <c r="T132" s="416" t="s">
        <v>625</v>
      </c>
      <c r="U132" s="416" t="s">
        <v>626</v>
      </c>
      <c r="V132" s="476">
        <v>231</v>
      </c>
      <c r="W132" s="424">
        <v>0.35</v>
      </c>
      <c r="X132" s="384">
        <f>=V132*(1-W132)</f>
        <v>150.15</v>
      </c>
      <c r="Y132" s="391">
        <f>=V132*I132</f>
        <v>4158</v>
      </c>
      <c r="Z132" s="509" t="s">
        <v>627</v>
      </c>
      <c r="AA132" s="509" t="s">
        <v>628</v>
      </c>
      <c r="AB132" s="420" t="s">
        <v>631</v>
      </c>
      <c r="AC132" s="383" t="s"/>
      <c r="AD132" s="41" t="s"/>
      <c r="AE132" s="420" t="s">
        <v>631</v>
      </c>
      <c r="AF132" s="420" t="s">
        <v>629</v>
      </c>
      <c r="AG132" s="420" t="s">
        <v>630</v>
      </c>
      <c r="AH132" s="539">
        <v>303</v>
      </c>
      <c r="AI132" s="387" t="s"/>
      <c r="AJ132" s="41">
        <f>=AH132*(1-AI132)</f>
        <v>303</v>
      </c>
      <c r="AK132" s="41">
        <f>=AH132*I132</f>
        <v>5454</v>
      </c>
      <c r="AL132" s="420" t="s"/>
      <c r="AM132" s="420" t="s"/>
      <c r="AN132" s="420" t="s"/>
      <c r="AO132" s="41" t="s"/>
      <c r="AP132" s="41">
        <v>42</v>
      </c>
      <c r="AQ132" s="420" t="s"/>
    </row>
    <row r="133" spans="1:43" s="1002" customHeight="false">
      <c r="A133" s="476">
        <v>34</v>
      </c>
      <c r="B133" s="420" t="s">
        <v>898</v>
      </c>
      <c r="C133" s="420" t="s"/>
      <c r="D133" s="420" t="s">
        <v>904</v>
      </c>
      <c r="E133" s="510" t="s">
        <v>45</v>
      </c>
      <c r="F133" s="476">
        <v>44</v>
      </c>
      <c r="G133" s="476">
        <v>29</v>
      </c>
      <c r="H133" s="537">
        <f>=G133*F133</f>
        <v>1276</v>
      </c>
      <c r="I133" s="476">
        <v>44</v>
      </c>
      <c r="J133" s="419">
        <f>=AO133</f>
        <v>0</v>
      </c>
      <c r="K133" s="37">
        <f>=S133</f>
        <v>52.5</v>
      </c>
      <c r="L133" s="80">
        <f>=K133*I133</f>
        <v>2310</v>
      </c>
      <c r="M133" s="398" t="s"/>
      <c r="N133" s="398" t="s"/>
      <c r="O133" s="398" t="s"/>
      <c r="P133" s="398" t="s"/>
      <c r="Q133" s="398" t="s"/>
      <c r="R133" s="538">
        <f>=AVERAGE(X133,AD133,AJ133,AP133)</f>
        <v>539.383333333333</v>
      </c>
      <c r="S133" s="462">
        <f>=MIN(X133,AD133,AJ133,AP133)</f>
        <v>52.5</v>
      </c>
      <c r="T133" s="416" t="s">
        <v>625</v>
      </c>
      <c r="U133" s="416" t="s">
        <v>626</v>
      </c>
      <c r="V133" s="476">
        <v>301</v>
      </c>
      <c r="W133" s="424">
        <v>0.35</v>
      </c>
      <c r="X133" s="384">
        <f>=V133*(1-W133)</f>
        <v>195.65</v>
      </c>
      <c r="Y133" s="391">
        <f>=V133*I133</f>
        <v>13244</v>
      </c>
      <c r="Z133" s="509" t="s">
        <v>627</v>
      </c>
      <c r="AA133" s="509" t="s">
        <v>628</v>
      </c>
      <c r="AB133" s="420" t="s">
        <v>631</v>
      </c>
      <c r="AC133" s="383" t="s"/>
      <c r="AD133" s="41" t="s"/>
      <c r="AE133" s="420" t="s">
        <v>631</v>
      </c>
      <c r="AF133" s="420" t="s">
        <v>629</v>
      </c>
      <c r="AG133" s="420" t="s">
        <v>630</v>
      </c>
      <c r="AH133" s="539">
        <v>1370</v>
      </c>
      <c r="AI133" s="387" t="s"/>
      <c r="AJ133" s="41">
        <f>=AH133*(1-AI133)</f>
        <v>1370</v>
      </c>
      <c r="AK133" s="41">
        <f>=AH133*I133</f>
        <v>60280</v>
      </c>
      <c r="AL133" s="420" t="s"/>
      <c r="AM133" s="420" t="s"/>
      <c r="AN133" s="420" t="s"/>
      <c r="AO133" s="41" t="s"/>
      <c r="AP133" s="41">
        <v>52.5</v>
      </c>
      <c r="AQ133" s="420" t="s"/>
    </row>
    <row r="134" spans="1:43" s="1002" customHeight="false">
      <c r="A134" s="476">
        <v>35</v>
      </c>
      <c r="B134" s="420" t="s">
        <v>898</v>
      </c>
      <c r="C134" s="420" t="s"/>
      <c r="D134" s="420" t="s">
        <v>905</v>
      </c>
      <c r="E134" s="510" t="s">
        <v>45</v>
      </c>
      <c r="F134" s="476">
        <v>8</v>
      </c>
      <c r="G134" s="476">
        <v>35</v>
      </c>
      <c r="H134" s="537">
        <f>=G134*F134</f>
        <v>280</v>
      </c>
      <c r="I134" s="476">
        <v>8</v>
      </c>
      <c r="J134" s="419">
        <f>=AO134</f>
        <v>0</v>
      </c>
      <c r="K134" s="37">
        <f>=S134</f>
        <v>65</v>
      </c>
      <c r="L134" s="80">
        <f>=K134*I134</f>
        <v>520</v>
      </c>
      <c r="M134" s="398" t="s"/>
      <c r="N134" s="398" t="s"/>
      <c r="O134" s="398" t="s"/>
      <c r="P134" s="398" t="s"/>
      <c r="Q134" s="398" t="s"/>
      <c r="R134" s="538">
        <f>=AVERAGE(X134,AD134,AJ134,AP134)</f>
        <v>781.116666666667</v>
      </c>
      <c r="S134" s="462">
        <f>=MIN(X134,AD134,AJ134,AP134)</f>
        <v>65</v>
      </c>
      <c r="T134" s="416" t="s">
        <v>625</v>
      </c>
      <c r="U134" s="416" t="s">
        <v>626</v>
      </c>
      <c r="V134" s="476">
        <v>779</v>
      </c>
      <c r="W134" s="424">
        <v>0.35</v>
      </c>
      <c r="X134" s="384">
        <f>=V134*(1-W134)</f>
        <v>506.35</v>
      </c>
      <c r="Y134" s="391">
        <f>=V134*I134</f>
        <v>6232</v>
      </c>
      <c r="Z134" s="509" t="s">
        <v>627</v>
      </c>
      <c r="AA134" s="509" t="s">
        <v>628</v>
      </c>
      <c r="AB134" s="420" t="s">
        <v>631</v>
      </c>
      <c r="AC134" s="383" t="s"/>
      <c r="AD134" s="41" t="s"/>
      <c r="AE134" s="420" t="s">
        <v>631</v>
      </c>
      <c r="AF134" s="420" t="s">
        <v>629</v>
      </c>
      <c r="AG134" s="420" t="s">
        <v>630</v>
      </c>
      <c r="AH134" s="539">
        <v>1772</v>
      </c>
      <c r="AI134" s="387" t="s"/>
      <c r="AJ134" s="41">
        <f>=AH134*(1-AI134)</f>
        <v>1772</v>
      </c>
      <c r="AK134" s="41">
        <f>=AH134*I134</f>
        <v>14176</v>
      </c>
      <c r="AL134" s="420" t="s"/>
      <c r="AM134" s="420" t="s"/>
      <c r="AN134" s="420" t="s"/>
      <c r="AO134" s="41" t="s"/>
      <c r="AP134" s="41">
        <v>65</v>
      </c>
      <c r="AQ134" s="420" t="s"/>
    </row>
    <row r="135" spans="1:43" s="1002" customHeight="false">
      <c r="A135" s="476">
        <v>36</v>
      </c>
      <c r="B135" s="420" t="s">
        <v>898</v>
      </c>
      <c r="C135" s="420" t="s"/>
      <c r="D135" s="420" t="s">
        <v>906</v>
      </c>
      <c r="E135" s="476" t="s">
        <v>45</v>
      </c>
      <c r="F135" s="476">
        <v>22</v>
      </c>
      <c r="G135" s="476">
        <v>46</v>
      </c>
      <c r="H135" s="537">
        <f>=G135*F135</f>
        <v>1012</v>
      </c>
      <c r="I135" s="476">
        <v>22</v>
      </c>
      <c r="J135" s="419">
        <f>=AO135</f>
        <v>0</v>
      </c>
      <c r="K135" s="37">
        <f>=S135</f>
        <v>81</v>
      </c>
      <c r="L135" s="80">
        <f>=K135*I135</f>
        <v>1782</v>
      </c>
      <c r="M135" s="398" t="s"/>
      <c r="N135" s="398" t="s"/>
      <c r="O135" s="398" t="s"/>
      <c r="P135" s="398" t="s"/>
      <c r="Q135" s="398" t="s"/>
      <c r="R135" s="538">
        <f>=AVERAGE(X135,AD135,AJ135,AP135)</f>
        <v>1049.65</v>
      </c>
      <c r="S135" s="462">
        <f>=MIN(X135,AD135,AJ135,AP135)</f>
        <v>81</v>
      </c>
      <c r="T135" s="416" t="s">
        <v>625</v>
      </c>
      <c r="U135" s="416" t="s">
        <v>626</v>
      </c>
      <c r="V135" s="476">
        <v>1203</v>
      </c>
      <c r="W135" s="424">
        <v>0.35</v>
      </c>
      <c r="X135" s="384">
        <f>=V135*(1-W135)</f>
        <v>781.95</v>
      </c>
      <c r="Y135" s="391">
        <f>=V135*I135</f>
        <v>26466</v>
      </c>
      <c r="Z135" s="509" t="s">
        <v>627</v>
      </c>
      <c r="AA135" s="509" t="s">
        <v>628</v>
      </c>
      <c r="AB135" s="420" t="s">
        <v>631</v>
      </c>
      <c r="AC135" s="383" t="s"/>
      <c r="AD135" s="41" t="s"/>
      <c r="AE135" s="420" t="s">
        <v>631</v>
      </c>
      <c r="AF135" s="420" t="s">
        <v>629</v>
      </c>
      <c r="AG135" s="420" t="s">
        <v>630</v>
      </c>
      <c r="AH135" s="539">
        <v>2286</v>
      </c>
      <c r="AI135" s="387" t="s"/>
      <c r="AJ135" s="41">
        <f>=AH135*(1-AI135)</f>
        <v>2286</v>
      </c>
      <c r="AK135" s="41">
        <f>=AH135*I135</f>
        <v>50292</v>
      </c>
      <c r="AL135" s="420" t="s"/>
      <c r="AM135" s="420" t="s"/>
      <c r="AN135" s="420" t="s"/>
      <c r="AO135" s="41" t="s"/>
      <c r="AP135" s="41">
        <v>81</v>
      </c>
      <c r="AQ135" s="420" t="s"/>
    </row>
    <row r="136" spans="1:43" s="1002" customHeight="false">
      <c r="A136" s="476">
        <v>37</v>
      </c>
      <c r="B136" s="420" t="s">
        <v>632</v>
      </c>
      <c r="C136" s="420" t="s"/>
      <c r="D136" s="420" t="s">
        <v>906</v>
      </c>
      <c r="E136" s="476" t="s">
        <v>45</v>
      </c>
      <c r="F136" s="476">
        <v>3</v>
      </c>
      <c r="G136" s="476">
        <v>780.8</v>
      </c>
      <c r="H136" s="537">
        <f>=G136*F136</f>
        <v>2342.4</v>
      </c>
      <c r="I136" s="476">
        <v>3</v>
      </c>
      <c r="J136" s="419">
        <f>=AO136</f>
        <v>0</v>
      </c>
      <c r="K136" s="37">
        <f>=S136</f>
        <v>84</v>
      </c>
      <c r="L136" s="80">
        <f>=K136*I136</f>
        <v>252</v>
      </c>
      <c r="M136" s="398" t="s"/>
      <c r="N136" s="398" t="s"/>
      <c r="O136" s="398" t="s"/>
      <c r="P136" s="398" t="s"/>
      <c r="Q136" s="398" t="s"/>
      <c r="R136" s="538">
        <f>=AVERAGE(X136,AD136,AJ136,AP136)</f>
        <v>758.5</v>
      </c>
      <c r="S136" s="462">
        <f>=MIN(X136,AD136,AJ136,AP136)</f>
        <v>84</v>
      </c>
      <c r="T136" s="416" t="s">
        <v>625</v>
      </c>
      <c r="U136" s="416" t="s">
        <v>626</v>
      </c>
      <c r="V136" s="476" t="s">
        <v>907</v>
      </c>
      <c r="W136" s="383" t="s"/>
      <c r="X136" s="384" t="s"/>
      <c r="Y136" s="420" t="s"/>
      <c r="Z136" s="420" t="s">
        <v>627</v>
      </c>
      <c r="AA136" s="420" t="s">
        <v>628</v>
      </c>
      <c r="AB136" s="420" t="s">
        <v>631</v>
      </c>
      <c r="AC136" s="383" t="s"/>
      <c r="AD136" s="41" t="s"/>
      <c r="AE136" s="420" t="s">
        <v>631</v>
      </c>
      <c r="AF136" s="420" t="s">
        <v>629</v>
      </c>
      <c r="AG136" s="420" t="s">
        <v>630</v>
      </c>
      <c r="AH136" s="539">
        <v>1433</v>
      </c>
      <c r="AI136" s="387" t="s"/>
      <c r="AJ136" s="41">
        <f>=AH136*(1-AI136)</f>
        <v>1433</v>
      </c>
      <c r="AK136" s="41">
        <f>=AH136*I136</f>
        <v>4299</v>
      </c>
      <c r="AL136" s="420" t="s"/>
      <c r="AM136" s="420" t="s"/>
      <c r="AN136" s="420" t="s"/>
      <c r="AO136" s="41" t="s"/>
      <c r="AP136" s="41">
        <v>84</v>
      </c>
      <c r="AQ136" s="420" t="s"/>
    </row>
    <row r="137" spans="1:43" s="1002" customHeight="false">
      <c r="A137" s="429">
        <v>37</v>
      </c>
      <c r="B137" s="41" t="s">
        <v>632</v>
      </c>
      <c r="C137" s="41" t="s"/>
      <c r="D137" s="420" t="s">
        <v>908</v>
      </c>
      <c r="E137" s="429" t="s">
        <v>45</v>
      </c>
      <c r="F137" s="493">
        <v>3</v>
      </c>
      <c r="G137" s="493" t="s"/>
      <c r="H137" s="540" t="s"/>
      <c r="I137" s="541">
        <v>3</v>
      </c>
      <c r="J137" s="383">
        <f>=AO137</f>
        <v>0</v>
      </c>
      <c r="K137" s="83">
        <f>=S137</f>
        <v>42</v>
      </c>
      <c r="L137" s="80">
        <f>=K137*I137</f>
        <v>126</v>
      </c>
      <c r="M137" s="397" t="s"/>
      <c r="N137" s="397" t="s"/>
      <c r="O137" s="397" t="s"/>
      <c r="P137" s="397" t="s"/>
      <c r="Q137" s="397" t="s"/>
      <c r="R137" s="447">
        <f>=AVERAGE(X137,AD137,AJ137,AP137)</f>
        <v>42</v>
      </c>
      <c r="S137" s="399">
        <f>=MIN(X137,AD137,AJ137,AP137)</f>
        <v>42</v>
      </c>
      <c r="T137" s="494" t="s"/>
      <c r="U137" s="494" t="s"/>
      <c r="V137" s="493" t="s"/>
      <c r="W137" s="530" t="s"/>
      <c r="X137" s="531" t="s"/>
      <c r="Y137" s="494" t="s"/>
      <c r="Z137" s="494" t="s"/>
      <c r="AA137" s="494" t="s"/>
      <c r="AB137" s="494" t="s"/>
      <c r="AC137" s="530" t="s"/>
      <c r="AD137" s="41" t="s"/>
      <c r="AE137" s="494" t="s"/>
      <c r="AF137" s="494" t="s"/>
      <c r="AG137" s="494" t="s"/>
      <c r="AH137" s="542" t="s"/>
      <c r="AI137" s="543" t="s"/>
      <c r="AJ137" s="494" t="s"/>
      <c r="AK137" s="494" t="s"/>
      <c r="AL137" s="494" t="s"/>
      <c r="AM137" s="494" t="s"/>
      <c r="AN137" s="494" t="s"/>
      <c r="AO137" s="494" t="s"/>
      <c r="AP137" s="494">
        <v>42</v>
      </c>
      <c r="AQ137" s="494" t="s"/>
    </row>
    <row r="138" spans="1:43" customHeight="false">
      <c r="A138" s="497" t="s">
        <v>909</v>
      </c>
      <c r="B138" s="498" t="s">
        <v>910</v>
      </c>
      <c r="C138" s="499" t="s"/>
      <c r="D138" s="72" t="s"/>
      <c r="E138" s="248" t="s"/>
      <c r="F138" s="248" t="s"/>
      <c r="G138" s="248" t="s"/>
      <c r="H138" s="500" t="s"/>
      <c r="I138" s="501" t="s"/>
      <c r="J138" s="502" t="s"/>
      <c r="K138" s="503" t="s"/>
      <c r="L138" s="80" t="s"/>
      <c r="M138" s="397" t="s"/>
      <c r="N138" s="397" t="s"/>
      <c r="O138" s="397" t="s"/>
      <c r="P138" s="397" t="s"/>
      <c r="Q138" s="397" t="s"/>
      <c r="R138" s="398" t="s"/>
      <c r="S138" s="399" t="s"/>
      <c r="T138" s="74" t="s"/>
      <c r="U138" s="74" t="s"/>
      <c r="V138" s="74" t="s"/>
      <c r="W138" s="505" t="s"/>
      <c r="X138" s="506" t="s"/>
      <c r="Y138" s="74" t="s"/>
      <c r="Z138" s="72" t="s"/>
      <c r="AA138" s="72" t="s"/>
      <c r="AB138" s="74" t="s"/>
      <c r="AC138" s="505" t="s"/>
      <c r="AD138" s="41" t="s"/>
      <c r="AE138" s="74" t="s"/>
      <c r="AF138" s="74" t="s"/>
      <c r="AG138" s="74" t="s"/>
      <c r="AH138" s="143" t="s"/>
      <c r="AI138" s="507" t="s"/>
      <c r="AJ138" s="61" t="s"/>
      <c r="AK138" s="143" t="s"/>
      <c r="AL138" s="74" t="s"/>
      <c r="AM138" s="74" t="s"/>
      <c r="AN138" s="74" t="s"/>
      <c r="AO138" s="508" t="s"/>
      <c r="AP138" s="508" t="s"/>
      <c r="AQ138" s="74" t="s"/>
    </row>
    <row r="139" spans="1:43" s="999" customHeight="false">
      <c r="A139" s="429">
        <v>1</v>
      </c>
      <c r="B139" s="41" t="s">
        <v>774</v>
      </c>
      <c r="C139" s="41" t="s"/>
      <c r="D139" s="41" t="s">
        <v>911</v>
      </c>
      <c r="E139" s="429" t="s">
        <v>388</v>
      </c>
      <c r="F139" s="429">
        <v>1</v>
      </c>
      <c r="G139" s="429">
        <v>196200</v>
      </c>
      <c r="H139" s="430" t="s"/>
      <c r="I139" s="469">
        <v>1</v>
      </c>
      <c r="J139" s="407">
        <f>=AC139</f>
        <v>0</v>
      </c>
      <c r="K139" s="83">
        <f>=S139</f>
        <v>29300</v>
      </c>
      <c r="L139" s="80">
        <f>=K139*I139</f>
        <v>29300</v>
      </c>
      <c r="M139" s="398" t="s"/>
      <c r="N139" s="398" t="s"/>
      <c r="O139" s="398">
        <v>80000</v>
      </c>
      <c r="P139" s="398" t="s"/>
      <c r="Q139" s="398" t="s"/>
      <c r="R139" s="538">
        <f>=AVERAGE(X139,AD139,AJ139,AP139)</f>
        <v>52700</v>
      </c>
      <c r="S139" s="399">
        <f>=MIN(X139,AD139,AJ139,AP139)</f>
        <v>29300</v>
      </c>
      <c r="T139" s="41" t="s">
        <v>615</v>
      </c>
      <c r="U139" s="41" t="s">
        <v>616</v>
      </c>
      <c r="V139" s="429">
        <v>102000</v>
      </c>
      <c r="W139" s="383">
        <v>0.1</v>
      </c>
      <c r="X139" s="384">
        <f>=V139*(1-W139)</f>
        <v>91800</v>
      </c>
      <c r="Y139" s="391">
        <f>=V139*I139</f>
        <v>102000</v>
      </c>
      <c r="Z139" s="41" t="s">
        <v>617</v>
      </c>
      <c r="AA139" s="41" t="s">
        <v>618</v>
      </c>
      <c r="AB139" s="41">
        <v>29300</v>
      </c>
      <c r="AC139" s="383">
        <v>0</v>
      </c>
      <c r="AD139" s="41">
        <f>=AB139*(1-AC139)</f>
        <v>29300</v>
      </c>
      <c r="AE139" s="41">
        <f>=AB139*I139</f>
        <v>29300</v>
      </c>
      <c r="AF139" s="41" t="s">
        <v>619</v>
      </c>
      <c r="AG139" s="41" t="s">
        <v>620</v>
      </c>
      <c r="AH139" s="41">
        <v>37000</v>
      </c>
      <c r="AI139" s="387">
        <v>0</v>
      </c>
      <c r="AJ139" s="41">
        <f>=AH139*(1-AI139)</f>
        <v>37000</v>
      </c>
      <c r="AK139" s="41">
        <f>=AH139*I139</f>
        <v>37000</v>
      </c>
      <c r="AL139" s="41" t="s"/>
      <c r="AM139" s="41" t="s"/>
      <c r="AN139" s="41" t="s"/>
      <c r="AO139" s="41" t="s"/>
      <c r="AP139" s="41" t="s"/>
      <c r="AQ139" s="41" t="s"/>
    </row>
    <row r="140" spans="1:43" customHeight="false">
      <c r="A140" s="544" t="s">
        <v>912</v>
      </c>
      <c r="B140" s="545" t="s">
        <v>913</v>
      </c>
      <c r="C140" s="546" t="s"/>
      <c r="D140" s="454" t="s"/>
      <c r="E140" s="547" t="s"/>
      <c r="F140" s="547" t="s"/>
      <c r="G140" s="547" t="s"/>
      <c r="H140" s="548" t="s"/>
      <c r="I140" s="394" t="s"/>
      <c r="J140" s="502" t="s"/>
      <c r="K140" s="503" t="s"/>
      <c r="L140" s="503" t="s"/>
      <c r="M140" s="397" t="s"/>
      <c r="N140" s="397" t="s"/>
      <c r="O140" s="397" t="s"/>
      <c r="P140" s="397" t="s"/>
      <c r="Q140" s="397" t="s"/>
      <c r="R140" s="398" t="s"/>
      <c r="S140" s="399" t="s"/>
      <c r="T140" s="549" t="s"/>
      <c r="U140" s="549" t="s"/>
      <c r="V140" s="549" t="s"/>
      <c r="W140" s="505" t="s"/>
      <c r="X140" s="506" t="s"/>
      <c r="Y140" s="549" t="s"/>
      <c r="Z140" s="550" t="s"/>
      <c r="AA140" s="550" t="s"/>
      <c r="AB140" s="549" t="s"/>
      <c r="AC140" s="505" t="s"/>
      <c r="AD140" s="41" t="s"/>
      <c r="AE140" s="549" t="s"/>
      <c r="AF140" s="549" t="s"/>
      <c r="AG140" s="549" t="s"/>
      <c r="AH140" s="143" t="s"/>
      <c r="AI140" s="507" t="s"/>
      <c r="AJ140" s="61" t="s"/>
      <c r="AK140" s="143" t="s"/>
      <c r="AL140" s="549" t="s"/>
      <c r="AM140" s="549" t="s"/>
      <c r="AN140" s="549" t="s"/>
      <c r="AO140" s="508" t="s"/>
      <c r="AP140" s="508" t="s"/>
      <c r="AQ140" s="549" t="s"/>
    </row>
    <row r="141" spans="1:43" s="999" customHeight="false">
      <c r="A141" s="409">
        <v>1</v>
      </c>
      <c r="B141" s="410" t="s">
        <v>914</v>
      </c>
      <c r="C141" s="410" t="s"/>
      <c r="D141" s="410" t="s">
        <v>915</v>
      </c>
      <c r="E141" s="475" t="s">
        <v>45</v>
      </c>
      <c r="F141" s="404">
        <v>2</v>
      </c>
      <c r="G141" s="404">
        <v>9702.609</v>
      </c>
      <c r="H141" s="405" t="s"/>
      <c r="I141" s="404">
        <v>2</v>
      </c>
      <c r="J141" s="407">
        <f>=W141</f>
        <v>0.35</v>
      </c>
      <c r="K141" s="83">
        <f>=S141</f>
        <v>22568</v>
      </c>
      <c r="L141" s="80">
        <f>=K141*I141</f>
        <v>45136</v>
      </c>
      <c r="M141" s="398" t="s"/>
      <c r="N141" s="398" t="s"/>
      <c r="O141" s="398" t="s"/>
      <c r="P141" s="398" t="s"/>
      <c r="Q141" s="398" t="s"/>
      <c r="R141" s="538">
        <f>=AVERAGE(X141,AD141,AJ141,AP141)</f>
        <v>35825.3333333333</v>
      </c>
      <c r="S141" s="399">
        <f>=MIN(X141,AD141,AJ141,AP141)</f>
        <v>22568</v>
      </c>
      <c r="T141" s="400" t="s">
        <v>625</v>
      </c>
      <c r="U141" s="400" t="s">
        <v>626</v>
      </c>
      <c r="V141" s="429">
        <v>34720</v>
      </c>
      <c r="W141" s="383">
        <v>0.35</v>
      </c>
      <c r="X141" s="384">
        <f>=V141*(1-W141)</f>
        <v>22568</v>
      </c>
      <c r="Y141" s="391">
        <f>=V141*I141</f>
        <v>69440</v>
      </c>
      <c r="Z141" s="400" t="s">
        <v>627</v>
      </c>
      <c r="AA141" s="400" t="s">
        <v>628</v>
      </c>
      <c r="AB141" s="41">
        <v>53112</v>
      </c>
      <c r="AC141" s="383" t="s"/>
      <c r="AD141" s="41">
        <f>=AB141*(1-AC141)</f>
        <v>53112</v>
      </c>
      <c r="AE141" s="41">
        <f>=AB141*I141</f>
        <v>106224</v>
      </c>
      <c r="AF141" s="41" t="s">
        <v>629</v>
      </c>
      <c r="AG141" s="41" t="s">
        <v>630</v>
      </c>
      <c r="AH141" s="41">
        <v>31796</v>
      </c>
      <c r="AI141" s="387" t="s"/>
      <c r="AJ141" s="41">
        <f>=AH141*(1-AI141)</f>
        <v>31796</v>
      </c>
      <c r="AK141" s="41">
        <f>=AH141*I141</f>
        <v>63592</v>
      </c>
      <c r="AL141" s="41" t="s"/>
      <c r="AM141" s="41" t="s"/>
      <c r="AN141" s="41" t="s"/>
      <c r="AO141" s="41" t="s"/>
      <c r="AP141" s="41" t="s"/>
      <c r="AQ141" s="41" t="s"/>
    </row>
    <row r="142" spans="1:43" s="999" customHeight="false">
      <c r="A142" s="476">
        <v>2</v>
      </c>
      <c r="B142" s="420" t="s">
        <v>916</v>
      </c>
      <c r="C142" s="420" t="s"/>
      <c r="D142" s="420" t="s">
        <v>917</v>
      </c>
      <c r="E142" s="475" t="s">
        <v>45</v>
      </c>
      <c r="F142" s="429">
        <v>1</v>
      </c>
      <c r="G142" s="429">
        <v>2364.3</v>
      </c>
      <c r="H142" s="445" t="s"/>
      <c r="I142" s="429">
        <v>1</v>
      </c>
      <c r="J142" s="446">
        <f>=W142</f>
        <v>0.35</v>
      </c>
      <c r="K142" s="37">
        <f>=S142</f>
        <v>1355.9</v>
      </c>
      <c r="L142" s="80">
        <f>=K142*I142</f>
        <v>1355.9</v>
      </c>
      <c r="M142" s="398" t="s"/>
      <c r="N142" s="398" t="s"/>
      <c r="O142" s="398" t="s"/>
      <c r="P142" s="398" t="s"/>
      <c r="Q142" s="398" t="s"/>
      <c r="R142" s="447">
        <f>=AVERAGE(X142,AD142,AJ142,AP142)</f>
        <v>4725.96666666667</v>
      </c>
      <c r="S142" s="399">
        <f>=MIN(X142,AD142,AJ142,AP142)</f>
        <v>1355.9</v>
      </c>
      <c r="T142" s="400" t="s">
        <v>625</v>
      </c>
      <c r="U142" s="400" t="s">
        <v>626</v>
      </c>
      <c r="V142" s="429">
        <v>2086</v>
      </c>
      <c r="W142" s="383">
        <v>0.35</v>
      </c>
      <c r="X142" s="384">
        <f>=V142*(1-W142)</f>
        <v>1355.9</v>
      </c>
      <c r="Y142" s="391">
        <f>=V142*I142</f>
        <v>2086</v>
      </c>
      <c r="Z142" s="41" t="s">
        <v>627</v>
      </c>
      <c r="AA142" s="41" t="s">
        <v>628</v>
      </c>
      <c r="AB142" s="41">
        <v>11364</v>
      </c>
      <c r="AC142" s="383" t="s"/>
      <c r="AD142" s="41">
        <f>=AB142*(1-AC142)</f>
        <v>11364</v>
      </c>
      <c r="AE142" s="41">
        <f>=AB142*I142</f>
        <v>11364</v>
      </c>
      <c r="AF142" s="41" t="s">
        <v>629</v>
      </c>
      <c r="AG142" s="41" t="s">
        <v>630</v>
      </c>
      <c r="AH142" s="41">
        <v>1458</v>
      </c>
      <c r="AI142" s="387" t="s"/>
      <c r="AJ142" s="41">
        <f>=AH142*(1-AI142)</f>
        <v>1458</v>
      </c>
      <c r="AK142" s="41">
        <f>=AH142*I142</f>
        <v>1458</v>
      </c>
      <c r="AL142" s="41" t="s"/>
      <c r="AM142" s="41" t="s"/>
      <c r="AN142" s="41" t="s"/>
      <c r="AO142" s="41" t="s"/>
      <c r="AP142" s="41" t="s"/>
      <c r="AQ142" s="41" t="s"/>
    </row>
    <row r="143" spans="1:43" s="999" customHeight="false">
      <c r="A143" s="476">
        <v>3</v>
      </c>
      <c r="B143" s="420" t="s">
        <v>918</v>
      </c>
      <c r="C143" s="420" t="s"/>
      <c r="D143" s="420" t="s">
        <v>915</v>
      </c>
      <c r="E143" s="475" t="s">
        <v>45</v>
      </c>
      <c r="F143" s="429">
        <v>4</v>
      </c>
      <c r="G143" s="429">
        <v>1409.915</v>
      </c>
      <c r="H143" s="445" t="s"/>
      <c r="I143" s="429">
        <v>4</v>
      </c>
      <c r="J143" s="446">
        <f>=AI143</f>
        <v>0</v>
      </c>
      <c r="K143" s="37">
        <f>=AJ143</f>
        <v>8690</v>
      </c>
      <c r="L143" s="80">
        <f>=K143*I143</f>
        <v>34760</v>
      </c>
      <c r="M143" s="398" t="s"/>
      <c r="N143" s="398" t="s"/>
      <c r="O143" s="398" t="s">
        <v>919</v>
      </c>
      <c r="P143" s="398" t="s"/>
      <c r="Q143" s="398" t="s"/>
      <c r="R143" s="447">
        <f>=AVERAGE(X143,AD143,AJ143,AP143)</f>
        <v>12776.2166666667</v>
      </c>
      <c r="S143" s="399">
        <f>=MIN(X143,AD143,AJ143,AP143)</f>
        <v>8690</v>
      </c>
      <c r="T143" s="400" t="s">
        <v>625</v>
      </c>
      <c r="U143" s="400" t="s">
        <v>626</v>
      </c>
      <c r="V143" s="429">
        <v>15081</v>
      </c>
      <c r="W143" s="383">
        <v>0.35</v>
      </c>
      <c r="X143" s="384">
        <f>=V143*(1-W143)</f>
        <v>9802.65</v>
      </c>
      <c r="Y143" s="391">
        <f>=V143*I143</f>
        <v>60324</v>
      </c>
      <c r="Z143" s="41" t="s">
        <v>627</v>
      </c>
      <c r="AA143" s="41" t="s">
        <v>628</v>
      </c>
      <c r="AB143" s="41">
        <v>19836</v>
      </c>
      <c r="AC143" s="383" t="s"/>
      <c r="AD143" s="41">
        <f>=AB143*(1-AC143)</f>
        <v>19836</v>
      </c>
      <c r="AE143" s="41">
        <f>=AB143*I143</f>
        <v>79344</v>
      </c>
      <c r="AF143" s="41" t="s">
        <v>629</v>
      </c>
      <c r="AG143" s="41" t="s">
        <v>630</v>
      </c>
      <c r="AH143" s="41">
        <v>8690</v>
      </c>
      <c r="AI143" s="387" t="s"/>
      <c r="AJ143" s="41">
        <f>=AH143*(1-AI143)</f>
        <v>8690</v>
      </c>
      <c r="AK143" s="41">
        <f>=AH143*I143</f>
        <v>34760</v>
      </c>
      <c r="AL143" s="41" t="s"/>
      <c r="AM143" s="41" t="s"/>
      <c r="AN143" s="41" t="s"/>
      <c r="AO143" s="41" t="s"/>
      <c r="AP143" s="41" t="s"/>
      <c r="AQ143" s="41" t="s"/>
    </row>
    <row r="144" spans="1:43" s="999" customHeight="false">
      <c r="A144" s="476">
        <v>4</v>
      </c>
      <c r="B144" s="420" t="s">
        <v>918</v>
      </c>
      <c r="C144" s="420" t="s"/>
      <c r="D144" s="420" t="s">
        <v>917</v>
      </c>
      <c r="E144" s="475" t="s">
        <v>45</v>
      </c>
      <c r="F144" s="429">
        <v>4</v>
      </c>
      <c r="G144" s="429">
        <v>97.49</v>
      </c>
      <c r="H144" s="445" t="s"/>
      <c r="I144" s="429">
        <v>4</v>
      </c>
      <c r="J144" s="446">
        <f>=AI144</f>
        <v>0</v>
      </c>
      <c r="K144" s="37">
        <f>=AJ144</f>
        <v>1428</v>
      </c>
      <c r="L144" s="80">
        <f>=K144*I144</f>
        <v>5712</v>
      </c>
      <c r="M144" s="398" t="s"/>
      <c r="N144" s="398" t="s"/>
      <c r="O144" s="398" t="s"/>
      <c r="P144" s="398" t="s"/>
      <c r="Q144" s="398" t="s"/>
      <c r="R144" s="447">
        <f>=AVERAGE(X144,AD144,AJ144,AP144)</f>
        <v>2453.45</v>
      </c>
      <c r="S144" s="399">
        <f>=MIN(X144,AD144,AJ144,AP144)</f>
        <v>1428</v>
      </c>
      <c r="T144" s="400" t="s">
        <v>625</v>
      </c>
      <c r="U144" s="400" t="s">
        <v>626</v>
      </c>
      <c r="V144" s="429">
        <v>2439</v>
      </c>
      <c r="W144" s="383">
        <v>0.35</v>
      </c>
      <c r="X144" s="384">
        <f>=V144*(1-W144)</f>
        <v>1585.35</v>
      </c>
      <c r="Y144" s="391">
        <f>=V144*I144</f>
        <v>9756</v>
      </c>
      <c r="Z144" s="41" t="s">
        <v>627</v>
      </c>
      <c r="AA144" s="41" t="s">
        <v>628</v>
      </c>
      <c r="AB144" s="41">
        <v>4347</v>
      </c>
      <c r="AC144" s="383" t="s"/>
      <c r="AD144" s="41">
        <f>=AB144*(1-AC144)</f>
        <v>4347</v>
      </c>
      <c r="AE144" s="41">
        <f>=AB144*I144</f>
        <v>17388</v>
      </c>
      <c r="AF144" s="41" t="s">
        <v>629</v>
      </c>
      <c r="AG144" s="41" t="s">
        <v>630</v>
      </c>
      <c r="AH144" s="41">
        <v>1428</v>
      </c>
      <c r="AI144" s="387" t="s"/>
      <c r="AJ144" s="41">
        <f>=AH144*(1-AI144)</f>
        <v>1428</v>
      </c>
      <c r="AK144" s="41">
        <f>=AH144*I144</f>
        <v>5712</v>
      </c>
      <c r="AL144" s="41" t="s"/>
      <c r="AM144" s="41" t="s"/>
      <c r="AN144" s="41" t="s"/>
      <c r="AO144" s="41" t="s"/>
      <c r="AP144" s="41" t="s"/>
      <c r="AQ144" s="41" t="s"/>
    </row>
    <row r="145" spans="1:39" s="9" customHeight="false">
      <c r="A145" s="409">
        <v>5</v>
      </c>
      <c r="B145" s="551" t="s">
        <v>611</v>
      </c>
      <c r="C145" s="551" t="s"/>
      <c r="D145" s="552" t="s">
        <v>920</v>
      </c>
      <c r="E145" s="553" t="s">
        <v>32</v>
      </c>
      <c r="F145" s="553">
        <v>1</v>
      </c>
      <c r="G145" s="553">
        <v>20700</v>
      </c>
      <c r="H145" s="553" t="s"/>
      <c r="I145" s="553">
        <v>1</v>
      </c>
      <c r="J145" s="37">
        <v>0</v>
      </c>
      <c r="K145" s="37">
        <v>27500</v>
      </c>
      <c r="L145" s="37">
        <f>=K145*I145</f>
        <v>27500</v>
      </c>
      <c r="M145" s="398" t="s"/>
      <c r="N145" s="398" t="s"/>
      <c r="O145" s="398" t="s"/>
      <c r="P145" s="398" t="s"/>
      <c r="Q145" s="398" t="s"/>
      <c r="R145" s="447">
        <f>=AVERAGE(X145,AD145,AJ145,AP145)</f>
        <v>0</v>
      </c>
      <c r="S145" s="462">
        <f>=MIN(X145,AD145,AJ145,AP145)</f>
        <v>0</v>
      </c>
      <c r="T145" s="554" t="s"/>
      <c r="U145" s="554" t="s"/>
      <c r="V145" s="554" t="s"/>
      <c r="W145" s="555" t="s"/>
      <c r="X145" s="384">
        <f>=V145*(1-W145)</f>
        <v>0</v>
      </c>
      <c r="Y145" s="554" t="s"/>
      <c r="Z145" s="554" t="s"/>
      <c r="AA145" s="554" t="s"/>
      <c r="AB145" s="554" t="s"/>
      <c r="AC145" s="555" t="s"/>
      <c r="AD145" s="41">
        <f>=AB145*(1-AC145)</f>
        <v>0</v>
      </c>
      <c r="AE145" s="554" t="s"/>
      <c r="AF145" s="554" t="s"/>
      <c r="AG145" s="554" t="s"/>
      <c r="AH145" s="554" t="s"/>
      <c r="AI145" s="556" t="s"/>
      <c r="AJ145" s="124" t="s"/>
      <c r="AK145" s="554" t="s"/>
      <c r="AL145" s="554" t="s"/>
      <c r="AM145" s="554" t="s"/>
    </row>
    <row r="146" spans="1:39" s="9" customHeight="false">
      <c r="A146" s="409">
        <v>6</v>
      </c>
      <c r="B146" s="551" t="s">
        <v>611</v>
      </c>
      <c r="C146" s="551" t="s"/>
      <c r="D146" s="552" t="s">
        <v>921</v>
      </c>
      <c r="E146" s="553" t="s">
        <v>32</v>
      </c>
      <c r="F146" s="553">
        <v>1</v>
      </c>
      <c r="G146" s="553">
        <v>20700</v>
      </c>
      <c r="H146" s="553" t="s"/>
      <c r="I146" s="553">
        <v>1</v>
      </c>
      <c r="J146" s="37">
        <v>0</v>
      </c>
      <c r="K146" s="37">
        <v>27500</v>
      </c>
      <c r="L146" s="37">
        <f>=K146*I146</f>
        <v>27500</v>
      </c>
      <c r="M146" s="398" t="s"/>
      <c r="N146" s="398" t="s"/>
      <c r="O146" s="398" t="s"/>
      <c r="P146" s="398" t="s"/>
      <c r="Q146" s="398" t="s"/>
      <c r="R146" s="447">
        <f>=AVERAGE(X146,AD146,AJ146,AP146)</f>
        <v>0</v>
      </c>
      <c r="S146" s="462">
        <f>=MIN(X146,AD146,AJ146,AP146)</f>
        <v>0</v>
      </c>
      <c r="T146" s="554" t="s"/>
      <c r="U146" s="554" t="s"/>
      <c r="V146" s="554" t="s"/>
      <c r="W146" s="555" t="s"/>
      <c r="X146" s="384">
        <f>=V146*(1-W146)</f>
        <v>0</v>
      </c>
      <c r="Y146" s="554" t="s"/>
      <c r="Z146" s="554" t="s"/>
      <c r="AA146" s="554" t="s"/>
      <c r="AB146" s="554" t="s"/>
      <c r="AC146" s="555" t="s"/>
      <c r="AD146" s="41">
        <f>=AB146*(1-AC146)</f>
        <v>0</v>
      </c>
      <c r="AE146" s="554" t="s"/>
      <c r="AF146" s="554" t="s"/>
      <c r="AG146" s="554" t="s"/>
      <c r="AH146" s="554" t="s"/>
      <c r="AI146" s="556" t="s"/>
      <c r="AJ146" s="124" t="s"/>
      <c r="AK146" s="554" t="s"/>
      <c r="AL146" s="554" t="s"/>
      <c r="AM146" s="554" t="s"/>
    </row>
    <row r="147" spans="1:39" s="9" customHeight="false">
      <c r="A147" s="409">
        <v>7</v>
      </c>
      <c r="B147" s="551" t="s">
        <v>922</v>
      </c>
      <c r="C147" s="551" t="s"/>
      <c r="D147" s="552" t="s">
        <v>923</v>
      </c>
      <c r="E147" s="553" t="s">
        <v>32</v>
      </c>
      <c r="F147" s="553">
        <v>6</v>
      </c>
      <c r="G147" s="553">
        <v>5300</v>
      </c>
      <c r="H147" s="553" t="s"/>
      <c r="I147" s="553">
        <v>6</v>
      </c>
      <c r="J147" s="37">
        <v>0</v>
      </c>
      <c r="K147" s="37">
        <f>=S147</f>
        <v>8501</v>
      </c>
      <c r="L147" s="37">
        <f>=K147*I147</f>
        <v>51006</v>
      </c>
      <c r="M147" s="398" t="s"/>
      <c r="N147" s="398" t="s"/>
      <c r="O147" s="398" t="s">
        <v>924</v>
      </c>
      <c r="P147" s="398" t="s"/>
      <c r="Q147" s="398" t="s"/>
      <c r="R147" s="447">
        <f>=AVERAGE(X147,AD147,AJ147,AP147)</f>
        <v>8501</v>
      </c>
      <c r="S147" s="399">
        <f>=MIN(X147,AD147,AJ147,AP147)</f>
        <v>8501</v>
      </c>
      <c r="T147" s="41" t="s">
        <v>837</v>
      </c>
      <c r="U147" s="41" t="s">
        <v>838</v>
      </c>
      <c r="V147" s="404">
        <v>8501</v>
      </c>
      <c r="W147" s="424">
        <v>0</v>
      </c>
      <c r="X147" s="384">
        <f>=V147*(1-W147)</f>
        <v>8501</v>
      </c>
      <c r="Y147" s="404">
        <f>=V147*I147</f>
        <v>51006</v>
      </c>
      <c r="Z147" s="554" t="s"/>
      <c r="AA147" s="554" t="s"/>
      <c r="AB147" s="554" t="s"/>
      <c r="AC147" s="555" t="s"/>
      <c r="AD147" s="41" t="s"/>
      <c r="AE147" s="554" t="s"/>
      <c r="AF147" s="554" t="s"/>
      <c r="AG147" s="554" t="s"/>
      <c r="AH147" s="554" t="s"/>
      <c r="AI147" s="556" t="s"/>
      <c r="AJ147" s="124" t="s"/>
      <c r="AK147" s="554" t="s"/>
      <c r="AL147" s="554" t="s"/>
      <c r="AM147" s="554" t="s"/>
    </row>
    <row r="148" spans="1:39" s="9" customHeight="false">
      <c r="A148" s="409">
        <v>8</v>
      </c>
      <c r="B148" s="551" t="s">
        <v>925</v>
      </c>
      <c r="C148" s="551" t="s"/>
      <c r="D148" s="552" t="s">
        <v>926</v>
      </c>
      <c r="E148" s="553" t="s">
        <v>32</v>
      </c>
      <c r="F148" s="553">
        <v>4</v>
      </c>
      <c r="G148" s="553">
        <v>9000</v>
      </c>
      <c r="H148" s="553" t="s"/>
      <c r="I148" s="553">
        <v>4</v>
      </c>
      <c r="J148" s="37">
        <f>=W148</f>
        <v>0</v>
      </c>
      <c r="K148" s="37">
        <f>=X148</f>
        <v>7762</v>
      </c>
      <c r="L148" s="37">
        <f>=K148*I148</f>
        <v>31048</v>
      </c>
      <c r="M148" s="398" t="s"/>
      <c r="N148" s="398" t="s"/>
      <c r="O148" s="398">
        <v>7400</v>
      </c>
      <c r="P148" s="398" t="s"/>
      <c r="Q148" s="398" t="s"/>
      <c r="R148" s="447">
        <f>=AVERAGE(X148,AD148,AJ148,AP148)</f>
        <v>7762</v>
      </c>
      <c r="S148" s="462">
        <f>=MIN(X148,AD148,AJ148,AP148)</f>
        <v>7762</v>
      </c>
      <c r="T148" s="41" t="s">
        <v>837</v>
      </c>
      <c r="U148" s="41" t="s">
        <v>838</v>
      </c>
      <c r="V148" s="404">
        <v>7762</v>
      </c>
      <c r="W148" s="424">
        <v>0</v>
      </c>
      <c r="X148" s="384">
        <f>=V148*(1-W148)</f>
        <v>7762</v>
      </c>
      <c r="Y148" s="404">
        <f>=V148*I148</f>
        <v>31048</v>
      </c>
      <c r="Z148" s="554" t="s"/>
      <c r="AA148" s="554" t="s"/>
      <c r="AB148" s="554" t="s"/>
      <c r="AC148" s="555" t="s"/>
      <c r="AD148" s="41" t="s"/>
      <c r="AE148" s="554" t="s"/>
      <c r="AF148" s="554" t="s"/>
      <c r="AG148" s="554" t="s"/>
      <c r="AH148" s="554" t="s"/>
      <c r="AI148" s="556" t="s"/>
      <c r="AJ148" s="124" t="s"/>
      <c r="AK148" s="554" t="s"/>
      <c r="AL148" s="554" t="s"/>
      <c r="AM148" s="554" t="s"/>
    </row>
    <row r="149" spans="1:39" customHeight="false">
      <c r="A149" s="557" t="s"/>
      <c r="B149" s="558" t="s"/>
      <c r="C149" s="558" t="s"/>
      <c r="D149" s="559" t="s"/>
      <c r="E149" s="557" t="s"/>
      <c r="F149" s="557" t="s"/>
      <c r="G149" s="557" t="s"/>
      <c r="H149" s="557" t="s"/>
      <c r="I149" s="560" t="s"/>
      <c r="J149" s="561" t="s"/>
      <c r="K149" s="187" t="s"/>
      <c r="L149" s="187" t="s"/>
      <c r="M149" s="562" t="s"/>
      <c r="N149" s="562" t="s"/>
      <c r="O149" s="562" t="s"/>
      <c r="P149" s="562" t="s"/>
      <c r="Q149" s="562" t="s"/>
      <c r="R149" s="562" t="s"/>
      <c r="S149" s="563" t="s"/>
      <c r="T149" s="560" t="s"/>
      <c r="U149" s="560" t="s"/>
      <c r="V149" s="560" t="s"/>
      <c r="W149" s="564" t="s"/>
      <c r="X149" s="258" t="s"/>
      <c r="Y149" s="560" t="s"/>
      <c r="Z149" s="560" t="s"/>
      <c r="AA149" s="560" t="s"/>
      <c r="AB149" s="560" t="s"/>
      <c r="AC149" s="564" t="s"/>
      <c r="AD149" s="161" t="s"/>
      <c r="AE149" s="560" t="s"/>
      <c r="AF149" s="560" t="s"/>
      <c r="AG149" s="560" t="s"/>
      <c r="AH149" s="560" t="s"/>
      <c r="AI149" s="565" t="s"/>
      <c r="AJ149" s="161" t="s"/>
      <c r="AK149" s="560" t="s"/>
      <c r="AL149" s="560" t="s"/>
      <c r="AM149" s="560" t="s"/>
    </row>
    <row r="150" spans="1:39" customHeight="false">
      <c r="A150" s="557" t="s"/>
      <c r="B150" s="558" t="s"/>
      <c r="C150" s="558" t="s"/>
      <c r="D150" s="559" t="s"/>
      <c r="E150" s="557" t="s"/>
      <c r="F150" s="557" t="s"/>
      <c r="G150" s="557" t="s"/>
      <c r="H150" s="557" t="s"/>
      <c r="I150" s="560" t="s"/>
      <c r="J150" s="561" t="s"/>
      <c r="K150" s="187" t="s"/>
      <c r="L150" s="187" t="s"/>
      <c r="M150" s="562" t="s"/>
      <c r="N150" s="562" t="s"/>
      <c r="O150" s="562" t="s"/>
      <c r="P150" s="562" t="s"/>
      <c r="Q150" s="562" t="s"/>
      <c r="R150" s="562" t="s"/>
      <c r="S150" s="563" t="s"/>
      <c r="T150" s="560" t="s"/>
      <c r="U150" s="560" t="s"/>
      <c r="V150" s="560" t="s"/>
      <c r="W150" s="564" t="s"/>
      <c r="X150" s="258" t="s"/>
      <c r="Y150" s="560" t="s"/>
      <c r="Z150" s="560" t="s"/>
      <c r="AA150" s="560" t="s"/>
      <c r="AB150" s="560" t="s"/>
      <c r="AC150" s="564" t="s"/>
      <c r="AD150" s="161" t="s"/>
      <c r="AE150" s="560" t="s"/>
      <c r="AF150" s="560" t="s"/>
      <c r="AG150" s="560" t="s"/>
      <c r="AH150" s="560" t="s"/>
      <c r="AI150" s="565" t="s"/>
      <c r="AJ150" s="161" t="s"/>
      <c r="AK150" s="560" t="s"/>
      <c r="AL150" s="560" t="s"/>
      <c r="AM150" s="560" t="s"/>
    </row>
    <row r="151" spans="1:39" customHeight="false">
      <c r="A151" s="557" t="s"/>
      <c r="B151" s="558" t="s"/>
      <c r="C151" s="558" t="s"/>
      <c r="D151" s="559" t="s"/>
      <c r="E151" s="557" t="s"/>
      <c r="F151" s="557" t="s"/>
      <c r="G151" s="557" t="s"/>
      <c r="H151" s="557" t="s"/>
      <c r="I151" s="560" t="s"/>
      <c r="J151" s="561" t="s"/>
      <c r="K151" s="187" t="s"/>
      <c r="L151" s="187" t="s"/>
      <c r="M151" s="562" t="s"/>
      <c r="N151" s="562" t="s"/>
      <c r="O151" s="562" t="s"/>
      <c r="P151" s="562" t="s"/>
      <c r="Q151" s="562" t="s"/>
      <c r="R151" s="562" t="s"/>
      <c r="S151" s="563" t="s"/>
      <c r="T151" s="560" t="s"/>
      <c r="U151" s="560" t="s"/>
      <c r="V151" s="560" t="s"/>
      <c r="W151" s="564" t="s"/>
      <c r="X151" s="258" t="s"/>
      <c r="Y151" s="560" t="s"/>
      <c r="Z151" s="560" t="s"/>
      <c r="AA151" s="560" t="s"/>
      <c r="AB151" s="560" t="s"/>
      <c r="AC151" s="564" t="s"/>
      <c r="AD151" s="161" t="s"/>
      <c r="AE151" s="560" t="s"/>
      <c r="AF151" s="560" t="s"/>
      <c r="AG151" s="560" t="s"/>
      <c r="AH151" s="560" t="s"/>
      <c r="AI151" s="565" t="s"/>
      <c r="AJ151" s="161" t="s"/>
      <c r="AK151" s="560" t="s"/>
      <c r="AL151" s="560" t="s"/>
      <c r="AM151" s="560" t="s"/>
    </row>
    <row r="152" spans="1:39" customHeight="false">
      <c r="A152" s="557" t="s"/>
      <c r="B152" s="558" t="s"/>
      <c r="C152" s="558" t="s"/>
      <c r="D152" s="559" t="s"/>
      <c r="E152" s="557" t="s"/>
      <c r="F152" s="557" t="s"/>
      <c r="G152" s="557" t="s"/>
      <c r="H152" s="557" t="s"/>
      <c r="I152" s="560" t="s"/>
      <c r="J152" s="561" t="s"/>
      <c r="K152" s="187" t="s"/>
      <c r="L152" s="187" t="s"/>
      <c r="M152" s="562" t="s"/>
      <c r="N152" s="562" t="s"/>
      <c r="O152" s="562" t="s"/>
      <c r="P152" s="562" t="s"/>
      <c r="Q152" s="562" t="s"/>
      <c r="R152" s="562" t="s"/>
      <c r="S152" s="563" t="s"/>
      <c r="T152" s="560" t="s"/>
      <c r="U152" s="560" t="s"/>
      <c r="V152" s="560" t="s"/>
      <c r="W152" s="564" t="s"/>
      <c r="X152" s="258" t="s"/>
      <c r="Y152" s="560" t="s"/>
      <c r="Z152" s="560" t="s"/>
      <c r="AA152" s="560" t="s"/>
      <c r="AB152" s="560" t="s"/>
      <c r="AC152" s="564" t="s"/>
      <c r="AD152" s="161" t="s"/>
      <c r="AE152" s="560" t="s"/>
      <c r="AF152" s="560" t="s"/>
      <c r="AG152" s="560" t="s"/>
      <c r="AH152" s="560" t="s"/>
      <c r="AI152" s="565" t="s"/>
      <c r="AJ152" s="161" t="s"/>
      <c r="AK152" s="560" t="s"/>
      <c r="AL152" s="560" t="s"/>
      <c r="AM152" s="560" t="s"/>
    </row>
    <row r="153" spans="1:39" customHeight="false">
      <c r="A153" s="557" t="s"/>
      <c r="B153" s="558" t="s"/>
      <c r="C153" s="558" t="s"/>
      <c r="D153" s="559" t="s"/>
      <c r="E153" s="557" t="s"/>
      <c r="F153" s="557" t="s"/>
      <c r="G153" s="557" t="s"/>
      <c r="H153" s="557" t="s"/>
      <c r="I153" s="560" t="s"/>
      <c r="J153" s="561" t="s"/>
      <c r="K153" s="187" t="s"/>
      <c r="L153" s="187" t="s"/>
      <c r="M153" s="562" t="s"/>
      <c r="N153" s="562" t="s"/>
      <c r="O153" s="562" t="s"/>
      <c r="P153" s="562" t="s"/>
      <c r="Q153" s="562" t="s"/>
      <c r="R153" s="562" t="s"/>
      <c r="S153" s="563" t="s"/>
      <c r="T153" s="560" t="s"/>
      <c r="U153" s="560" t="s"/>
      <c r="V153" s="560" t="s"/>
      <c r="W153" s="564" t="s"/>
      <c r="X153" s="258" t="s">
        <v>927</v>
      </c>
      <c r="Y153" s="560" t="s"/>
      <c r="Z153" s="560" t="s"/>
      <c r="AA153" s="560" t="s"/>
      <c r="AB153" s="560" t="s"/>
      <c r="AC153" s="564" t="s"/>
      <c r="AD153" s="161" t="s"/>
      <c r="AE153" s="560" t="s"/>
      <c r="AF153" s="560" t="s"/>
      <c r="AG153" s="560" t="s"/>
      <c r="AH153" s="560" t="s"/>
      <c r="AI153" s="565" t="s"/>
      <c r="AJ153" s="161" t="s"/>
      <c r="AK153" s="560" t="s"/>
      <c r="AL153" s="560" t="s"/>
      <c r="AM153" s="560" t="s"/>
    </row>
    <row r="154" spans="1:39" customHeight="false">
      <c r="A154" s="557" t="s"/>
      <c r="B154" s="558" t="s"/>
      <c r="C154" s="558" t="s"/>
      <c r="D154" s="559" t="s"/>
      <c r="E154" s="557" t="s"/>
      <c r="F154" s="557" t="s"/>
      <c r="G154" s="557" t="s"/>
      <c r="H154" s="557" t="s"/>
      <c r="I154" s="560" t="s"/>
      <c r="J154" s="561" t="s"/>
      <c r="K154" s="187" t="s"/>
      <c r="L154" s="187" t="s"/>
      <c r="M154" s="562" t="s"/>
      <c r="N154" s="562" t="s"/>
      <c r="O154" s="562" t="s"/>
      <c r="P154" s="562" t="s"/>
      <c r="Q154" s="562" t="s"/>
      <c r="R154" s="562" t="s"/>
      <c r="S154" s="563" t="s"/>
      <c r="T154" s="560" t="s"/>
      <c r="U154" s="560" t="s"/>
      <c r="V154" s="560" t="s"/>
      <c r="W154" s="564" t="s"/>
      <c r="X154" s="258" t="s"/>
      <c r="Y154" s="560" t="s"/>
      <c r="Z154" s="560" t="s"/>
      <c r="AA154" s="560" t="s"/>
      <c r="AB154" s="560" t="s"/>
      <c r="AC154" s="564" t="s"/>
      <c r="AD154" s="161" t="s"/>
      <c r="AE154" s="560" t="s"/>
      <c r="AF154" s="560" t="s"/>
      <c r="AG154" s="560" t="s"/>
      <c r="AH154" s="560" t="s"/>
      <c r="AI154" s="565" t="s"/>
      <c r="AJ154" s="161" t="s"/>
      <c r="AK154" s="560" t="s"/>
      <c r="AL154" s="560" t="s"/>
      <c r="AM154" s="560" t="s"/>
    </row>
    <row r="155" spans="1:39" customHeight="false">
      <c r="A155" s="557" t="s"/>
      <c r="B155" s="558" t="s"/>
      <c r="C155" s="558" t="s"/>
      <c r="D155" s="559" t="s"/>
      <c r="E155" s="557" t="s"/>
      <c r="F155" s="557" t="s"/>
      <c r="G155" s="557" t="s"/>
      <c r="H155" s="557" t="s"/>
      <c r="I155" s="560" t="s"/>
      <c r="J155" s="561" t="s"/>
      <c r="K155" s="187" t="s"/>
      <c r="L155" s="187" t="s"/>
      <c r="M155" s="562" t="s"/>
      <c r="N155" s="562" t="s"/>
      <c r="O155" s="562" t="s"/>
      <c r="P155" s="562" t="s"/>
      <c r="Q155" s="562" t="s"/>
      <c r="R155" s="562" t="s"/>
      <c r="S155" s="563" t="s"/>
      <c r="T155" s="560" t="s"/>
      <c r="U155" s="560" t="s"/>
      <c r="V155" s="560" t="s"/>
      <c r="W155" s="564" t="s"/>
      <c r="X155" s="258" t="s"/>
      <c r="Y155" s="560" t="s"/>
      <c r="Z155" s="560" t="s"/>
      <c r="AA155" s="560" t="s"/>
      <c r="AB155" s="560" t="s"/>
      <c r="AC155" s="564" t="s"/>
      <c r="AD155" s="161" t="s"/>
      <c r="AE155" s="560" t="s"/>
      <c r="AF155" s="560" t="s"/>
      <c r="AG155" s="560" t="s"/>
      <c r="AH155" s="560" t="s"/>
      <c r="AI155" s="565" t="s"/>
      <c r="AJ155" s="161" t="s"/>
      <c r="AK155" s="560" t="s"/>
      <c r="AL155" s="560" t="s"/>
      <c r="AM155" s="560" t="s"/>
    </row>
    <row r="156" spans="1:39" customHeight="false">
      <c r="A156" s="557" t="s"/>
      <c r="B156" s="558" t="s"/>
      <c r="C156" s="558" t="s"/>
      <c r="D156" s="559" t="s"/>
      <c r="E156" s="557" t="s"/>
      <c r="F156" s="557" t="s"/>
      <c r="G156" s="557" t="s"/>
      <c r="H156" s="557" t="s"/>
      <c r="I156" s="560" t="s"/>
      <c r="J156" s="561" t="s"/>
      <c r="K156" s="187" t="s"/>
      <c r="L156" s="187" t="s"/>
      <c r="M156" s="562" t="s"/>
      <c r="N156" s="562" t="s"/>
      <c r="O156" s="562" t="s"/>
      <c r="P156" s="562" t="s"/>
      <c r="Q156" s="562" t="s"/>
      <c r="R156" s="562" t="s"/>
      <c r="S156" s="563" t="s"/>
      <c r="T156" s="560" t="s"/>
      <c r="U156" s="560" t="s"/>
      <c r="V156" s="560" t="s"/>
      <c r="W156" s="564" t="s"/>
      <c r="X156" s="258" t="s"/>
      <c r="Y156" s="560" t="s"/>
      <c r="Z156" s="560" t="s"/>
      <c r="AA156" s="560" t="s"/>
      <c r="AB156" s="560" t="s"/>
      <c r="AC156" s="564" t="s"/>
      <c r="AD156" s="161" t="s"/>
      <c r="AE156" s="560" t="s"/>
      <c r="AF156" s="560" t="s"/>
      <c r="AG156" s="560" t="s"/>
      <c r="AH156" s="560" t="s"/>
      <c r="AI156" s="565" t="s"/>
      <c r="AJ156" s="161" t="s"/>
      <c r="AK156" s="560" t="s"/>
      <c r="AL156" s="560" t="s"/>
      <c r="AM156" s="560" t="s"/>
    </row>
    <row r="157" spans="1:39" customHeight="false">
      <c r="A157" s="557" t="s"/>
      <c r="B157" s="558" t="s"/>
      <c r="C157" s="558" t="s"/>
      <c r="D157" s="559" t="s"/>
      <c r="E157" s="557" t="s"/>
      <c r="F157" s="557" t="s"/>
      <c r="G157" s="557" t="s"/>
      <c r="H157" s="557" t="s"/>
      <c r="I157" s="560" t="s"/>
      <c r="J157" s="561" t="s"/>
      <c r="K157" s="187" t="s"/>
      <c r="L157" s="187" t="s"/>
      <c r="M157" s="562" t="s"/>
      <c r="N157" s="562" t="s"/>
      <c r="O157" s="562" t="s"/>
      <c r="P157" s="562" t="s"/>
      <c r="Q157" s="562" t="s"/>
      <c r="R157" s="562" t="s"/>
      <c r="S157" s="563" t="s"/>
      <c r="T157" s="560" t="s"/>
      <c r="U157" s="560" t="s"/>
      <c r="V157" s="560" t="s"/>
      <c r="W157" s="564" t="s"/>
      <c r="X157" s="258" t="s"/>
      <c r="Y157" s="560" t="s"/>
      <c r="Z157" s="560" t="s"/>
      <c r="AA157" s="560" t="s"/>
      <c r="AB157" s="560" t="s"/>
      <c r="AC157" s="564" t="s"/>
      <c r="AD157" s="161" t="s"/>
      <c r="AE157" s="560" t="s"/>
      <c r="AF157" s="560" t="s"/>
      <c r="AG157" s="560" t="s"/>
      <c r="AH157" s="560" t="s"/>
      <c r="AI157" s="565" t="s"/>
      <c r="AJ157" s="161" t="s"/>
      <c r="AK157" s="560" t="s"/>
      <c r="AL157" s="560" t="s"/>
      <c r="AM157" s="560" t="s"/>
    </row>
    <row r="158" spans="1:39" customHeight="false">
      <c r="A158" s="557" t="s"/>
      <c r="B158" s="558" t="s"/>
      <c r="C158" s="558" t="s"/>
      <c r="D158" s="559" t="s"/>
      <c r="E158" s="557" t="s"/>
      <c r="F158" s="557" t="s"/>
      <c r="G158" s="557" t="s"/>
      <c r="H158" s="557" t="s"/>
      <c r="I158" s="560" t="s"/>
      <c r="J158" s="561" t="s"/>
      <c r="K158" s="187" t="s"/>
      <c r="L158" s="187" t="s"/>
      <c r="M158" s="562" t="s"/>
      <c r="N158" s="562" t="s"/>
      <c r="O158" s="562" t="s"/>
      <c r="P158" s="562" t="s"/>
      <c r="Q158" s="562" t="s"/>
      <c r="R158" s="562" t="s"/>
      <c r="S158" s="563" t="s"/>
      <c r="T158" s="560" t="s"/>
      <c r="U158" s="560" t="s"/>
      <c r="V158" s="560" t="s"/>
      <c r="W158" s="564" t="s"/>
      <c r="X158" s="258" t="s"/>
      <c r="Y158" s="560" t="s"/>
      <c r="Z158" s="560" t="s"/>
      <c r="AA158" s="560" t="s"/>
      <c r="AB158" s="560" t="s"/>
      <c r="AC158" s="564" t="s"/>
      <c r="AD158" s="161" t="s"/>
      <c r="AE158" s="560" t="s"/>
      <c r="AF158" s="560" t="s"/>
      <c r="AG158" s="560" t="s"/>
      <c r="AH158" s="560" t="s"/>
      <c r="AI158" s="565" t="s"/>
      <c r="AJ158" s="161" t="s"/>
      <c r="AK158" s="560" t="s"/>
      <c r="AL158" s="560" t="s"/>
      <c r="AM158" s="560" t="s"/>
    </row>
    <row r="159" spans="1:39" customHeight="false">
      <c r="A159" s="557" t="s"/>
      <c r="B159" s="558" t="s"/>
      <c r="C159" s="558" t="s"/>
      <c r="D159" s="559" t="s"/>
      <c r="E159" s="557" t="s"/>
      <c r="F159" s="557" t="s"/>
      <c r="G159" s="557" t="s"/>
      <c r="H159" s="557" t="s"/>
      <c r="I159" s="560" t="s"/>
      <c r="J159" s="561" t="s"/>
      <c r="K159" s="187" t="s"/>
      <c r="L159" s="187" t="s"/>
      <c r="M159" s="562" t="s"/>
      <c r="N159" s="562" t="s"/>
      <c r="O159" s="562" t="s"/>
      <c r="P159" s="562" t="s"/>
      <c r="Q159" s="562" t="s"/>
      <c r="R159" s="562" t="s"/>
      <c r="S159" s="563" t="s"/>
      <c r="T159" s="560" t="s"/>
      <c r="U159" s="560" t="s"/>
      <c r="V159" s="560" t="s"/>
      <c r="W159" s="564" t="s"/>
      <c r="X159" s="258" t="s"/>
      <c r="Y159" s="560" t="s"/>
      <c r="Z159" s="560" t="s"/>
      <c r="AA159" s="560" t="s"/>
      <c r="AB159" s="560" t="s"/>
      <c r="AC159" s="564" t="s"/>
      <c r="AD159" s="161" t="s"/>
      <c r="AE159" s="560" t="s"/>
      <c r="AF159" s="560" t="s"/>
      <c r="AG159" s="560" t="s"/>
      <c r="AH159" s="560" t="s"/>
      <c r="AI159" s="565" t="s"/>
      <c r="AJ159" s="161" t="s"/>
      <c r="AK159" s="560" t="s"/>
      <c r="AL159" s="560" t="s"/>
      <c r="AM159" s="560" t="s"/>
    </row>
    <row r="160" spans="1:39" customHeight="false">
      <c r="A160" s="557" t="s"/>
      <c r="B160" s="558" t="s"/>
      <c r="C160" s="558" t="s"/>
      <c r="D160" s="559" t="s"/>
      <c r="E160" s="557" t="s"/>
      <c r="F160" s="557" t="s"/>
      <c r="G160" s="557" t="s"/>
      <c r="H160" s="557" t="s"/>
      <c r="I160" s="560" t="s"/>
      <c r="J160" s="561" t="s"/>
      <c r="K160" s="187" t="s"/>
      <c r="L160" s="187" t="s"/>
      <c r="M160" s="562" t="s"/>
      <c r="N160" s="562" t="s"/>
      <c r="O160" s="562" t="s"/>
      <c r="P160" s="562" t="s"/>
      <c r="Q160" s="562" t="s"/>
      <c r="R160" s="562" t="s"/>
      <c r="S160" s="563" t="s"/>
      <c r="T160" s="560" t="s"/>
      <c r="U160" s="560" t="s"/>
      <c r="V160" s="560" t="s"/>
      <c r="W160" s="564" t="s"/>
      <c r="X160" s="258" t="s"/>
      <c r="Y160" s="560" t="s"/>
      <c r="Z160" s="560" t="s"/>
      <c r="AA160" s="560" t="s"/>
      <c r="AB160" s="560" t="s"/>
      <c r="AC160" s="564" t="s"/>
      <c r="AD160" s="161" t="s"/>
      <c r="AE160" s="560" t="s"/>
      <c r="AF160" s="560" t="s"/>
      <c r="AG160" s="560" t="s"/>
      <c r="AH160" s="560" t="s"/>
      <c r="AI160" s="565" t="s"/>
      <c r="AJ160" s="161" t="s"/>
      <c r="AK160" s="560" t="s"/>
      <c r="AL160" s="560" t="s"/>
      <c r="AM160" s="560" t="s"/>
    </row>
    <row r="161" spans="1:39" customHeight="false">
      <c r="A161" s="557" t="s"/>
      <c r="B161" s="558" t="s"/>
      <c r="C161" s="558" t="s"/>
      <c r="D161" s="559" t="s"/>
      <c r="E161" s="557" t="s"/>
      <c r="F161" s="557" t="s"/>
      <c r="G161" s="557" t="s"/>
      <c r="H161" s="557" t="s"/>
      <c r="I161" s="560" t="s"/>
      <c r="J161" s="561" t="s"/>
      <c r="K161" s="187" t="s"/>
      <c r="L161" s="187" t="s"/>
      <c r="M161" s="562" t="s"/>
      <c r="N161" s="562" t="s"/>
      <c r="O161" s="562" t="s"/>
      <c r="P161" s="562" t="s"/>
      <c r="Q161" s="562" t="s"/>
      <c r="R161" s="562" t="s"/>
      <c r="S161" s="563" t="s"/>
      <c r="T161" s="560" t="s"/>
      <c r="U161" s="560" t="s"/>
      <c r="V161" s="560" t="s"/>
      <c r="W161" s="564" t="s"/>
      <c r="X161" s="258" t="s"/>
      <c r="Y161" s="560" t="s"/>
      <c r="Z161" s="560" t="s"/>
      <c r="AA161" s="560" t="s"/>
      <c r="AB161" s="560" t="s"/>
      <c r="AC161" s="564" t="s"/>
      <c r="AD161" s="161" t="s"/>
      <c r="AE161" s="560" t="s"/>
      <c r="AF161" s="560" t="s"/>
      <c r="AG161" s="560" t="s"/>
      <c r="AH161" s="560" t="s"/>
      <c r="AI161" s="565" t="s"/>
      <c r="AJ161" s="161" t="s"/>
      <c r="AK161" s="560" t="s"/>
      <c r="AL161" s="560" t="s"/>
      <c r="AM161" s="560" t="s"/>
    </row>
    <row r="162" spans="1:39" customHeight="false">
      <c r="A162" s="557" t="s"/>
      <c r="B162" s="558" t="s"/>
      <c r="C162" s="558" t="s"/>
      <c r="D162" s="559" t="s"/>
      <c r="E162" s="557" t="s"/>
      <c r="F162" s="557" t="s"/>
      <c r="G162" s="557" t="s"/>
      <c r="H162" s="557" t="s"/>
      <c r="I162" s="560" t="s"/>
      <c r="J162" s="561" t="s"/>
      <c r="K162" s="187" t="s"/>
      <c r="L162" s="187" t="s"/>
      <c r="M162" s="562" t="s"/>
      <c r="N162" s="562" t="s"/>
      <c r="O162" s="562" t="s"/>
      <c r="P162" s="562" t="s"/>
      <c r="Q162" s="562" t="s"/>
      <c r="R162" s="562" t="s"/>
      <c r="S162" s="563" t="s"/>
      <c r="T162" s="560" t="s"/>
      <c r="U162" s="560" t="s"/>
      <c r="V162" s="560" t="s"/>
      <c r="W162" s="564" t="s"/>
      <c r="X162" s="258" t="s"/>
      <c r="Y162" s="560" t="s"/>
      <c r="Z162" s="560" t="s"/>
      <c r="AA162" s="560" t="s"/>
      <c r="AB162" s="560" t="s"/>
      <c r="AC162" s="564" t="s"/>
      <c r="AD162" s="161" t="s"/>
      <c r="AE162" s="560" t="s"/>
      <c r="AF162" s="560" t="s"/>
      <c r="AG162" s="560" t="s"/>
      <c r="AH162" s="560" t="s"/>
      <c r="AI162" s="565" t="s"/>
      <c r="AJ162" s="161" t="s"/>
      <c r="AK162" s="560" t="s"/>
      <c r="AL162" s="560" t="s"/>
      <c r="AM162" s="560" t="s"/>
    </row>
    <row r="163" spans="1:39" customHeight="false">
      <c r="A163" s="557" t="s"/>
      <c r="B163" s="558" t="s"/>
      <c r="C163" s="558" t="s"/>
      <c r="D163" s="559" t="s"/>
      <c r="E163" s="557" t="s"/>
      <c r="F163" s="557" t="s"/>
      <c r="G163" s="557" t="s"/>
      <c r="H163" s="557" t="s"/>
      <c r="I163" s="560" t="s"/>
      <c r="J163" s="561" t="s"/>
      <c r="K163" s="187" t="s"/>
      <c r="L163" s="187" t="s"/>
      <c r="M163" s="562" t="s"/>
      <c r="N163" s="562" t="s"/>
      <c r="O163" s="562" t="s"/>
      <c r="P163" s="562" t="s"/>
      <c r="Q163" s="562" t="s"/>
      <c r="R163" s="562" t="s"/>
      <c r="S163" s="563" t="s"/>
      <c r="T163" s="560" t="s"/>
      <c r="U163" s="560" t="s"/>
      <c r="V163" s="560" t="s"/>
      <c r="W163" s="564" t="s"/>
      <c r="X163" s="258" t="s"/>
      <c r="Y163" s="560" t="s"/>
      <c r="Z163" s="560" t="s"/>
      <c r="AA163" s="560" t="s"/>
      <c r="AB163" s="560" t="s"/>
      <c r="AC163" s="564" t="s"/>
      <c r="AD163" s="161" t="s"/>
      <c r="AE163" s="560" t="s"/>
      <c r="AF163" s="560" t="s"/>
      <c r="AG163" s="560" t="s"/>
      <c r="AH163" s="560" t="s"/>
      <c r="AI163" s="565" t="s"/>
      <c r="AJ163" s="161" t="s"/>
      <c r="AK163" s="560" t="s"/>
      <c r="AL163" s="560" t="s"/>
      <c r="AM163" s="560" t="s"/>
    </row>
    <row r="164" spans="1:39" customHeight="false">
      <c r="A164" s="557" t="s"/>
      <c r="B164" s="558" t="s"/>
      <c r="C164" s="558" t="s"/>
      <c r="D164" s="559" t="s"/>
      <c r="E164" s="557" t="s"/>
      <c r="F164" s="557" t="s"/>
      <c r="G164" s="557" t="s"/>
      <c r="H164" s="557" t="s"/>
      <c r="I164" s="560" t="s"/>
      <c r="J164" s="561" t="s"/>
      <c r="K164" s="187" t="s"/>
      <c r="L164" s="187" t="s"/>
      <c r="M164" s="562" t="s"/>
      <c r="N164" s="562" t="s"/>
      <c r="O164" s="562" t="s"/>
      <c r="P164" s="562" t="s"/>
      <c r="Q164" s="562" t="s"/>
      <c r="R164" s="562" t="s"/>
      <c r="S164" s="563" t="s"/>
      <c r="T164" s="560" t="s"/>
      <c r="U164" s="560" t="s"/>
      <c r="V164" s="560" t="s"/>
      <c r="W164" s="564" t="s"/>
      <c r="X164" s="258" t="s"/>
      <c r="Y164" s="560" t="s"/>
      <c r="Z164" s="560" t="s"/>
      <c r="AA164" s="560" t="s"/>
      <c r="AB164" s="560" t="s"/>
      <c r="AC164" s="564" t="s"/>
      <c r="AD164" s="161" t="s"/>
      <c r="AE164" s="560" t="s"/>
      <c r="AF164" s="560" t="s"/>
      <c r="AG164" s="560" t="s"/>
      <c r="AH164" s="560" t="s"/>
      <c r="AI164" s="565" t="s"/>
      <c r="AJ164" s="161" t="s"/>
      <c r="AK164" s="560" t="s"/>
      <c r="AL164" s="560" t="s"/>
      <c r="AM164" s="560" t="s"/>
    </row>
    <row r="165" spans="1:39" customHeight="false">
      <c r="A165" s="557" t="s"/>
      <c r="B165" s="558" t="s"/>
      <c r="C165" s="558" t="s"/>
      <c r="D165" s="559" t="s"/>
      <c r="E165" s="557" t="s"/>
      <c r="F165" s="557" t="s"/>
      <c r="G165" s="557" t="s"/>
      <c r="H165" s="557" t="s"/>
      <c r="I165" s="560" t="s"/>
      <c r="J165" s="561" t="s"/>
      <c r="K165" s="187" t="s"/>
      <c r="L165" s="187" t="s"/>
      <c r="M165" s="562" t="s"/>
      <c r="N165" s="562" t="s"/>
      <c r="O165" s="562" t="s"/>
      <c r="P165" s="562" t="s"/>
      <c r="Q165" s="562" t="s"/>
      <c r="R165" s="562" t="s"/>
      <c r="S165" s="563" t="s"/>
      <c r="T165" s="560" t="s"/>
      <c r="U165" s="560" t="s"/>
      <c r="V165" s="560" t="s"/>
      <c r="W165" s="564" t="s"/>
      <c r="X165" s="258" t="s"/>
      <c r="Y165" s="560" t="s"/>
      <c r="Z165" s="560" t="s"/>
      <c r="AA165" s="560" t="s"/>
      <c r="AB165" s="560" t="s"/>
      <c r="AC165" s="564" t="s"/>
      <c r="AD165" s="161" t="s"/>
      <c r="AE165" s="560" t="s"/>
      <c r="AF165" s="560" t="s"/>
      <c r="AG165" s="560" t="s"/>
      <c r="AH165" s="560" t="s"/>
      <c r="AI165" s="565" t="s"/>
      <c r="AJ165" s="161" t="s"/>
      <c r="AK165" s="560" t="s"/>
      <c r="AL165" s="560" t="s"/>
      <c r="AM165" s="560" t="s"/>
    </row>
    <row r="166" spans="1:39" customHeight="false">
      <c r="A166" s="557" t="s"/>
      <c r="B166" s="558" t="s"/>
      <c r="C166" s="558" t="s"/>
      <c r="D166" s="559" t="s"/>
      <c r="E166" s="557" t="s"/>
      <c r="F166" s="557" t="s"/>
      <c r="G166" s="557" t="s"/>
      <c r="H166" s="557" t="s"/>
      <c r="I166" s="560" t="s"/>
      <c r="J166" s="561" t="s"/>
      <c r="K166" s="187" t="s"/>
      <c r="L166" s="187" t="s"/>
      <c r="M166" s="562" t="s"/>
      <c r="N166" s="562" t="s"/>
      <c r="O166" s="562" t="s"/>
      <c r="P166" s="562" t="s"/>
      <c r="Q166" s="562" t="s"/>
      <c r="R166" s="562" t="s"/>
      <c r="S166" s="563" t="s"/>
      <c r="T166" s="560" t="s"/>
      <c r="U166" s="560" t="s"/>
      <c r="V166" s="560" t="s"/>
      <c r="W166" s="564" t="s"/>
      <c r="X166" s="258" t="s"/>
      <c r="Y166" s="560" t="s"/>
      <c r="Z166" s="560" t="s"/>
      <c r="AA166" s="560" t="s"/>
      <c r="AB166" s="560" t="s"/>
      <c r="AC166" s="564" t="s"/>
      <c r="AD166" s="161" t="s"/>
      <c r="AE166" s="560" t="s"/>
      <c r="AF166" s="560" t="s"/>
      <c r="AG166" s="560" t="s"/>
      <c r="AH166" s="560" t="s"/>
      <c r="AI166" s="565" t="s"/>
      <c r="AJ166" s="161" t="s"/>
      <c r="AK166" s="560" t="s"/>
      <c r="AL166" s="560" t="s"/>
      <c r="AM166" s="560" t="s"/>
    </row>
    <row r="167" spans="1:39" customHeight="false">
      <c r="A167" s="557" t="s"/>
      <c r="B167" s="558" t="s"/>
      <c r="C167" s="558" t="s"/>
      <c r="D167" s="559" t="s"/>
      <c r="E167" s="557" t="s"/>
      <c r="F167" s="557" t="s"/>
      <c r="G167" s="557" t="s"/>
      <c r="H167" s="557" t="s"/>
      <c r="I167" s="560" t="s"/>
      <c r="J167" s="561" t="s"/>
      <c r="K167" s="187" t="s"/>
      <c r="L167" s="187" t="s"/>
      <c r="M167" s="562" t="s"/>
      <c r="N167" s="562" t="s"/>
      <c r="O167" s="562" t="s"/>
      <c r="P167" s="562" t="s"/>
      <c r="Q167" s="562" t="s"/>
      <c r="R167" s="562" t="s"/>
      <c r="S167" s="563" t="s"/>
      <c r="T167" s="560" t="s"/>
      <c r="U167" s="560" t="s"/>
      <c r="V167" s="560" t="s"/>
      <c r="W167" s="564" t="s"/>
      <c r="X167" s="258" t="s"/>
      <c r="Y167" s="560" t="s"/>
      <c r="Z167" s="560" t="s"/>
      <c r="AA167" s="560" t="s"/>
      <c r="AB167" s="560" t="s"/>
      <c r="AC167" s="564" t="s"/>
      <c r="AD167" s="161" t="s"/>
      <c r="AE167" s="560" t="s"/>
      <c r="AF167" s="560" t="s"/>
      <c r="AG167" s="560" t="s"/>
      <c r="AH167" s="560" t="s"/>
      <c r="AI167" s="565" t="s"/>
      <c r="AJ167" s="161" t="s"/>
      <c r="AK167" s="560" t="s"/>
      <c r="AL167" s="560" t="s"/>
      <c r="AM167" s="560" t="s"/>
    </row>
    <row r="168" spans="1:39" customHeight="false">
      <c r="A168" s="557" t="s"/>
      <c r="B168" s="558" t="s"/>
      <c r="C168" s="558" t="s"/>
      <c r="D168" s="559" t="s"/>
      <c r="E168" s="557" t="s"/>
      <c r="F168" s="557" t="s"/>
      <c r="G168" s="557" t="s"/>
      <c r="H168" s="557" t="s"/>
      <c r="I168" s="560" t="s"/>
      <c r="J168" s="561" t="s"/>
      <c r="K168" s="187" t="s"/>
      <c r="L168" s="187" t="s"/>
      <c r="M168" s="562" t="s"/>
      <c r="N168" s="562" t="s"/>
      <c r="O168" s="562" t="s"/>
      <c r="P168" s="562" t="s"/>
      <c r="Q168" s="562" t="s"/>
      <c r="R168" s="562" t="s"/>
      <c r="S168" s="563" t="s"/>
      <c r="T168" s="560" t="s"/>
      <c r="U168" s="560" t="s"/>
      <c r="V168" s="560" t="s"/>
      <c r="W168" s="564" t="s"/>
      <c r="X168" s="258" t="s"/>
      <c r="Y168" s="560" t="s"/>
      <c r="Z168" s="560" t="s"/>
      <c r="AA168" s="560" t="s"/>
      <c r="AB168" s="560" t="s"/>
      <c r="AC168" s="564" t="s"/>
      <c r="AD168" s="161" t="s"/>
      <c r="AE168" s="560" t="s"/>
      <c r="AF168" s="560" t="s"/>
      <c r="AG168" s="560" t="s"/>
      <c r="AH168" s="560" t="s"/>
      <c r="AI168" s="565" t="s"/>
      <c r="AJ168" s="161" t="s"/>
      <c r="AK168" s="560" t="s"/>
      <c r="AL168" s="560" t="s"/>
      <c r="AM168" s="560" t="s"/>
    </row>
    <row r="169" spans="1:39" customHeight="false">
      <c r="A169" s="557" t="s"/>
      <c r="B169" s="558" t="s"/>
      <c r="C169" s="558" t="s"/>
      <c r="D169" s="559" t="s"/>
      <c r="E169" s="557" t="s"/>
      <c r="F169" s="557" t="s"/>
      <c r="G169" s="557" t="s"/>
      <c r="H169" s="557" t="s"/>
      <c r="I169" s="560" t="s"/>
      <c r="J169" s="561" t="s"/>
      <c r="K169" s="187" t="s"/>
      <c r="L169" s="187" t="s"/>
      <c r="M169" s="562" t="s"/>
      <c r="N169" s="562" t="s"/>
      <c r="O169" s="562" t="s"/>
      <c r="P169" s="562" t="s"/>
      <c r="Q169" s="562" t="s"/>
      <c r="R169" s="562" t="s"/>
      <c r="S169" s="563" t="s"/>
      <c r="T169" s="560" t="s"/>
      <c r="U169" s="560" t="s"/>
      <c r="V169" s="560" t="s"/>
      <c r="W169" s="564" t="s"/>
      <c r="X169" s="258" t="s"/>
      <c r="Y169" s="560" t="s"/>
      <c r="Z169" s="560" t="s"/>
      <c r="AA169" s="560" t="s"/>
      <c r="AB169" s="560" t="s"/>
      <c r="AC169" s="564" t="s"/>
      <c r="AD169" s="161" t="s"/>
      <c r="AE169" s="560" t="s"/>
      <c r="AF169" s="560" t="s"/>
      <c r="AG169" s="560" t="s"/>
      <c r="AH169" s="560" t="s"/>
      <c r="AI169" s="565" t="s"/>
      <c r="AJ169" s="161" t="s"/>
      <c r="AK169" s="560" t="s"/>
      <c r="AL169" s="560" t="s"/>
      <c r="AM169" s="560" t="s"/>
    </row>
    <row r="170" spans="1:39" customHeight="false">
      <c r="A170" s="557" t="s"/>
      <c r="B170" s="558" t="s"/>
      <c r="C170" s="558" t="s"/>
      <c r="D170" s="559" t="s"/>
      <c r="E170" s="557" t="s"/>
      <c r="F170" s="557" t="s"/>
      <c r="G170" s="557" t="s"/>
      <c r="H170" s="557" t="s"/>
      <c r="I170" s="560" t="s"/>
      <c r="J170" s="561" t="s"/>
      <c r="K170" s="187" t="s"/>
      <c r="L170" s="187" t="s"/>
      <c r="M170" s="562" t="s"/>
      <c r="N170" s="562" t="s"/>
      <c r="O170" s="562" t="s"/>
      <c r="P170" s="562" t="s"/>
      <c r="Q170" s="562" t="s"/>
      <c r="R170" s="562" t="s"/>
      <c r="S170" s="563" t="s"/>
      <c r="T170" s="560" t="s"/>
      <c r="U170" s="560" t="s"/>
      <c r="V170" s="560" t="s"/>
      <c r="W170" s="564" t="s"/>
      <c r="X170" s="258" t="s"/>
      <c r="Y170" s="560" t="s"/>
      <c r="Z170" s="560" t="s"/>
      <c r="AA170" s="560" t="s"/>
      <c r="AB170" s="560" t="s"/>
      <c r="AC170" s="564" t="s"/>
      <c r="AD170" s="161" t="s"/>
      <c r="AE170" s="560" t="s"/>
      <c r="AF170" s="560" t="s"/>
      <c r="AG170" s="560" t="s"/>
      <c r="AH170" s="560" t="s"/>
      <c r="AI170" s="565" t="s"/>
      <c r="AJ170" s="161" t="s"/>
      <c r="AK170" s="560" t="s"/>
      <c r="AL170" s="560" t="s"/>
      <c r="AM170" s="560" t="s"/>
    </row>
    <row r="171" spans="1:39" customHeight="false">
      <c r="A171" s="557" t="s"/>
      <c r="B171" s="558" t="s"/>
      <c r="C171" s="558" t="s"/>
      <c r="D171" s="559" t="s"/>
      <c r="E171" s="557" t="s"/>
      <c r="F171" s="557" t="s"/>
      <c r="G171" s="557" t="s"/>
      <c r="H171" s="557" t="s"/>
      <c r="I171" s="560" t="s"/>
      <c r="J171" s="561" t="s"/>
      <c r="K171" s="187" t="s"/>
      <c r="L171" s="187" t="s"/>
      <c r="M171" s="562" t="s"/>
      <c r="N171" s="562" t="s"/>
      <c r="O171" s="562" t="s"/>
      <c r="P171" s="562" t="s"/>
      <c r="Q171" s="562" t="s"/>
      <c r="R171" s="562" t="s"/>
      <c r="S171" s="563" t="s"/>
      <c r="T171" s="560" t="s"/>
      <c r="U171" s="560" t="s"/>
      <c r="V171" s="560" t="s"/>
      <c r="W171" s="564" t="s"/>
      <c r="X171" s="258" t="s"/>
      <c r="Y171" s="560" t="s"/>
      <c r="Z171" s="560" t="s"/>
      <c r="AA171" s="560" t="s"/>
      <c r="AB171" s="560" t="s"/>
      <c r="AC171" s="564" t="s"/>
      <c r="AD171" s="161" t="s"/>
      <c r="AE171" s="560" t="s"/>
      <c r="AF171" s="560" t="s"/>
      <c r="AG171" s="560" t="s"/>
      <c r="AH171" s="560" t="s"/>
      <c r="AI171" s="565" t="s"/>
      <c r="AJ171" s="161" t="s"/>
      <c r="AK171" s="560" t="s"/>
      <c r="AL171" s="560" t="s"/>
      <c r="AM171" s="560" t="s"/>
    </row>
    <row r="172" spans="1:39" customHeight="false">
      <c r="A172" s="557" t="s"/>
      <c r="B172" s="558" t="s"/>
      <c r="C172" s="558" t="s"/>
      <c r="D172" s="559" t="s"/>
      <c r="E172" s="557" t="s"/>
      <c r="F172" s="557" t="s"/>
      <c r="G172" s="557" t="s"/>
      <c r="H172" s="557" t="s"/>
      <c r="I172" s="560" t="s"/>
      <c r="J172" s="561" t="s"/>
      <c r="K172" s="187" t="s"/>
      <c r="L172" s="187" t="s"/>
      <c r="M172" s="562" t="s"/>
      <c r="N172" s="562" t="s"/>
      <c r="O172" s="562" t="s"/>
      <c r="P172" s="562" t="s"/>
      <c r="Q172" s="562" t="s"/>
      <c r="R172" s="562" t="s"/>
      <c r="S172" s="563" t="s"/>
      <c r="T172" s="560" t="s"/>
      <c r="U172" s="560" t="s"/>
      <c r="V172" s="560" t="s"/>
      <c r="W172" s="564" t="s"/>
      <c r="X172" s="258" t="s"/>
      <c r="Y172" s="560" t="s"/>
      <c r="Z172" s="560" t="s"/>
      <c r="AA172" s="560" t="s"/>
      <c r="AB172" s="560" t="s"/>
      <c r="AC172" s="564" t="s"/>
      <c r="AD172" s="161" t="s"/>
      <c r="AE172" s="560" t="s"/>
      <c r="AF172" s="560" t="s"/>
      <c r="AG172" s="560" t="s"/>
      <c r="AH172" s="560" t="s"/>
      <c r="AI172" s="565" t="s"/>
      <c r="AJ172" s="161" t="s"/>
      <c r="AK172" s="560" t="s"/>
      <c r="AL172" s="560" t="s"/>
      <c r="AM172" s="560" t="s"/>
    </row>
    <row r="173" spans="1:39" customHeight="false">
      <c r="A173" s="557" t="s"/>
      <c r="B173" s="558" t="s"/>
      <c r="C173" s="558" t="s"/>
      <c r="D173" s="559" t="s"/>
      <c r="E173" s="557" t="s"/>
      <c r="F173" s="557" t="s"/>
      <c r="G173" s="557" t="s"/>
      <c r="H173" s="557" t="s"/>
      <c r="I173" s="560" t="s"/>
      <c r="J173" s="561" t="s"/>
      <c r="K173" s="187" t="s"/>
      <c r="L173" s="187" t="s"/>
      <c r="M173" s="562" t="s"/>
      <c r="N173" s="562" t="s"/>
      <c r="O173" s="562" t="s"/>
      <c r="P173" s="562" t="s"/>
      <c r="Q173" s="562" t="s"/>
      <c r="R173" s="562" t="s"/>
      <c r="S173" s="563" t="s"/>
      <c r="T173" s="560" t="s"/>
      <c r="U173" s="560" t="s"/>
      <c r="V173" s="560" t="s"/>
      <c r="W173" s="564" t="s"/>
      <c r="X173" s="258" t="s"/>
      <c r="Y173" s="560" t="s"/>
      <c r="Z173" s="560" t="s"/>
      <c r="AA173" s="560" t="s"/>
      <c r="AB173" s="560" t="s"/>
      <c r="AC173" s="564" t="s"/>
      <c r="AD173" s="161" t="s"/>
      <c r="AE173" s="560" t="s"/>
      <c r="AF173" s="560" t="s"/>
      <c r="AG173" s="560" t="s"/>
      <c r="AH173" s="560" t="s"/>
      <c r="AI173" s="565" t="s"/>
      <c r="AJ173" s="161" t="s"/>
      <c r="AK173" s="560" t="s"/>
      <c r="AL173" s="560" t="s"/>
      <c r="AM173" s="560" t="s"/>
    </row>
    <row r="174" spans="1:39" customHeight="false">
      <c r="A174" s="557" t="s"/>
      <c r="B174" s="558" t="s"/>
      <c r="C174" s="558" t="s"/>
      <c r="D174" s="559" t="s"/>
      <c r="E174" s="557" t="s"/>
      <c r="F174" s="557" t="s"/>
      <c r="G174" s="557" t="s"/>
      <c r="H174" s="557" t="s"/>
      <c r="I174" s="560" t="s"/>
      <c r="J174" s="561" t="s"/>
      <c r="K174" s="187" t="s"/>
      <c r="L174" s="187" t="s"/>
      <c r="M174" s="562" t="s"/>
      <c r="N174" s="562" t="s"/>
      <c r="O174" s="562" t="s"/>
      <c r="P174" s="562" t="s"/>
      <c r="Q174" s="562" t="s"/>
      <c r="R174" s="562" t="s"/>
      <c r="S174" s="563" t="s"/>
      <c r="T174" s="560" t="s"/>
      <c r="U174" s="560" t="s"/>
      <c r="V174" s="560" t="s"/>
      <c r="W174" s="564" t="s"/>
      <c r="X174" s="258" t="s"/>
      <c r="Y174" s="560" t="s"/>
      <c r="Z174" s="560" t="s"/>
      <c r="AA174" s="560" t="s"/>
      <c r="AB174" s="560" t="s"/>
      <c r="AC174" s="564" t="s"/>
      <c r="AD174" s="161" t="s"/>
      <c r="AE174" s="560" t="s"/>
      <c r="AF174" s="560" t="s"/>
      <c r="AG174" s="560" t="s"/>
      <c r="AH174" s="560" t="s"/>
      <c r="AI174" s="565" t="s"/>
      <c r="AJ174" s="161" t="s"/>
      <c r="AK174" s="560" t="s"/>
      <c r="AL174" s="560" t="s"/>
      <c r="AM174" s="560" t="s"/>
    </row>
    <row r="175" spans="1:39" customHeight="false">
      <c r="A175" s="557" t="s"/>
      <c r="B175" s="558" t="s"/>
      <c r="C175" s="558" t="s"/>
      <c r="D175" s="559" t="s"/>
      <c r="E175" s="557" t="s"/>
      <c r="F175" s="557" t="s"/>
      <c r="G175" s="557" t="s"/>
      <c r="H175" s="557" t="s"/>
      <c r="I175" s="560" t="s"/>
      <c r="J175" s="561" t="s"/>
      <c r="K175" s="187" t="s"/>
      <c r="L175" s="187" t="s"/>
      <c r="M175" s="562" t="s"/>
      <c r="N175" s="562" t="s"/>
      <c r="O175" s="562" t="s"/>
      <c r="P175" s="562" t="s"/>
      <c r="Q175" s="562" t="s"/>
      <c r="R175" s="562" t="s"/>
      <c r="S175" s="563" t="s"/>
      <c r="T175" s="560" t="s"/>
      <c r="U175" s="560" t="s"/>
      <c r="V175" s="560" t="s"/>
      <c r="W175" s="564" t="s"/>
      <c r="X175" s="258" t="s"/>
      <c r="Y175" s="560" t="s"/>
      <c r="Z175" s="560" t="s"/>
      <c r="AA175" s="560" t="s"/>
      <c r="AB175" s="560" t="s"/>
      <c r="AC175" s="564" t="s"/>
      <c r="AD175" s="161" t="s"/>
      <c r="AE175" s="560" t="s"/>
      <c r="AF175" s="560" t="s"/>
      <c r="AG175" s="560" t="s"/>
      <c r="AH175" s="560" t="s"/>
      <c r="AI175" s="565" t="s"/>
      <c r="AJ175" s="161" t="s"/>
      <c r="AK175" s="560" t="s"/>
      <c r="AL175" s="560" t="s"/>
      <c r="AM175" s="560" t="s"/>
    </row>
    <row r="176" spans="1:39" customHeight="false">
      <c r="A176" s="557" t="s"/>
      <c r="B176" s="558" t="s"/>
      <c r="C176" s="558" t="s"/>
      <c r="D176" s="559" t="s"/>
      <c r="E176" s="557" t="s"/>
      <c r="F176" s="557" t="s"/>
      <c r="G176" s="557" t="s"/>
      <c r="H176" s="557" t="s"/>
      <c r="I176" s="560" t="s"/>
      <c r="J176" s="561" t="s"/>
      <c r="K176" s="187" t="s"/>
      <c r="L176" s="187" t="s"/>
      <c r="M176" s="562" t="s"/>
      <c r="N176" s="562" t="s"/>
      <c r="O176" s="562" t="s"/>
      <c r="P176" s="562" t="s"/>
      <c r="Q176" s="562" t="s"/>
      <c r="R176" s="562" t="s"/>
      <c r="S176" s="563" t="s"/>
      <c r="T176" s="560" t="s"/>
      <c r="U176" s="560" t="s"/>
      <c r="V176" s="560" t="s"/>
      <c r="W176" s="564" t="s"/>
      <c r="X176" s="258" t="s"/>
      <c r="Y176" s="560" t="s"/>
      <c r="Z176" s="560" t="s"/>
      <c r="AA176" s="560" t="s"/>
      <c r="AB176" s="560" t="s"/>
      <c r="AC176" s="564" t="s"/>
      <c r="AD176" s="161" t="s"/>
      <c r="AE176" s="560" t="s"/>
      <c r="AF176" s="560" t="s"/>
      <c r="AG176" s="560" t="s"/>
      <c r="AH176" s="560" t="s"/>
      <c r="AI176" s="565" t="s"/>
      <c r="AJ176" s="161" t="s"/>
      <c r="AK176" s="560" t="s"/>
      <c r="AL176" s="560" t="s"/>
      <c r="AM176" s="560" t="s"/>
    </row>
    <row r="177" spans="1:39" customHeight="false">
      <c r="A177" s="557" t="s"/>
      <c r="B177" s="558" t="s"/>
      <c r="C177" s="558" t="s"/>
      <c r="D177" s="559" t="s"/>
      <c r="E177" s="557" t="s"/>
      <c r="F177" s="557" t="s"/>
      <c r="G177" s="557" t="s"/>
      <c r="H177" s="557" t="s"/>
      <c r="I177" s="560" t="s"/>
      <c r="J177" s="561" t="s"/>
      <c r="K177" s="187" t="s"/>
      <c r="L177" s="187" t="s"/>
      <c r="M177" s="562" t="s"/>
      <c r="N177" s="562" t="s"/>
      <c r="O177" s="562" t="s"/>
      <c r="P177" s="562" t="s"/>
      <c r="Q177" s="562" t="s"/>
      <c r="R177" s="562" t="s"/>
      <c r="S177" s="563" t="s"/>
      <c r="T177" s="560" t="s"/>
      <c r="U177" s="560" t="s"/>
      <c r="V177" s="560" t="s"/>
      <c r="W177" s="564" t="s"/>
      <c r="X177" s="258" t="s"/>
      <c r="Y177" s="560" t="s"/>
      <c r="Z177" s="560" t="s"/>
      <c r="AA177" s="560" t="s"/>
      <c r="AB177" s="560" t="s"/>
      <c r="AC177" s="564" t="s"/>
      <c r="AD177" s="161" t="s"/>
      <c r="AE177" s="560" t="s"/>
      <c r="AF177" s="560" t="s"/>
      <c r="AG177" s="560" t="s"/>
      <c r="AH177" s="560" t="s"/>
      <c r="AI177" s="565" t="s"/>
      <c r="AJ177" s="161" t="s"/>
      <c r="AK177" s="560" t="s"/>
      <c r="AL177" s="560" t="s"/>
      <c r="AM177" s="560" t="s"/>
    </row>
    <row r="178" spans="1:39" customHeight="false">
      <c r="A178" s="557" t="s"/>
      <c r="B178" s="558" t="s"/>
      <c r="C178" s="558" t="s"/>
      <c r="D178" s="559" t="s"/>
      <c r="E178" s="557" t="s"/>
      <c r="F178" s="557" t="s"/>
      <c r="G178" s="557" t="s"/>
      <c r="H178" s="557" t="s"/>
      <c r="I178" s="560" t="s"/>
      <c r="J178" s="561" t="s"/>
      <c r="K178" s="187" t="s"/>
      <c r="L178" s="187" t="s"/>
      <c r="M178" s="562" t="s"/>
      <c r="N178" s="562" t="s"/>
      <c r="O178" s="562" t="s"/>
      <c r="P178" s="562" t="s"/>
      <c r="Q178" s="562" t="s"/>
      <c r="R178" s="562" t="s"/>
      <c r="S178" s="563" t="s"/>
      <c r="T178" s="560" t="s"/>
      <c r="U178" s="560" t="s"/>
      <c r="V178" s="560" t="s"/>
      <c r="W178" s="564" t="s"/>
      <c r="X178" s="258" t="s"/>
      <c r="Y178" s="560" t="s"/>
      <c r="Z178" s="560" t="s"/>
      <c r="AA178" s="560" t="s"/>
      <c r="AB178" s="560" t="s"/>
      <c r="AC178" s="564" t="s"/>
      <c r="AD178" s="161" t="s"/>
      <c r="AE178" s="560" t="s"/>
      <c r="AF178" s="560" t="s"/>
      <c r="AG178" s="560" t="s"/>
      <c r="AH178" s="560" t="s"/>
      <c r="AI178" s="565" t="s"/>
      <c r="AJ178" s="161" t="s"/>
      <c r="AK178" s="560" t="s"/>
      <c r="AL178" s="560" t="s"/>
      <c r="AM178" s="560" t="s"/>
    </row>
    <row r="179" spans="1:39" customHeight="false">
      <c r="A179" s="557" t="s"/>
      <c r="B179" s="558" t="s"/>
      <c r="C179" s="558" t="s"/>
      <c r="D179" s="559" t="s"/>
      <c r="E179" s="557" t="s"/>
      <c r="F179" s="557" t="s"/>
      <c r="G179" s="557" t="s"/>
      <c r="H179" s="557" t="s"/>
      <c r="I179" s="560" t="s"/>
      <c r="J179" s="561" t="s"/>
      <c r="K179" s="187" t="s"/>
      <c r="L179" s="187" t="s"/>
      <c r="M179" s="562" t="s"/>
      <c r="N179" s="562" t="s"/>
      <c r="O179" s="562" t="s"/>
      <c r="P179" s="562" t="s"/>
      <c r="Q179" s="562" t="s"/>
      <c r="R179" s="562" t="s"/>
      <c r="S179" s="563" t="s"/>
      <c r="T179" s="560" t="s"/>
      <c r="U179" s="560" t="s"/>
      <c r="V179" s="560" t="s"/>
      <c r="W179" s="564" t="s"/>
      <c r="X179" s="258" t="s"/>
      <c r="Y179" s="560" t="s"/>
      <c r="Z179" s="560" t="s"/>
      <c r="AA179" s="560" t="s"/>
      <c r="AB179" s="560" t="s"/>
      <c r="AC179" s="564" t="s"/>
      <c r="AD179" s="161" t="s"/>
      <c r="AE179" s="560" t="s"/>
      <c r="AF179" s="560" t="s"/>
      <c r="AG179" s="560" t="s"/>
      <c r="AH179" s="560" t="s"/>
      <c r="AI179" s="565" t="s"/>
      <c r="AJ179" s="161" t="s"/>
      <c r="AK179" s="560" t="s"/>
      <c r="AL179" s="560" t="s"/>
      <c r="AM179" s="560" t="s"/>
    </row>
    <row r="180" spans="1:39" customHeight="false">
      <c r="A180" s="557" t="s"/>
      <c r="B180" s="558" t="s"/>
      <c r="C180" s="558" t="s"/>
      <c r="D180" s="559" t="s"/>
      <c r="E180" s="557" t="s"/>
      <c r="F180" s="557" t="s"/>
      <c r="G180" s="557" t="s"/>
      <c r="H180" s="557" t="s"/>
      <c r="I180" s="560" t="s"/>
      <c r="J180" s="561" t="s"/>
      <c r="K180" s="187" t="s"/>
      <c r="L180" s="187" t="s"/>
      <c r="M180" s="562" t="s"/>
      <c r="N180" s="562" t="s"/>
      <c r="O180" s="562" t="s"/>
      <c r="P180" s="562" t="s"/>
      <c r="Q180" s="562" t="s"/>
      <c r="R180" s="562" t="s"/>
      <c r="S180" s="563" t="s"/>
      <c r="T180" s="560" t="s"/>
      <c r="U180" s="560" t="s"/>
      <c r="V180" s="560" t="s"/>
      <c r="W180" s="564" t="s"/>
      <c r="X180" s="258" t="s"/>
      <c r="Y180" s="560" t="s"/>
      <c r="Z180" s="560" t="s"/>
      <c r="AA180" s="560" t="s"/>
      <c r="AB180" s="560" t="s"/>
      <c r="AC180" s="564" t="s"/>
      <c r="AD180" s="161" t="s"/>
      <c r="AE180" s="560" t="s"/>
      <c r="AF180" s="560" t="s"/>
      <c r="AG180" s="560" t="s"/>
      <c r="AH180" s="560" t="s"/>
      <c r="AI180" s="565" t="s"/>
      <c r="AJ180" s="161" t="s"/>
      <c r="AK180" s="560" t="s"/>
      <c r="AL180" s="560" t="s"/>
      <c r="AM180" s="560" t="s"/>
    </row>
    <row r="181" spans="1:39" customHeight="false">
      <c r="A181" s="557" t="s"/>
      <c r="B181" s="558" t="s"/>
      <c r="C181" s="558" t="s"/>
      <c r="D181" s="559" t="s"/>
      <c r="E181" s="557" t="s"/>
      <c r="F181" s="557" t="s"/>
      <c r="G181" s="557" t="s"/>
      <c r="H181" s="557" t="s"/>
      <c r="I181" s="560" t="s"/>
      <c r="J181" s="561" t="s"/>
      <c r="K181" s="187" t="s"/>
      <c r="L181" s="187" t="s"/>
      <c r="M181" s="562" t="s"/>
      <c r="N181" s="562" t="s"/>
      <c r="O181" s="562" t="s"/>
      <c r="P181" s="562" t="s"/>
      <c r="Q181" s="562" t="s"/>
      <c r="R181" s="562" t="s"/>
      <c r="S181" s="563" t="s"/>
      <c r="T181" s="560" t="s"/>
      <c r="U181" s="560" t="s"/>
      <c r="V181" s="560" t="s"/>
      <c r="W181" s="564" t="s"/>
      <c r="X181" s="258" t="s"/>
      <c r="Y181" s="560" t="s"/>
      <c r="Z181" s="560" t="s"/>
      <c r="AA181" s="560" t="s"/>
      <c r="AB181" s="560" t="s"/>
      <c r="AC181" s="564" t="s"/>
      <c r="AD181" s="161" t="s"/>
      <c r="AE181" s="560" t="s"/>
      <c r="AF181" s="560" t="s"/>
      <c r="AG181" s="560" t="s"/>
      <c r="AH181" s="560" t="s"/>
      <c r="AI181" s="565" t="s"/>
      <c r="AJ181" s="161" t="s"/>
      <c r="AK181" s="560" t="s"/>
      <c r="AL181" s="560" t="s"/>
      <c r="AM181" s="560" t="s"/>
    </row>
    <row r="182" spans="1:39" customHeight="false">
      <c r="A182" s="557" t="s"/>
      <c r="B182" s="558" t="s"/>
      <c r="C182" s="558" t="s"/>
      <c r="D182" s="559" t="s"/>
      <c r="E182" s="557" t="s"/>
      <c r="F182" s="557" t="s"/>
      <c r="G182" s="557" t="s"/>
      <c r="H182" s="557" t="s"/>
      <c r="I182" s="560" t="s"/>
      <c r="J182" s="561" t="s"/>
      <c r="K182" s="187" t="s"/>
      <c r="L182" s="187" t="s"/>
      <c r="M182" s="562" t="s"/>
      <c r="N182" s="562" t="s"/>
      <c r="O182" s="562" t="s"/>
      <c r="P182" s="562" t="s"/>
      <c r="Q182" s="562" t="s"/>
      <c r="R182" s="562" t="s"/>
      <c r="S182" s="563" t="s"/>
      <c r="T182" s="560" t="s"/>
      <c r="U182" s="560" t="s"/>
      <c r="V182" s="560" t="s"/>
      <c r="W182" s="564" t="s"/>
      <c r="X182" s="258" t="s"/>
      <c r="Y182" s="560" t="s"/>
      <c r="Z182" s="560" t="s"/>
      <c r="AA182" s="560" t="s"/>
      <c r="AB182" s="560" t="s"/>
      <c r="AC182" s="564" t="s"/>
      <c r="AD182" s="161" t="s"/>
      <c r="AE182" s="560" t="s"/>
      <c r="AF182" s="560" t="s"/>
      <c r="AG182" s="560" t="s"/>
      <c r="AH182" s="560" t="s"/>
      <c r="AI182" s="565" t="s"/>
      <c r="AJ182" s="161" t="s"/>
      <c r="AK182" s="560" t="s"/>
      <c r="AL182" s="560" t="s"/>
      <c r="AM182" s="560" t="s"/>
    </row>
    <row r="183" spans="1:39" customHeight="false">
      <c r="A183" s="557" t="s"/>
      <c r="B183" s="558" t="s"/>
      <c r="C183" s="558" t="s"/>
      <c r="D183" s="559" t="s"/>
      <c r="E183" s="557" t="s"/>
      <c r="F183" s="557" t="s"/>
      <c r="G183" s="557" t="s"/>
      <c r="H183" s="557" t="s"/>
      <c r="I183" s="560" t="s"/>
      <c r="J183" s="561" t="s"/>
      <c r="K183" s="187" t="s"/>
      <c r="L183" s="187" t="s"/>
      <c r="M183" s="562" t="s"/>
      <c r="N183" s="562" t="s"/>
      <c r="O183" s="562" t="s"/>
      <c r="P183" s="562" t="s"/>
      <c r="Q183" s="562" t="s"/>
      <c r="R183" s="562" t="s"/>
      <c r="S183" s="563" t="s"/>
      <c r="T183" s="560" t="s"/>
      <c r="U183" s="560" t="s"/>
      <c r="V183" s="560" t="s"/>
      <c r="W183" s="564" t="s"/>
      <c r="X183" s="258" t="s"/>
      <c r="Y183" s="560" t="s"/>
      <c r="Z183" s="560" t="s"/>
      <c r="AA183" s="560" t="s"/>
      <c r="AB183" s="560" t="s"/>
      <c r="AC183" s="564" t="s"/>
      <c r="AD183" s="161" t="s"/>
      <c r="AE183" s="560" t="s"/>
      <c r="AF183" s="560" t="s"/>
      <c r="AG183" s="560" t="s"/>
      <c r="AH183" s="560" t="s"/>
      <c r="AI183" s="565" t="s"/>
      <c r="AJ183" s="161" t="s"/>
      <c r="AK183" s="560" t="s"/>
      <c r="AL183" s="560" t="s"/>
      <c r="AM183" s="560" t="s"/>
    </row>
    <row r="184" spans="1:39" customHeight="false">
      <c r="A184" s="557" t="s"/>
      <c r="B184" s="558" t="s"/>
      <c r="C184" s="558" t="s"/>
      <c r="D184" s="559" t="s"/>
      <c r="E184" s="557" t="s"/>
      <c r="F184" s="557" t="s"/>
      <c r="G184" s="557" t="s"/>
      <c r="H184" s="557" t="s"/>
      <c r="I184" s="560" t="s"/>
      <c r="J184" s="561" t="s"/>
      <c r="K184" s="187" t="s"/>
      <c r="L184" s="187" t="s"/>
      <c r="M184" s="562" t="s"/>
      <c r="N184" s="562" t="s"/>
      <c r="O184" s="562" t="s"/>
      <c r="P184" s="562" t="s"/>
      <c r="Q184" s="562" t="s"/>
      <c r="R184" s="562" t="s"/>
      <c r="S184" s="563" t="s"/>
      <c r="T184" s="560" t="s"/>
      <c r="U184" s="560" t="s"/>
      <c r="V184" s="560" t="s"/>
      <c r="W184" s="564" t="s"/>
      <c r="X184" s="258" t="s"/>
      <c r="Y184" s="560" t="s"/>
      <c r="Z184" s="560" t="s"/>
      <c r="AA184" s="560" t="s"/>
      <c r="AB184" s="560" t="s"/>
      <c r="AC184" s="564" t="s"/>
      <c r="AD184" s="161" t="s"/>
      <c r="AE184" s="560" t="s"/>
      <c r="AF184" s="560" t="s"/>
      <c r="AG184" s="560" t="s"/>
      <c r="AH184" s="560" t="s"/>
      <c r="AI184" s="565" t="s"/>
      <c r="AJ184" s="161" t="s"/>
      <c r="AK184" s="560" t="s"/>
      <c r="AL184" s="560" t="s"/>
      <c r="AM184" s="560" t="s"/>
    </row>
    <row r="185" spans="1:39" customHeight="false">
      <c r="A185" s="557" t="s"/>
      <c r="B185" s="558" t="s"/>
      <c r="C185" s="558" t="s"/>
      <c r="D185" s="559" t="s"/>
      <c r="E185" s="557" t="s"/>
      <c r="F185" s="557" t="s"/>
      <c r="G185" s="557" t="s"/>
      <c r="H185" s="557" t="s"/>
      <c r="I185" s="560" t="s"/>
      <c r="J185" s="561" t="s"/>
      <c r="K185" s="187" t="s"/>
      <c r="L185" s="187" t="s"/>
      <c r="M185" s="562" t="s"/>
      <c r="N185" s="562" t="s"/>
      <c r="O185" s="562" t="s"/>
      <c r="P185" s="562" t="s"/>
      <c r="Q185" s="562" t="s"/>
      <c r="R185" s="562" t="s"/>
      <c r="S185" s="563" t="s"/>
      <c r="T185" s="560" t="s"/>
      <c r="U185" s="560" t="s"/>
      <c r="V185" s="560" t="s"/>
      <c r="W185" s="564" t="s"/>
      <c r="X185" s="258" t="s"/>
      <c r="Y185" s="560" t="s"/>
      <c r="Z185" s="560" t="s"/>
      <c r="AA185" s="560" t="s"/>
      <c r="AB185" s="560" t="s"/>
      <c r="AC185" s="564" t="s"/>
      <c r="AD185" s="161" t="s"/>
      <c r="AE185" s="560" t="s"/>
      <c r="AF185" s="560" t="s"/>
      <c r="AG185" s="560" t="s"/>
      <c r="AH185" s="560" t="s"/>
      <c r="AI185" s="565" t="s"/>
      <c r="AJ185" s="161" t="s"/>
      <c r="AK185" s="560" t="s"/>
      <c r="AL185" s="560" t="s"/>
      <c r="AM185" s="560" t="s"/>
    </row>
    <row r="186" spans="1:39" customHeight="false">
      <c r="A186" s="557" t="s"/>
      <c r="B186" s="558" t="s"/>
      <c r="C186" s="558" t="s"/>
      <c r="D186" s="559" t="s"/>
      <c r="E186" s="557" t="s"/>
      <c r="F186" s="557" t="s"/>
      <c r="G186" s="557" t="s"/>
      <c r="H186" s="557" t="s"/>
      <c r="I186" s="560" t="s"/>
      <c r="J186" s="561" t="s"/>
      <c r="K186" s="187" t="s"/>
      <c r="L186" s="187" t="s"/>
      <c r="M186" s="562" t="s"/>
      <c r="N186" s="562" t="s"/>
      <c r="O186" s="562" t="s"/>
      <c r="P186" s="562" t="s"/>
      <c r="Q186" s="562" t="s"/>
      <c r="R186" s="562" t="s"/>
      <c r="S186" s="563" t="s"/>
      <c r="T186" s="560" t="s"/>
      <c r="U186" s="560" t="s"/>
      <c r="V186" s="560" t="s"/>
      <c r="W186" s="564" t="s"/>
      <c r="X186" s="258" t="s"/>
      <c r="Y186" s="560" t="s"/>
      <c r="Z186" s="560" t="s"/>
      <c r="AA186" s="560" t="s"/>
      <c r="AB186" s="560" t="s"/>
      <c r="AC186" s="564" t="s"/>
      <c r="AD186" s="161" t="s"/>
      <c r="AE186" s="560" t="s"/>
      <c r="AF186" s="560" t="s"/>
      <c r="AG186" s="560" t="s"/>
      <c r="AH186" s="560" t="s"/>
      <c r="AI186" s="565" t="s"/>
      <c r="AJ186" s="161" t="s"/>
      <c r="AK186" s="560" t="s"/>
      <c r="AL186" s="560" t="s"/>
      <c r="AM186" s="560" t="s"/>
    </row>
    <row r="187" spans="1:39" customHeight="false">
      <c r="A187" s="557" t="s"/>
      <c r="B187" s="558" t="s"/>
      <c r="C187" s="558" t="s"/>
      <c r="D187" s="559" t="s"/>
      <c r="E187" s="557" t="s"/>
      <c r="F187" s="557" t="s"/>
      <c r="G187" s="557" t="s"/>
      <c r="H187" s="557" t="s"/>
      <c r="I187" s="560" t="s"/>
      <c r="J187" s="561" t="s"/>
      <c r="K187" s="187" t="s"/>
      <c r="L187" s="187" t="s"/>
      <c r="M187" s="562" t="s"/>
      <c r="N187" s="562" t="s"/>
      <c r="O187" s="562" t="s"/>
      <c r="P187" s="562" t="s"/>
      <c r="Q187" s="562" t="s"/>
      <c r="R187" s="562" t="s"/>
      <c r="S187" s="563" t="s"/>
      <c r="T187" s="560" t="s"/>
      <c r="U187" s="560" t="s"/>
      <c r="V187" s="560" t="s"/>
      <c r="W187" s="564" t="s"/>
      <c r="X187" s="258" t="s"/>
      <c r="Y187" s="560" t="s"/>
      <c r="Z187" s="560" t="s"/>
      <c r="AA187" s="560" t="s"/>
      <c r="AB187" s="560" t="s"/>
      <c r="AC187" s="564" t="s"/>
      <c r="AD187" s="161" t="s"/>
      <c r="AE187" s="560" t="s"/>
      <c r="AF187" s="560" t="s"/>
      <c r="AG187" s="560" t="s"/>
      <c r="AH187" s="560" t="s"/>
      <c r="AI187" s="565" t="s"/>
      <c r="AJ187" s="161" t="s"/>
      <c r="AK187" s="560" t="s"/>
      <c r="AL187" s="560" t="s"/>
      <c r="AM187" s="560" t="s"/>
    </row>
    <row r="188" spans="1:39" customHeight="false">
      <c r="A188" s="557" t="s"/>
      <c r="B188" s="558" t="s"/>
      <c r="C188" s="558" t="s"/>
      <c r="D188" s="559" t="s"/>
      <c r="E188" s="557" t="s"/>
      <c r="F188" s="557" t="s"/>
      <c r="G188" s="557" t="s"/>
      <c r="H188" s="557" t="s"/>
      <c r="I188" s="560" t="s"/>
      <c r="J188" s="561" t="s"/>
      <c r="K188" s="187" t="s"/>
      <c r="L188" s="187" t="s"/>
      <c r="M188" s="562" t="s"/>
      <c r="N188" s="562" t="s"/>
      <c r="O188" s="562" t="s"/>
      <c r="P188" s="562" t="s"/>
      <c r="Q188" s="562" t="s"/>
      <c r="R188" s="562" t="s"/>
      <c r="S188" s="563" t="s"/>
      <c r="T188" s="560" t="s"/>
      <c r="U188" s="560" t="s"/>
      <c r="V188" s="560" t="s"/>
      <c r="W188" s="564" t="s"/>
      <c r="X188" s="258" t="s"/>
      <c r="Y188" s="560" t="s"/>
      <c r="Z188" s="560" t="s"/>
      <c r="AA188" s="560" t="s"/>
      <c r="AB188" s="560" t="s"/>
      <c r="AC188" s="564" t="s"/>
      <c r="AD188" s="161" t="s"/>
      <c r="AE188" s="560" t="s"/>
      <c r="AF188" s="560" t="s"/>
      <c r="AG188" s="560" t="s"/>
      <c r="AH188" s="560" t="s"/>
      <c r="AI188" s="565" t="s"/>
      <c r="AJ188" s="161" t="s"/>
      <c r="AK188" s="560" t="s"/>
      <c r="AL188" s="560" t="s"/>
      <c r="AM188" s="560" t="s"/>
    </row>
    <row r="189" spans="1:39" customHeight="false">
      <c r="A189" s="557" t="s"/>
      <c r="B189" s="558" t="s"/>
      <c r="C189" s="558" t="s"/>
      <c r="D189" s="559" t="s"/>
      <c r="E189" s="557" t="s"/>
      <c r="F189" s="557" t="s"/>
      <c r="G189" s="557" t="s"/>
      <c r="H189" s="557" t="s"/>
      <c r="I189" s="560" t="s"/>
      <c r="J189" s="561" t="s"/>
      <c r="K189" s="187" t="s"/>
      <c r="L189" s="187" t="s"/>
      <c r="M189" s="562" t="s"/>
      <c r="N189" s="562" t="s"/>
      <c r="O189" s="562" t="s"/>
      <c r="P189" s="562" t="s"/>
      <c r="Q189" s="562" t="s"/>
      <c r="R189" s="562" t="s"/>
      <c r="S189" s="563" t="s"/>
      <c r="T189" s="560" t="s"/>
      <c r="U189" s="560" t="s"/>
      <c r="V189" s="560" t="s"/>
      <c r="W189" s="564" t="s"/>
      <c r="X189" s="258" t="s"/>
      <c r="Y189" s="560" t="s"/>
      <c r="Z189" s="560" t="s"/>
      <c r="AA189" s="560" t="s"/>
      <c r="AB189" s="560" t="s"/>
      <c r="AC189" s="564" t="s"/>
      <c r="AD189" s="161" t="s"/>
      <c r="AE189" s="560" t="s"/>
      <c r="AF189" s="560" t="s"/>
      <c r="AG189" s="560" t="s"/>
      <c r="AH189" s="560" t="s"/>
      <c r="AI189" s="565" t="s"/>
      <c r="AJ189" s="161" t="s"/>
      <c r="AK189" s="560" t="s"/>
      <c r="AL189" s="560" t="s"/>
      <c r="AM189" s="560" t="s"/>
    </row>
    <row r="190" spans="1:39" customHeight="false">
      <c r="A190" s="557" t="s"/>
      <c r="B190" s="558" t="s"/>
      <c r="C190" s="558" t="s"/>
      <c r="D190" s="559" t="s"/>
      <c r="E190" s="557" t="s"/>
      <c r="F190" s="557" t="s"/>
      <c r="G190" s="557" t="s"/>
      <c r="H190" s="557" t="s"/>
      <c r="I190" s="560" t="s"/>
      <c r="J190" s="561" t="s"/>
      <c r="K190" s="187" t="s"/>
      <c r="L190" s="187" t="s"/>
      <c r="M190" s="562" t="s"/>
      <c r="N190" s="562" t="s"/>
      <c r="O190" s="562" t="s"/>
      <c r="P190" s="562" t="s"/>
      <c r="Q190" s="562" t="s"/>
      <c r="R190" s="562" t="s"/>
      <c r="S190" s="563" t="s"/>
      <c r="T190" s="560" t="s"/>
      <c r="U190" s="560" t="s"/>
      <c r="V190" s="560" t="s"/>
      <c r="W190" s="564" t="s"/>
      <c r="X190" s="258" t="s"/>
      <c r="Y190" s="560" t="s"/>
      <c r="Z190" s="560" t="s"/>
      <c r="AA190" s="560" t="s"/>
      <c r="AB190" s="560" t="s"/>
      <c r="AC190" s="564" t="s"/>
      <c r="AD190" s="161" t="s"/>
      <c r="AE190" s="560" t="s"/>
      <c r="AF190" s="560" t="s"/>
      <c r="AG190" s="560" t="s"/>
      <c r="AH190" s="560" t="s"/>
      <c r="AI190" s="565" t="s"/>
      <c r="AJ190" s="161" t="s"/>
      <c r="AK190" s="560" t="s"/>
      <c r="AL190" s="560" t="s"/>
      <c r="AM190" s="560" t="s"/>
    </row>
    <row r="191" spans="1:39" customHeight="false">
      <c r="A191" s="557" t="s"/>
      <c r="B191" s="558" t="s"/>
      <c r="C191" s="558" t="s"/>
      <c r="D191" s="559" t="s"/>
      <c r="E191" s="557" t="s"/>
      <c r="F191" s="557" t="s"/>
      <c r="G191" s="557" t="s"/>
      <c r="H191" s="557" t="s"/>
      <c r="I191" s="560" t="s"/>
      <c r="J191" s="561" t="s"/>
      <c r="K191" s="187" t="s"/>
      <c r="L191" s="187" t="s"/>
      <c r="M191" s="562" t="s"/>
      <c r="N191" s="562" t="s"/>
      <c r="O191" s="562" t="s"/>
      <c r="P191" s="562" t="s"/>
      <c r="Q191" s="562" t="s"/>
      <c r="R191" s="562" t="s"/>
      <c r="S191" s="563" t="s"/>
      <c r="T191" s="560" t="s"/>
      <c r="U191" s="560" t="s"/>
      <c r="V191" s="560" t="s"/>
      <c r="W191" s="564" t="s"/>
      <c r="X191" s="258" t="s"/>
      <c r="Y191" s="560" t="s"/>
      <c r="Z191" s="560" t="s"/>
      <c r="AA191" s="560" t="s"/>
      <c r="AB191" s="560" t="s"/>
      <c r="AC191" s="564" t="s"/>
      <c r="AD191" s="161" t="s"/>
      <c r="AE191" s="560" t="s"/>
      <c r="AF191" s="560" t="s"/>
      <c r="AG191" s="560" t="s"/>
      <c r="AH191" s="560" t="s"/>
      <c r="AI191" s="565" t="s"/>
      <c r="AJ191" s="161" t="s"/>
      <c r="AK191" s="560" t="s"/>
      <c r="AL191" s="560" t="s"/>
      <c r="AM191" s="560" t="s"/>
    </row>
    <row r="192" spans="1:39" customHeight="false">
      <c r="A192" s="557" t="s"/>
      <c r="B192" s="558" t="s"/>
      <c r="C192" s="558" t="s"/>
      <c r="D192" s="559" t="s"/>
      <c r="E192" s="557" t="s"/>
      <c r="F192" s="557" t="s"/>
      <c r="G192" s="557" t="s"/>
      <c r="H192" s="557" t="s"/>
      <c r="I192" s="560" t="s"/>
      <c r="J192" s="561" t="s"/>
      <c r="K192" s="187" t="s"/>
      <c r="L192" s="187" t="s"/>
      <c r="M192" s="562" t="s"/>
      <c r="N192" s="562" t="s"/>
      <c r="O192" s="562" t="s"/>
      <c r="P192" s="562" t="s"/>
      <c r="Q192" s="562" t="s"/>
      <c r="R192" s="562" t="s"/>
      <c r="S192" s="563" t="s"/>
      <c r="T192" s="560" t="s"/>
      <c r="U192" s="560" t="s"/>
      <c r="V192" s="560" t="s"/>
      <c r="W192" s="564" t="s"/>
      <c r="X192" s="258" t="s"/>
      <c r="Y192" s="560" t="s"/>
      <c r="Z192" s="560" t="s"/>
      <c r="AA192" s="560" t="s"/>
      <c r="AB192" s="560" t="s"/>
      <c r="AC192" s="564" t="s"/>
      <c r="AD192" s="161" t="s"/>
      <c r="AE192" s="560" t="s"/>
      <c r="AF192" s="560" t="s"/>
      <c r="AG192" s="560" t="s"/>
      <c r="AH192" s="560" t="s"/>
      <c r="AI192" s="565" t="s"/>
      <c r="AJ192" s="161" t="s"/>
      <c r="AK192" s="560" t="s"/>
      <c r="AL192" s="560" t="s"/>
      <c r="AM192" s="560" t="s"/>
    </row>
    <row r="193" spans="1:39" customHeight="false">
      <c r="A193" s="557" t="s"/>
      <c r="B193" s="558" t="s"/>
      <c r="C193" s="558" t="s"/>
      <c r="D193" s="559" t="s"/>
      <c r="E193" s="557" t="s"/>
      <c r="F193" s="557" t="s"/>
      <c r="G193" s="557" t="s"/>
      <c r="H193" s="557" t="s"/>
      <c r="I193" s="560" t="s"/>
      <c r="J193" s="561" t="s"/>
      <c r="K193" s="187" t="s"/>
      <c r="L193" s="187" t="s"/>
      <c r="M193" s="562" t="s"/>
      <c r="N193" s="562" t="s"/>
      <c r="O193" s="562" t="s"/>
      <c r="P193" s="562" t="s"/>
      <c r="Q193" s="562" t="s"/>
      <c r="R193" s="562" t="s"/>
      <c r="S193" s="563" t="s"/>
      <c r="T193" s="560" t="s"/>
      <c r="U193" s="560" t="s"/>
      <c r="V193" s="560" t="s"/>
      <c r="W193" s="564" t="s"/>
      <c r="X193" s="258" t="s"/>
      <c r="Y193" s="560" t="s"/>
      <c r="Z193" s="560" t="s"/>
      <c r="AA193" s="560" t="s"/>
      <c r="AB193" s="560" t="s"/>
      <c r="AC193" s="564" t="s"/>
      <c r="AD193" s="161" t="s"/>
      <c r="AE193" s="560" t="s"/>
      <c r="AF193" s="560" t="s"/>
      <c r="AG193" s="560" t="s"/>
      <c r="AH193" s="560" t="s"/>
      <c r="AI193" s="565" t="s"/>
      <c r="AJ193" s="161" t="s"/>
      <c r="AK193" s="560" t="s"/>
      <c r="AL193" s="560" t="s"/>
      <c r="AM193" s="560" t="s"/>
    </row>
    <row r="194" spans="1:39" customHeight="false">
      <c r="A194" s="557" t="s"/>
      <c r="B194" s="558" t="s"/>
      <c r="C194" s="558" t="s"/>
      <c r="D194" s="559" t="s"/>
      <c r="E194" s="557" t="s"/>
      <c r="F194" s="557" t="s"/>
      <c r="G194" s="557" t="s"/>
      <c r="H194" s="557" t="s"/>
      <c r="I194" s="560" t="s"/>
      <c r="J194" s="561" t="s"/>
      <c r="K194" s="187" t="s"/>
      <c r="L194" s="187" t="s"/>
      <c r="M194" s="562" t="s"/>
      <c r="N194" s="562" t="s"/>
      <c r="O194" s="562" t="s"/>
      <c r="P194" s="562" t="s"/>
      <c r="Q194" s="562" t="s"/>
      <c r="R194" s="562" t="s"/>
      <c r="S194" s="563" t="s"/>
      <c r="T194" s="560" t="s"/>
      <c r="U194" s="560" t="s"/>
      <c r="V194" s="560" t="s"/>
      <c r="W194" s="564" t="s"/>
      <c r="X194" s="258" t="s"/>
      <c r="Y194" s="560" t="s"/>
      <c r="Z194" s="560" t="s"/>
      <c r="AA194" s="560" t="s"/>
      <c r="AB194" s="560" t="s"/>
      <c r="AC194" s="564" t="s"/>
      <c r="AD194" s="161" t="s"/>
      <c r="AE194" s="560" t="s"/>
      <c r="AF194" s="560" t="s"/>
      <c r="AG194" s="560" t="s"/>
      <c r="AH194" s="560" t="s"/>
      <c r="AI194" s="565" t="s"/>
      <c r="AJ194" s="161" t="s"/>
      <c r="AK194" s="560" t="s"/>
      <c r="AL194" s="560" t="s"/>
      <c r="AM194" s="560" t="s"/>
    </row>
    <row r="195" spans="1:39" customHeight="false">
      <c r="A195" s="557" t="s"/>
      <c r="B195" s="558" t="s"/>
      <c r="C195" s="558" t="s"/>
      <c r="D195" s="559" t="s"/>
      <c r="E195" s="557" t="s"/>
      <c r="F195" s="557" t="s"/>
      <c r="G195" s="557" t="s"/>
      <c r="H195" s="557" t="s"/>
      <c r="I195" s="560" t="s"/>
      <c r="J195" s="561" t="s"/>
      <c r="K195" s="187" t="s"/>
      <c r="L195" s="187" t="s"/>
      <c r="M195" s="562" t="s"/>
      <c r="N195" s="562" t="s"/>
      <c r="O195" s="562" t="s"/>
      <c r="P195" s="562" t="s"/>
      <c r="Q195" s="562" t="s"/>
      <c r="R195" s="562" t="s"/>
      <c r="S195" s="563" t="s"/>
      <c r="T195" s="560" t="s"/>
      <c r="U195" s="560" t="s"/>
      <c r="V195" s="560" t="s"/>
      <c r="W195" s="564" t="s"/>
      <c r="X195" s="258" t="s"/>
      <c r="Y195" s="560" t="s"/>
      <c r="Z195" s="560" t="s"/>
      <c r="AA195" s="560" t="s"/>
      <c r="AB195" s="560" t="s"/>
      <c r="AC195" s="564" t="s"/>
      <c r="AD195" s="161" t="s"/>
      <c r="AE195" s="560" t="s"/>
      <c r="AF195" s="560" t="s"/>
      <c r="AG195" s="560" t="s"/>
      <c r="AH195" s="560" t="s"/>
      <c r="AI195" s="565" t="s"/>
      <c r="AJ195" s="161" t="s"/>
      <c r="AK195" s="560" t="s"/>
      <c r="AL195" s="560" t="s"/>
      <c r="AM195" s="560" t="s"/>
    </row>
    <row r="196" spans="1:39" customHeight="false">
      <c r="A196" s="557" t="s"/>
      <c r="B196" s="558" t="s"/>
      <c r="C196" s="558" t="s"/>
      <c r="D196" s="559" t="s"/>
      <c r="E196" s="557" t="s"/>
      <c r="F196" s="557" t="s"/>
      <c r="G196" s="557" t="s"/>
      <c r="H196" s="557" t="s"/>
      <c r="I196" s="560" t="s"/>
      <c r="J196" s="561" t="s"/>
      <c r="K196" s="187" t="s"/>
      <c r="L196" s="187" t="s"/>
      <c r="M196" s="562" t="s"/>
      <c r="N196" s="562" t="s"/>
      <c r="O196" s="562" t="s"/>
      <c r="P196" s="562" t="s"/>
      <c r="Q196" s="562" t="s"/>
      <c r="R196" s="562" t="s"/>
      <c r="S196" s="563" t="s"/>
      <c r="T196" s="560" t="s"/>
      <c r="U196" s="560" t="s"/>
      <c r="V196" s="560" t="s"/>
      <c r="W196" s="564" t="s"/>
      <c r="X196" s="258" t="s"/>
      <c r="Y196" s="560" t="s"/>
      <c r="Z196" s="560" t="s"/>
      <c r="AA196" s="560" t="s"/>
      <c r="AB196" s="560" t="s"/>
      <c r="AC196" s="564" t="s"/>
      <c r="AD196" s="161" t="s"/>
      <c r="AE196" s="560" t="s"/>
      <c r="AF196" s="560" t="s"/>
      <c r="AG196" s="560" t="s"/>
      <c r="AH196" s="560" t="s"/>
      <c r="AI196" s="565" t="s"/>
      <c r="AJ196" s="161" t="s"/>
      <c r="AK196" s="560" t="s"/>
      <c r="AL196" s="560" t="s"/>
      <c r="AM196" s="560" t="s"/>
    </row>
    <row r="197" spans="1:39" customHeight="false">
      <c r="A197" s="557" t="s"/>
      <c r="B197" s="558" t="s"/>
      <c r="C197" s="558" t="s"/>
      <c r="D197" s="559" t="s"/>
      <c r="E197" s="557" t="s"/>
      <c r="F197" s="557" t="s"/>
      <c r="G197" s="557" t="s"/>
      <c r="H197" s="557" t="s"/>
      <c r="I197" s="560" t="s"/>
      <c r="J197" s="561" t="s"/>
      <c r="K197" s="187" t="s"/>
      <c r="L197" s="187" t="s"/>
      <c r="M197" s="562" t="s"/>
      <c r="N197" s="562" t="s"/>
      <c r="O197" s="562" t="s"/>
      <c r="P197" s="562" t="s"/>
      <c r="Q197" s="562" t="s"/>
      <c r="R197" s="562" t="s"/>
      <c r="S197" s="563" t="s"/>
      <c r="T197" s="560" t="s"/>
      <c r="U197" s="560" t="s"/>
      <c r="V197" s="560" t="s"/>
      <c r="W197" s="564" t="s"/>
      <c r="X197" s="258" t="s"/>
      <c r="Y197" s="560" t="s"/>
      <c r="Z197" s="560" t="s"/>
      <c r="AA197" s="560" t="s"/>
      <c r="AB197" s="560" t="s"/>
      <c r="AC197" s="564" t="s"/>
      <c r="AD197" s="161" t="s"/>
      <c r="AE197" s="560" t="s"/>
      <c r="AF197" s="560" t="s"/>
      <c r="AG197" s="560" t="s"/>
      <c r="AH197" s="560" t="s"/>
      <c r="AI197" s="565" t="s"/>
      <c r="AJ197" s="161" t="s"/>
      <c r="AK197" s="560" t="s"/>
      <c r="AL197" s="560" t="s"/>
      <c r="AM197" s="560" t="s"/>
    </row>
    <row r="198" spans="1:39" customHeight="false">
      <c r="A198" s="557" t="s"/>
      <c r="B198" s="558" t="s"/>
      <c r="C198" s="558" t="s"/>
      <c r="D198" s="559" t="s"/>
      <c r="E198" s="557" t="s"/>
      <c r="F198" s="557" t="s"/>
      <c r="G198" s="557" t="s"/>
      <c r="H198" s="557" t="s"/>
      <c r="I198" s="560" t="s"/>
      <c r="J198" s="561" t="s"/>
      <c r="K198" s="187" t="s"/>
      <c r="L198" s="187" t="s"/>
      <c r="M198" s="562" t="s"/>
      <c r="N198" s="562" t="s"/>
      <c r="O198" s="562" t="s"/>
      <c r="P198" s="562" t="s"/>
      <c r="Q198" s="562" t="s"/>
      <c r="R198" s="562" t="s"/>
      <c r="S198" s="563" t="s"/>
      <c r="T198" s="560" t="s"/>
      <c r="U198" s="560" t="s"/>
      <c r="V198" s="560" t="s"/>
      <c r="W198" s="564" t="s"/>
      <c r="X198" s="258" t="s"/>
      <c r="Y198" s="560" t="s"/>
      <c r="Z198" s="560" t="s"/>
      <c r="AA198" s="560" t="s"/>
      <c r="AB198" s="560" t="s"/>
      <c r="AC198" s="564" t="s"/>
      <c r="AD198" s="161" t="s"/>
      <c r="AE198" s="560" t="s"/>
      <c r="AF198" s="560" t="s"/>
      <c r="AG198" s="560" t="s"/>
      <c r="AH198" s="560" t="s"/>
      <c r="AI198" s="565" t="s"/>
      <c r="AJ198" s="161" t="s"/>
      <c r="AK198" s="560" t="s"/>
      <c r="AL198" s="560" t="s"/>
      <c r="AM198" s="560" t="s"/>
    </row>
    <row r="199" spans="1:39" customHeight="false">
      <c r="A199" s="557" t="s"/>
      <c r="B199" s="558" t="s"/>
      <c r="C199" s="558" t="s"/>
      <c r="D199" s="559" t="s"/>
      <c r="E199" s="557" t="s"/>
      <c r="F199" s="557" t="s"/>
      <c r="G199" s="557" t="s"/>
      <c r="H199" s="557" t="s"/>
      <c r="I199" s="560" t="s"/>
      <c r="J199" s="561" t="s"/>
      <c r="K199" s="187" t="s"/>
      <c r="L199" s="187" t="s"/>
      <c r="M199" s="562" t="s"/>
      <c r="N199" s="562" t="s"/>
      <c r="O199" s="562" t="s"/>
      <c r="P199" s="562" t="s"/>
      <c r="Q199" s="562" t="s"/>
      <c r="R199" s="562" t="s"/>
      <c r="S199" s="563" t="s"/>
      <c r="T199" s="560" t="s"/>
      <c r="U199" s="560" t="s"/>
      <c r="V199" s="560" t="s"/>
      <c r="W199" s="564" t="s"/>
      <c r="X199" s="258" t="s"/>
      <c r="Y199" s="560" t="s"/>
      <c r="Z199" s="560" t="s"/>
      <c r="AA199" s="560" t="s"/>
      <c r="AB199" s="560" t="s"/>
      <c r="AC199" s="564" t="s"/>
      <c r="AD199" s="161" t="s"/>
      <c r="AE199" s="560" t="s"/>
      <c r="AF199" s="560" t="s"/>
      <c r="AG199" s="560" t="s"/>
      <c r="AH199" s="560" t="s"/>
      <c r="AI199" s="565" t="s"/>
      <c r="AJ199" s="161" t="s"/>
      <c r="AK199" s="560" t="s"/>
      <c r="AL199" s="560" t="s"/>
      <c r="AM199" s="560" t="s"/>
    </row>
    <row r="200" spans="1:39" customHeight="false">
      <c r="A200" s="557" t="s"/>
      <c r="B200" s="558" t="s"/>
      <c r="C200" s="558" t="s"/>
      <c r="D200" s="559" t="s"/>
      <c r="E200" s="557" t="s"/>
      <c r="F200" s="557" t="s"/>
      <c r="G200" s="557" t="s"/>
      <c r="H200" s="557" t="s"/>
      <c r="I200" s="560" t="s"/>
      <c r="J200" s="561" t="s"/>
      <c r="K200" s="187" t="s"/>
      <c r="L200" s="187" t="s"/>
      <c r="M200" s="562" t="s"/>
      <c r="N200" s="562" t="s"/>
      <c r="O200" s="562" t="s"/>
      <c r="P200" s="562" t="s"/>
      <c r="Q200" s="562" t="s"/>
      <c r="R200" s="562" t="s"/>
      <c r="S200" s="563" t="s"/>
      <c r="T200" s="560" t="s"/>
      <c r="U200" s="560" t="s"/>
      <c r="V200" s="560" t="s"/>
      <c r="W200" s="564" t="s"/>
      <c r="X200" s="258" t="s"/>
      <c r="Y200" s="560" t="s"/>
      <c r="Z200" s="560" t="s"/>
      <c r="AA200" s="560" t="s"/>
      <c r="AB200" s="560" t="s"/>
      <c r="AC200" s="564" t="s"/>
      <c r="AD200" s="161" t="s"/>
      <c r="AE200" s="560" t="s"/>
      <c r="AF200" s="560" t="s"/>
      <c r="AG200" s="560" t="s"/>
      <c r="AH200" s="560" t="s"/>
      <c r="AI200" s="565" t="s"/>
      <c r="AJ200" s="161" t="s"/>
      <c r="AK200" s="560" t="s"/>
      <c r="AL200" s="560" t="s"/>
      <c r="AM200" s="560" t="s"/>
    </row>
    <row r="201" spans="1:39" customHeight="false">
      <c r="A201" s="557" t="s"/>
      <c r="B201" s="558" t="s"/>
      <c r="C201" s="558" t="s"/>
      <c r="D201" s="559" t="s"/>
      <c r="E201" s="557" t="s"/>
      <c r="F201" s="557" t="s"/>
      <c r="G201" s="557" t="s"/>
      <c r="H201" s="557" t="s"/>
      <c r="I201" s="560" t="s"/>
      <c r="J201" s="561" t="s"/>
      <c r="K201" s="187" t="s"/>
      <c r="L201" s="187" t="s"/>
      <c r="M201" s="562" t="s"/>
      <c r="N201" s="562" t="s"/>
      <c r="O201" s="562" t="s"/>
      <c r="P201" s="562" t="s"/>
      <c r="Q201" s="562" t="s"/>
      <c r="R201" s="562" t="s"/>
      <c r="S201" s="563" t="s"/>
      <c r="T201" s="560" t="s"/>
      <c r="U201" s="560" t="s"/>
      <c r="V201" s="560" t="s"/>
      <c r="W201" s="564" t="s"/>
      <c r="X201" s="258" t="s"/>
      <c r="Y201" s="560" t="s"/>
      <c r="Z201" s="560" t="s"/>
      <c r="AA201" s="560" t="s"/>
      <c r="AB201" s="560" t="s"/>
      <c r="AC201" s="564" t="s"/>
      <c r="AD201" s="161" t="s"/>
      <c r="AE201" s="560" t="s"/>
      <c r="AF201" s="560" t="s"/>
      <c r="AG201" s="560" t="s"/>
      <c r="AH201" s="560" t="s"/>
      <c r="AI201" s="565" t="s"/>
      <c r="AJ201" s="161" t="s"/>
      <c r="AK201" s="560" t="s"/>
      <c r="AL201" s="560" t="s"/>
      <c r="AM201" s="560" t="s"/>
    </row>
    <row r="202" spans="1:39" customHeight="false">
      <c r="A202" s="557" t="s"/>
      <c r="B202" s="558" t="s"/>
      <c r="C202" s="558" t="s"/>
      <c r="D202" s="559" t="s"/>
      <c r="E202" s="557" t="s"/>
      <c r="F202" s="557" t="s"/>
      <c r="G202" s="557" t="s"/>
      <c r="H202" s="557" t="s"/>
      <c r="I202" s="560" t="s"/>
      <c r="J202" s="561" t="s"/>
      <c r="K202" s="187" t="s"/>
      <c r="L202" s="187" t="s"/>
      <c r="M202" s="562" t="s"/>
      <c r="N202" s="562" t="s"/>
      <c r="O202" s="562" t="s"/>
      <c r="P202" s="562" t="s"/>
      <c r="Q202" s="562" t="s"/>
      <c r="R202" s="562" t="s"/>
      <c r="S202" s="563" t="s"/>
      <c r="T202" s="560" t="s"/>
      <c r="U202" s="560" t="s"/>
      <c r="V202" s="560" t="s"/>
      <c r="W202" s="564" t="s"/>
      <c r="X202" s="258" t="s"/>
      <c r="Y202" s="560" t="s"/>
      <c r="Z202" s="560" t="s"/>
      <c r="AA202" s="560" t="s"/>
      <c r="AB202" s="560" t="s"/>
      <c r="AC202" s="564" t="s"/>
      <c r="AD202" s="161" t="s"/>
      <c r="AE202" s="560" t="s"/>
      <c r="AF202" s="560" t="s"/>
      <c r="AG202" s="560" t="s"/>
      <c r="AH202" s="560" t="s"/>
      <c r="AI202" s="565" t="s"/>
      <c r="AJ202" s="161" t="s"/>
      <c r="AK202" s="560" t="s"/>
      <c r="AL202" s="560" t="s"/>
      <c r="AM202" s="560" t="s"/>
    </row>
    <row r="203" spans="1:39" customHeight="false">
      <c r="A203" s="557" t="s"/>
      <c r="B203" s="558" t="s"/>
      <c r="C203" s="558" t="s"/>
      <c r="D203" s="559" t="s"/>
      <c r="E203" s="557" t="s"/>
      <c r="F203" s="557" t="s"/>
      <c r="G203" s="557" t="s"/>
      <c r="H203" s="557" t="s"/>
      <c r="I203" s="560" t="s"/>
      <c r="J203" s="561" t="s"/>
      <c r="K203" s="187" t="s"/>
      <c r="L203" s="187" t="s"/>
      <c r="M203" s="562" t="s"/>
      <c r="N203" s="562" t="s"/>
      <c r="O203" s="562" t="s"/>
      <c r="P203" s="562" t="s"/>
      <c r="Q203" s="562" t="s"/>
      <c r="R203" s="562" t="s"/>
      <c r="S203" s="563" t="s"/>
      <c r="T203" s="560" t="s"/>
      <c r="U203" s="560" t="s"/>
      <c r="V203" s="560" t="s"/>
      <c r="W203" s="564" t="s"/>
      <c r="X203" s="258" t="s"/>
      <c r="Y203" s="560" t="s"/>
      <c r="Z203" s="560" t="s"/>
      <c r="AA203" s="560" t="s"/>
      <c r="AB203" s="560" t="s"/>
      <c r="AC203" s="564" t="s"/>
      <c r="AD203" s="161" t="s"/>
      <c r="AE203" s="560" t="s"/>
      <c r="AF203" s="560" t="s"/>
      <c r="AG203" s="560" t="s"/>
      <c r="AH203" s="560" t="s"/>
      <c r="AI203" s="565" t="s"/>
      <c r="AJ203" s="161" t="s"/>
      <c r="AK203" s="560" t="s"/>
      <c r="AL203" s="560" t="s"/>
      <c r="AM203" s="560" t="s"/>
    </row>
    <row r="204" spans="1:39" customHeight="false">
      <c r="A204" s="557" t="s"/>
      <c r="B204" s="558" t="s"/>
      <c r="C204" s="558" t="s"/>
      <c r="D204" s="559" t="s"/>
      <c r="E204" s="557" t="s"/>
      <c r="F204" s="557" t="s"/>
      <c r="G204" s="557" t="s"/>
      <c r="H204" s="557" t="s"/>
      <c r="I204" s="560" t="s"/>
      <c r="J204" s="561" t="s"/>
      <c r="K204" s="187" t="s"/>
      <c r="L204" s="187" t="s"/>
      <c r="M204" s="562" t="s"/>
      <c r="N204" s="562" t="s"/>
      <c r="O204" s="562" t="s"/>
      <c r="P204" s="562" t="s"/>
      <c r="Q204" s="562" t="s"/>
      <c r="R204" s="562" t="s"/>
      <c r="S204" s="563" t="s"/>
      <c r="T204" s="560" t="s"/>
      <c r="U204" s="560" t="s"/>
      <c r="V204" s="560" t="s"/>
      <c r="W204" s="564" t="s"/>
      <c r="X204" s="258" t="s"/>
      <c r="Y204" s="560" t="s"/>
      <c r="Z204" s="560" t="s"/>
      <c r="AA204" s="560" t="s"/>
      <c r="AB204" s="560" t="s"/>
      <c r="AC204" s="564" t="s"/>
      <c r="AD204" s="161" t="s"/>
      <c r="AE204" s="560" t="s"/>
      <c r="AF204" s="560" t="s"/>
      <c r="AG204" s="560" t="s"/>
      <c r="AH204" s="560" t="s"/>
      <c r="AI204" s="565" t="s"/>
      <c r="AJ204" s="161" t="s"/>
      <c r="AK204" s="560" t="s"/>
      <c r="AL204" s="560" t="s"/>
      <c r="AM204" s="560" t="s"/>
    </row>
    <row r="205" spans="1:39" customHeight="false">
      <c r="A205" s="557" t="s"/>
      <c r="B205" s="558" t="s"/>
      <c r="C205" s="558" t="s"/>
      <c r="D205" s="559" t="s"/>
      <c r="E205" s="557" t="s"/>
      <c r="F205" s="557" t="s"/>
      <c r="G205" s="557" t="s"/>
      <c r="H205" s="557" t="s"/>
      <c r="I205" s="560" t="s"/>
      <c r="J205" s="561" t="s"/>
      <c r="K205" s="187" t="s"/>
      <c r="L205" s="187" t="s"/>
      <c r="M205" s="562" t="s"/>
      <c r="N205" s="562" t="s"/>
      <c r="O205" s="562" t="s"/>
      <c r="P205" s="562" t="s"/>
      <c r="Q205" s="562" t="s"/>
      <c r="R205" s="562" t="s"/>
      <c r="S205" s="563" t="s"/>
      <c r="T205" s="560" t="s"/>
      <c r="U205" s="560" t="s"/>
      <c r="V205" s="560" t="s"/>
      <c r="W205" s="564" t="s"/>
      <c r="X205" s="258" t="s"/>
      <c r="Y205" s="560" t="s"/>
      <c r="Z205" s="560" t="s"/>
      <c r="AA205" s="560" t="s"/>
      <c r="AB205" s="560" t="s"/>
      <c r="AC205" s="564" t="s"/>
      <c r="AD205" s="161" t="s"/>
      <c r="AE205" s="560" t="s"/>
      <c r="AF205" s="560" t="s"/>
      <c r="AG205" s="560" t="s"/>
      <c r="AH205" s="560" t="s"/>
      <c r="AI205" s="565" t="s"/>
      <c r="AJ205" s="161" t="s"/>
      <c r="AK205" s="560" t="s"/>
      <c r="AL205" s="560" t="s"/>
      <c r="AM205" s="560" t="s"/>
    </row>
    <row r="206" spans="1:39" customHeight="false">
      <c r="A206" s="557" t="s"/>
      <c r="B206" s="558" t="s"/>
      <c r="C206" s="558" t="s"/>
      <c r="D206" s="559" t="s"/>
      <c r="E206" s="557" t="s"/>
      <c r="F206" s="557" t="s"/>
      <c r="G206" s="557" t="s"/>
      <c r="H206" s="557" t="s"/>
      <c r="I206" s="560" t="s"/>
      <c r="J206" s="561" t="s"/>
      <c r="K206" s="187" t="s"/>
      <c r="L206" s="187" t="s"/>
      <c r="M206" s="562" t="s"/>
      <c r="N206" s="562" t="s"/>
      <c r="O206" s="562" t="s"/>
      <c r="P206" s="562" t="s"/>
      <c r="Q206" s="562" t="s"/>
      <c r="R206" s="562" t="s"/>
      <c r="S206" s="563" t="s"/>
      <c r="T206" s="560" t="s"/>
      <c r="U206" s="560" t="s"/>
      <c r="V206" s="560" t="s"/>
      <c r="W206" s="564" t="s"/>
      <c r="X206" s="258" t="s"/>
      <c r="Y206" s="560" t="s"/>
      <c r="Z206" s="560" t="s"/>
      <c r="AA206" s="560" t="s"/>
      <c r="AB206" s="560" t="s"/>
      <c r="AC206" s="564" t="s"/>
      <c r="AD206" s="161" t="s"/>
      <c r="AE206" s="560" t="s"/>
      <c r="AF206" s="560" t="s"/>
      <c r="AG206" s="560" t="s"/>
      <c r="AH206" s="560" t="s"/>
      <c r="AI206" s="565" t="s"/>
      <c r="AJ206" s="161" t="s"/>
      <c r="AK206" s="560" t="s"/>
      <c r="AL206" s="560" t="s"/>
      <c r="AM206" s="560" t="s"/>
    </row>
    <row r="207" spans="1:39" customHeight="false">
      <c r="A207" s="557" t="s"/>
      <c r="B207" s="558" t="s"/>
      <c r="C207" s="558" t="s"/>
      <c r="D207" s="559" t="s"/>
      <c r="E207" s="557" t="s"/>
      <c r="F207" s="557" t="s"/>
      <c r="G207" s="557" t="s"/>
      <c r="H207" s="557" t="s"/>
      <c r="I207" s="560" t="s"/>
      <c r="J207" s="561" t="s"/>
      <c r="K207" s="187" t="s"/>
      <c r="L207" s="187" t="s"/>
      <c r="M207" s="562" t="s"/>
      <c r="N207" s="562" t="s"/>
      <c r="O207" s="562" t="s"/>
      <c r="P207" s="562" t="s"/>
      <c r="Q207" s="562" t="s"/>
      <c r="R207" s="562" t="s"/>
      <c r="S207" s="563" t="s"/>
      <c r="T207" s="560" t="s"/>
      <c r="U207" s="560" t="s"/>
      <c r="V207" s="560" t="s"/>
      <c r="W207" s="564" t="s"/>
      <c r="X207" s="258" t="s"/>
      <c r="Y207" s="560" t="s"/>
      <c r="Z207" s="560" t="s"/>
      <c r="AA207" s="560" t="s"/>
      <c r="AB207" s="560" t="s"/>
      <c r="AC207" s="564" t="s"/>
      <c r="AD207" s="161" t="s"/>
      <c r="AE207" s="560" t="s"/>
      <c r="AF207" s="560" t="s"/>
      <c r="AG207" s="560" t="s"/>
      <c r="AH207" s="560" t="s"/>
      <c r="AI207" s="565" t="s"/>
      <c r="AJ207" s="161" t="s"/>
      <c r="AK207" s="560" t="s"/>
      <c r="AL207" s="560" t="s"/>
      <c r="AM207" s="560" t="s"/>
    </row>
    <row r="208" spans="1:39" customHeight="false">
      <c r="A208" s="557" t="s"/>
      <c r="B208" s="558" t="s"/>
      <c r="C208" s="558" t="s"/>
      <c r="D208" s="559" t="s"/>
      <c r="E208" s="557" t="s"/>
      <c r="F208" s="557" t="s"/>
      <c r="G208" s="557" t="s"/>
      <c r="H208" s="557" t="s"/>
      <c r="I208" s="560" t="s"/>
      <c r="J208" s="561" t="s"/>
      <c r="K208" s="187" t="s"/>
      <c r="L208" s="187" t="s"/>
      <c r="M208" s="562" t="s"/>
      <c r="N208" s="562" t="s"/>
      <c r="O208" s="562" t="s"/>
      <c r="P208" s="562" t="s"/>
      <c r="Q208" s="562" t="s"/>
      <c r="R208" s="562" t="s"/>
      <c r="S208" s="563" t="s"/>
      <c r="T208" s="560" t="s"/>
      <c r="U208" s="560" t="s"/>
      <c r="V208" s="560" t="s"/>
      <c r="W208" s="564" t="s"/>
      <c r="X208" s="258" t="s"/>
      <c r="Y208" s="560" t="s"/>
      <c r="Z208" s="560" t="s"/>
      <c r="AA208" s="560" t="s"/>
      <c r="AB208" s="560" t="s"/>
      <c r="AC208" s="564" t="s"/>
      <c r="AD208" s="161" t="s"/>
      <c r="AE208" s="560" t="s"/>
      <c r="AF208" s="560" t="s"/>
      <c r="AG208" s="560" t="s"/>
      <c r="AH208" s="560" t="s"/>
      <c r="AI208" s="565" t="s"/>
      <c r="AJ208" s="161" t="s"/>
      <c r="AK208" s="560" t="s"/>
      <c r="AL208" s="560" t="s"/>
      <c r="AM208" s="560" t="s"/>
    </row>
    <row r="209" spans="1:39" customHeight="false">
      <c r="A209" s="557" t="s"/>
      <c r="B209" s="558" t="s"/>
      <c r="C209" s="558" t="s"/>
      <c r="D209" s="559" t="s"/>
      <c r="E209" s="557" t="s"/>
      <c r="F209" s="557" t="s"/>
      <c r="G209" s="557" t="s"/>
      <c r="H209" s="557" t="s"/>
      <c r="I209" s="560" t="s"/>
      <c r="J209" s="561" t="s"/>
      <c r="K209" s="187" t="s"/>
      <c r="L209" s="187" t="s"/>
      <c r="M209" s="562" t="s"/>
      <c r="N209" s="562" t="s"/>
      <c r="O209" s="562" t="s"/>
      <c r="P209" s="562" t="s"/>
      <c r="Q209" s="562" t="s"/>
      <c r="R209" s="562" t="s"/>
      <c r="S209" s="563" t="s"/>
      <c r="T209" s="560" t="s"/>
      <c r="U209" s="560" t="s"/>
      <c r="V209" s="560" t="s"/>
      <c r="W209" s="564" t="s"/>
      <c r="X209" s="258" t="s"/>
      <c r="Y209" s="560" t="s"/>
      <c r="Z209" s="560" t="s"/>
      <c r="AA209" s="560" t="s"/>
      <c r="AB209" s="560" t="s"/>
      <c r="AC209" s="564" t="s"/>
      <c r="AD209" s="161" t="s"/>
      <c r="AE209" s="560" t="s"/>
      <c r="AF209" s="560" t="s"/>
      <c r="AG209" s="560" t="s"/>
      <c r="AH209" s="560" t="s"/>
      <c r="AI209" s="565" t="s"/>
      <c r="AJ209" s="161" t="s"/>
      <c r="AK209" s="560" t="s"/>
      <c r="AL209" s="560" t="s"/>
      <c r="AM209" s="560" t="s"/>
    </row>
    <row r="210" spans="1:39" customHeight="false">
      <c r="A210" s="557" t="s"/>
      <c r="B210" s="558" t="s"/>
      <c r="C210" s="558" t="s"/>
      <c r="D210" s="559" t="s"/>
      <c r="E210" s="557" t="s"/>
      <c r="F210" s="557" t="s"/>
      <c r="G210" s="557" t="s"/>
      <c r="H210" s="557" t="s"/>
      <c r="I210" s="560" t="s"/>
      <c r="J210" s="561" t="s"/>
      <c r="K210" s="187" t="s"/>
      <c r="L210" s="187" t="s"/>
      <c r="M210" s="562" t="s"/>
      <c r="N210" s="562" t="s"/>
      <c r="O210" s="562" t="s"/>
      <c r="P210" s="562" t="s"/>
      <c r="Q210" s="562" t="s"/>
      <c r="R210" s="562" t="s"/>
      <c r="S210" s="563" t="s"/>
      <c r="T210" s="560" t="s"/>
      <c r="U210" s="560" t="s"/>
      <c r="V210" s="560" t="s"/>
      <c r="W210" s="564" t="s"/>
      <c r="X210" s="258" t="s"/>
      <c r="Y210" s="560" t="s"/>
      <c r="Z210" s="560" t="s"/>
      <c r="AA210" s="560" t="s"/>
      <c r="AB210" s="560" t="s"/>
      <c r="AC210" s="564" t="s"/>
      <c r="AD210" s="161" t="s"/>
      <c r="AE210" s="560" t="s"/>
      <c r="AF210" s="560" t="s"/>
      <c r="AG210" s="560" t="s"/>
      <c r="AH210" s="560" t="s"/>
      <c r="AI210" s="565" t="s"/>
      <c r="AJ210" s="161" t="s"/>
      <c r="AK210" s="560" t="s"/>
      <c r="AL210" s="560" t="s"/>
      <c r="AM210" s="560" t="s"/>
    </row>
    <row r="211" spans="1:39" customHeight="false">
      <c r="A211" s="557" t="s"/>
      <c r="B211" s="558" t="s"/>
      <c r="C211" s="558" t="s"/>
      <c r="D211" s="559" t="s"/>
      <c r="E211" s="557" t="s"/>
      <c r="F211" s="557" t="s"/>
      <c r="G211" s="557" t="s"/>
      <c r="H211" s="557" t="s"/>
      <c r="I211" s="560" t="s"/>
      <c r="J211" s="561" t="s"/>
      <c r="K211" s="187" t="s"/>
      <c r="L211" s="187" t="s"/>
      <c r="M211" s="562" t="s"/>
      <c r="N211" s="562" t="s"/>
      <c r="O211" s="562" t="s"/>
      <c r="P211" s="562" t="s"/>
      <c r="Q211" s="562" t="s"/>
      <c r="R211" s="562" t="s"/>
      <c r="S211" s="563" t="s"/>
      <c r="T211" s="560" t="s"/>
      <c r="U211" s="560" t="s"/>
      <c r="V211" s="560" t="s"/>
      <c r="W211" s="564" t="s"/>
      <c r="X211" s="258" t="s"/>
      <c r="Y211" s="560" t="s"/>
      <c r="Z211" s="560" t="s"/>
      <c r="AA211" s="560" t="s"/>
      <c r="AB211" s="560" t="s"/>
      <c r="AC211" s="564" t="s"/>
      <c r="AD211" s="161" t="s"/>
      <c r="AE211" s="560" t="s"/>
      <c r="AF211" s="560" t="s"/>
      <c r="AG211" s="560" t="s"/>
      <c r="AH211" s="560" t="s"/>
      <c r="AI211" s="565" t="s"/>
      <c r="AJ211" s="161" t="s"/>
      <c r="AK211" s="560" t="s"/>
      <c r="AL211" s="560" t="s"/>
      <c r="AM211" s="560" t="s"/>
    </row>
    <row r="212" spans="1:39" customHeight="false">
      <c r="A212" s="557" t="s"/>
      <c r="B212" s="558" t="s"/>
      <c r="C212" s="558" t="s"/>
      <c r="D212" s="559" t="s"/>
      <c r="E212" s="557" t="s"/>
      <c r="F212" s="557" t="s"/>
      <c r="G212" s="557" t="s"/>
      <c r="H212" s="557" t="s"/>
      <c r="I212" s="560" t="s"/>
      <c r="J212" s="561" t="s"/>
      <c r="K212" s="187" t="s"/>
      <c r="L212" s="187" t="s"/>
      <c r="M212" s="562" t="s"/>
      <c r="N212" s="562" t="s"/>
      <c r="O212" s="562" t="s"/>
      <c r="P212" s="562" t="s"/>
      <c r="Q212" s="562" t="s"/>
      <c r="R212" s="562" t="s"/>
      <c r="S212" s="563" t="s"/>
      <c r="T212" s="560" t="s"/>
      <c r="U212" s="560" t="s"/>
      <c r="V212" s="560" t="s"/>
      <c r="W212" s="564" t="s"/>
      <c r="X212" s="258" t="s"/>
      <c r="Y212" s="560" t="s"/>
      <c r="Z212" s="560" t="s"/>
      <c r="AA212" s="560" t="s"/>
      <c r="AB212" s="560" t="s"/>
      <c r="AC212" s="564" t="s"/>
      <c r="AD212" s="161" t="s"/>
      <c r="AE212" s="560" t="s"/>
      <c r="AF212" s="560" t="s"/>
      <c r="AG212" s="560" t="s"/>
      <c r="AH212" s="560" t="s"/>
      <c r="AI212" s="565" t="s"/>
      <c r="AJ212" s="161" t="s"/>
      <c r="AK212" s="560" t="s"/>
      <c r="AL212" s="560" t="s"/>
      <c r="AM212" s="560" t="s"/>
    </row>
    <row r="213" spans="1:39" customHeight="false">
      <c r="A213" s="557" t="s"/>
      <c r="B213" s="558" t="s"/>
      <c r="C213" s="558" t="s"/>
      <c r="D213" s="559" t="s"/>
      <c r="E213" s="557" t="s"/>
      <c r="F213" s="557" t="s"/>
      <c r="G213" s="557" t="s"/>
      <c r="H213" s="557" t="s"/>
      <c r="I213" s="560" t="s"/>
      <c r="J213" s="561" t="s"/>
      <c r="K213" s="187" t="s"/>
      <c r="L213" s="187" t="s"/>
      <c r="M213" s="562" t="s"/>
      <c r="N213" s="562" t="s"/>
      <c r="O213" s="562" t="s"/>
      <c r="P213" s="562" t="s"/>
      <c r="Q213" s="562" t="s"/>
      <c r="R213" s="562" t="s"/>
      <c r="S213" s="563" t="s"/>
      <c r="T213" s="560" t="s"/>
      <c r="U213" s="560" t="s"/>
      <c r="V213" s="560" t="s"/>
      <c r="W213" s="564" t="s"/>
      <c r="X213" s="258" t="s"/>
      <c r="Y213" s="560" t="s"/>
      <c r="Z213" s="560" t="s"/>
      <c r="AA213" s="560" t="s"/>
      <c r="AB213" s="560" t="s"/>
      <c r="AC213" s="564" t="s"/>
      <c r="AD213" s="161" t="s"/>
      <c r="AE213" s="560" t="s"/>
      <c r="AF213" s="560" t="s"/>
      <c r="AG213" s="560" t="s"/>
      <c r="AH213" s="560" t="s"/>
      <c r="AI213" s="565" t="s"/>
      <c r="AJ213" s="161" t="s"/>
      <c r="AK213" s="560" t="s"/>
      <c r="AL213" s="560" t="s"/>
      <c r="AM213" s="560" t="s"/>
    </row>
    <row r="214" spans="1:39" customHeight="false">
      <c r="A214" s="557" t="s"/>
      <c r="B214" s="558" t="s"/>
      <c r="C214" s="558" t="s"/>
      <c r="D214" s="559" t="s"/>
      <c r="E214" s="557" t="s"/>
      <c r="F214" s="557" t="s"/>
      <c r="G214" s="557" t="s"/>
      <c r="H214" s="557" t="s"/>
      <c r="I214" s="560" t="s"/>
      <c r="J214" s="561" t="s"/>
      <c r="K214" s="187" t="s"/>
      <c r="L214" s="187" t="s"/>
      <c r="M214" s="562" t="s"/>
      <c r="N214" s="562" t="s"/>
      <c r="O214" s="562" t="s"/>
      <c r="P214" s="562" t="s"/>
      <c r="Q214" s="562" t="s"/>
      <c r="R214" s="562" t="s"/>
      <c r="S214" s="563" t="s"/>
      <c r="T214" s="560" t="s"/>
      <c r="U214" s="560" t="s"/>
      <c r="V214" s="560" t="s"/>
      <c r="W214" s="564" t="s"/>
      <c r="X214" s="258" t="s"/>
      <c r="Y214" s="560" t="s"/>
      <c r="Z214" s="560" t="s"/>
      <c r="AA214" s="560" t="s"/>
      <c r="AB214" s="560" t="s"/>
      <c r="AC214" s="564" t="s"/>
      <c r="AD214" s="161" t="s"/>
      <c r="AE214" s="560" t="s"/>
      <c r="AF214" s="560" t="s"/>
      <c r="AG214" s="560" t="s"/>
      <c r="AH214" s="560" t="s"/>
      <c r="AI214" s="565" t="s"/>
      <c r="AJ214" s="161" t="s"/>
      <c r="AK214" s="560" t="s"/>
      <c r="AL214" s="560" t="s"/>
      <c r="AM214" s="560" t="s"/>
    </row>
    <row r="215" spans="1:39" customHeight="false">
      <c r="A215" s="557" t="s"/>
      <c r="B215" s="558" t="s"/>
      <c r="C215" s="558" t="s"/>
      <c r="D215" s="559" t="s"/>
      <c r="E215" s="557" t="s"/>
      <c r="F215" s="557" t="s"/>
      <c r="G215" s="557" t="s"/>
      <c r="H215" s="557" t="s"/>
      <c r="I215" s="560" t="s"/>
      <c r="J215" s="561" t="s"/>
      <c r="K215" s="187" t="s"/>
      <c r="L215" s="187" t="s"/>
      <c r="M215" s="562" t="s"/>
      <c r="N215" s="562" t="s"/>
      <c r="O215" s="562" t="s"/>
      <c r="P215" s="562" t="s"/>
      <c r="Q215" s="562" t="s"/>
      <c r="R215" s="562" t="s"/>
      <c r="S215" s="563" t="s"/>
      <c r="T215" s="560" t="s"/>
      <c r="U215" s="560" t="s"/>
      <c r="V215" s="560" t="s"/>
      <c r="W215" s="564" t="s"/>
      <c r="X215" s="258" t="s"/>
      <c r="Y215" s="560" t="s"/>
      <c r="Z215" s="560" t="s"/>
      <c r="AA215" s="560" t="s"/>
      <c r="AB215" s="560" t="s"/>
      <c r="AC215" s="564" t="s"/>
      <c r="AD215" s="161" t="s"/>
      <c r="AE215" s="560" t="s"/>
      <c r="AF215" s="560" t="s"/>
      <c r="AG215" s="560" t="s"/>
      <c r="AH215" s="560" t="s"/>
      <c r="AI215" s="565" t="s"/>
      <c r="AJ215" s="161" t="s"/>
      <c r="AK215" s="560" t="s"/>
      <c r="AL215" s="560" t="s"/>
      <c r="AM215" s="560" t="s"/>
    </row>
    <row r="216" spans="1:39" customHeight="false">
      <c r="A216" s="557" t="s"/>
      <c r="B216" s="558" t="s"/>
      <c r="C216" s="558" t="s"/>
      <c r="D216" s="559" t="s"/>
      <c r="E216" s="557" t="s"/>
      <c r="F216" s="557" t="s"/>
      <c r="G216" s="557" t="s"/>
      <c r="H216" s="557" t="s"/>
      <c r="I216" s="560" t="s"/>
      <c r="J216" s="561" t="s"/>
      <c r="K216" s="187" t="s"/>
      <c r="L216" s="187" t="s"/>
      <c r="M216" s="562" t="s"/>
      <c r="N216" s="562" t="s"/>
      <c r="O216" s="562" t="s"/>
      <c r="P216" s="562" t="s"/>
      <c r="Q216" s="562" t="s"/>
      <c r="R216" s="562" t="s"/>
      <c r="S216" s="563" t="s"/>
      <c r="T216" s="560" t="s"/>
      <c r="U216" s="560" t="s"/>
      <c r="V216" s="560" t="s"/>
      <c r="W216" s="564" t="s"/>
      <c r="X216" s="258" t="s"/>
      <c r="Y216" s="560" t="s"/>
      <c r="Z216" s="560" t="s"/>
      <c r="AA216" s="560" t="s"/>
      <c r="AB216" s="560" t="s"/>
      <c r="AC216" s="564" t="s"/>
      <c r="AD216" s="161" t="s"/>
      <c r="AE216" s="560" t="s"/>
      <c r="AF216" s="560" t="s"/>
      <c r="AG216" s="560" t="s"/>
      <c r="AH216" s="560" t="s"/>
      <c r="AI216" s="565" t="s"/>
      <c r="AJ216" s="161" t="s"/>
      <c r="AK216" s="560" t="s"/>
      <c r="AL216" s="560" t="s"/>
      <c r="AM216" s="560" t="s"/>
    </row>
    <row r="217" spans="1:39" customHeight="false">
      <c r="A217" s="557" t="s"/>
      <c r="B217" s="558" t="s"/>
      <c r="C217" s="558" t="s"/>
      <c r="D217" s="559" t="s"/>
      <c r="E217" s="557" t="s"/>
      <c r="F217" s="557" t="s"/>
      <c r="G217" s="557" t="s"/>
      <c r="H217" s="557" t="s"/>
      <c r="I217" s="560" t="s"/>
      <c r="J217" s="561" t="s"/>
      <c r="K217" s="187" t="s"/>
      <c r="L217" s="187" t="s"/>
      <c r="M217" s="562" t="s"/>
      <c r="N217" s="562" t="s"/>
      <c r="O217" s="562" t="s"/>
      <c r="P217" s="562" t="s"/>
      <c r="Q217" s="562" t="s"/>
      <c r="R217" s="562" t="s"/>
      <c r="S217" s="563" t="s"/>
      <c r="T217" s="560" t="s"/>
      <c r="U217" s="560" t="s"/>
      <c r="V217" s="560" t="s"/>
      <c r="W217" s="564" t="s"/>
      <c r="X217" s="258" t="s"/>
      <c r="Y217" s="560" t="s"/>
      <c r="Z217" s="560" t="s"/>
      <c r="AA217" s="560" t="s"/>
      <c r="AB217" s="560" t="s"/>
      <c r="AC217" s="564" t="s"/>
      <c r="AD217" s="161" t="s"/>
      <c r="AE217" s="560" t="s"/>
      <c r="AF217" s="560" t="s"/>
      <c r="AG217" s="560" t="s"/>
      <c r="AH217" s="560" t="s"/>
      <c r="AI217" s="565" t="s"/>
      <c r="AJ217" s="161" t="s"/>
      <c r="AK217" s="560" t="s"/>
      <c r="AL217" s="560" t="s"/>
      <c r="AM217" s="560" t="s"/>
    </row>
    <row r="218" spans="1:39" customHeight="false">
      <c r="A218" s="557" t="s"/>
      <c r="B218" s="558" t="s"/>
      <c r="C218" s="558" t="s"/>
      <c r="D218" s="559" t="s"/>
      <c r="E218" s="557" t="s"/>
      <c r="F218" s="557" t="s"/>
      <c r="G218" s="557" t="s"/>
      <c r="H218" s="557" t="s"/>
      <c r="I218" s="560" t="s"/>
      <c r="J218" s="561" t="s"/>
      <c r="K218" s="187" t="s"/>
      <c r="L218" s="187" t="s"/>
      <c r="M218" s="562" t="s"/>
      <c r="N218" s="562" t="s"/>
      <c r="O218" s="562" t="s"/>
      <c r="P218" s="562" t="s"/>
      <c r="Q218" s="562" t="s"/>
      <c r="R218" s="562" t="s"/>
      <c r="S218" s="563" t="s"/>
      <c r="T218" s="560" t="s"/>
      <c r="U218" s="560" t="s"/>
      <c r="V218" s="560" t="s"/>
      <c r="W218" s="564" t="s"/>
      <c r="X218" s="258" t="s"/>
      <c r="Y218" s="560" t="s"/>
      <c r="Z218" s="560" t="s"/>
      <c r="AA218" s="560" t="s"/>
      <c r="AB218" s="560" t="s"/>
      <c r="AC218" s="564" t="s"/>
      <c r="AD218" s="161" t="s"/>
      <c r="AE218" s="560" t="s"/>
      <c r="AF218" s="560" t="s"/>
      <c r="AG218" s="560" t="s"/>
      <c r="AH218" s="560" t="s"/>
      <c r="AI218" s="565" t="s"/>
      <c r="AJ218" s="161" t="s"/>
      <c r="AK218" s="560" t="s"/>
      <c r="AL218" s="560" t="s"/>
      <c r="AM218" s="560" t="s"/>
    </row>
    <row r="219" spans="1:39" customHeight="false">
      <c r="A219" s="557" t="s"/>
      <c r="B219" s="558" t="s"/>
      <c r="C219" s="558" t="s"/>
      <c r="D219" s="559" t="s"/>
      <c r="E219" s="557" t="s"/>
      <c r="F219" s="557" t="s"/>
      <c r="G219" s="557" t="s"/>
      <c r="H219" s="557" t="s"/>
      <c r="I219" s="560" t="s"/>
      <c r="J219" s="561" t="s"/>
      <c r="K219" s="187" t="s"/>
      <c r="L219" s="187" t="s"/>
      <c r="M219" s="562" t="s"/>
      <c r="N219" s="562" t="s"/>
      <c r="O219" s="562" t="s"/>
      <c r="P219" s="562" t="s"/>
      <c r="Q219" s="562" t="s"/>
      <c r="R219" s="562" t="s"/>
      <c r="S219" s="563" t="s"/>
      <c r="T219" s="560" t="s"/>
      <c r="U219" s="560" t="s"/>
      <c r="V219" s="560" t="s"/>
      <c r="W219" s="564" t="s"/>
      <c r="X219" s="258" t="s"/>
      <c r="Y219" s="560" t="s"/>
      <c r="Z219" s="560" t="s"/>
      <c r="AA219" s="560" t="s"/>
      <c r="AB219" s="560" t="s"/>
      <c r="AC219" s="564" t="s"/>
      <c r="AD219" s="161" t="s"/>
      <c r="AE219" s="560" t="s"/>
      <c r="AF219" s="560" t="s"/>
      <c r="AG219" s="560" t="s"/>
      <c r="AH219" s="560" t="s"/>
      <c r="AI219" s="565" t="s"/>
      <c r="AJ219" s="161" t="s"/>
      <c r="AK219" s="560" t="s"/>
      <c r="AL219" s="560" t="s"/>
      <c r="AM219" s="560" t="s"/>
    </row>
    <row r="220" spans="1:39" customHeight="false">
      <c r="A220" s="557" t="s"/>
      <c r="B220" s="558" t="s"/>
      <c r="C220" s="558" t="s"/>
      <c r="D220" s="559" t="s"/>
      <c r="E220" s="557" t="s"/>
      <c r="F220" s="557" t="s"/>
      <c r="G220" s="557" t="s"/>
      <c r="H220" s="557" t="s"/>
      <c r="I220" s="560" t="s"/>
      <c r="J220" s="561" t="s"/>
      <c r="K220" s="187" t="s"/>
      <c r="L220" s="187" t="s"/>
      <c r="M220" s="562" t="s"/>
      <c r="N220" s="562" t="s"/>
      <c r="O220" s="562" t="s"/>
      <c r="P220" s="562" t="s"/>
      <c r="Q220" s="562" t="s"/>
      <c r="R220" s="562" t="s"/>
      <c r="S220" s="563" t="s"/>
      <c r="T220" s="560" t="s"/>
      <c r="U220" s="560" t="s"/>
      <c r="V220" s="560" t="s"/>
      <c r="W220" s="564" t="s"/>
      <c r="X220" s="258" t="s"/>
      <c r="Y220" s="560" t="s"/>
      <c r="Z220" s="560" t="s"/>
      <c r="AA220" s="560" t="s"/>
      <c r="AB220" s="560" t="s"/>
      <c r="AC220" s="564" t="s"/>
      <c r="AD220" s="161" t="s"/>
      <c r="AE220" s="560" t="s"/>
      <c r="AF220" s="560" t="s"/>
      <c r="AG220" s="560" t="s"/>
      <c r="AH220" s="560" t="s"/>
      <c r="AI220" s="565" t="s"/>
      <c r="AJ220" s="161" t="s"/>
      <c r="AK220" s="560" t="s"/>
      <c r="AL220" s="560" t="s"/>
      <c r="AM220" s="560" t="s"/>
    </row>
    <row r="221" spans="1:39" customHeight="false">
      <c r="A221" s="557" t="s"/>
      <c r="B221" s="558" t="s"/>
      <c r="C221" s="558" t="s"/>
      <c r="D221" s="559" t="s"/>
      <c r="E221" s="557" t="s"/>
      <c r="F221" s="557" t="s"/>
      <c r="G221" s="557" t="s"/>
      <c r="H221" s="557" t="s"/>
      <c r="I221" s="560" t="s"/>
      <c r="J221" s="561" t="s"/>
      <c r="K221" s="187" t="s"/>
      <c r="L221" s="187" t="s"/>
      <c r="M221" s="562" t="s"/>
      <c r="N221" s="562" t="s"/>
      <c r="O221" s="562" t="s"/>
      <c r="P221" s="562" t="s"/>
      <c r="Q221" s="562" t="s"/>
      <c r="R221" s="562" t="s"/>
      <c r="S221" s="563" t="s"/>
      <c r="T221" s="560" t="s"/>
      <c r="U221" s="560" t="s"/>
      <c r="V221" s="560" t="s"/>
      <c r="W221" s="564" t="s"/>
      <c r="X221" s="258" t="s"/>
      <c r="Y221" s="560" t="s"/>
      <c r="Z221" s="560" t="s"/>
      <c r="AA221" s="560" t="s"/>
      <c r="AB221" s="560" t="s"/>
      <c r="AC221" s="564" t="s"/>
      <c r="AD221" s="161" t="s"/>
      <c r="AE221" s="560" t="s"/>
      <c r="AF221" s="560" t="s"/>
      <c r="AG221" s="560" t="s"/>
      <c r="AH221" s="560" t="s"/>
      <c r="AI221" s="565" t="s"/>
      <c r="AJ221" s="161" t="s"/>
      <c r="AK221" s="560" t="s"/>
      <c r="AL221" s="560" t="s"/>
      <c r="AM221" s="560" t="s"/>
    </row>
    <row r="222" spans="1:39" customHeight="false">
      <c r="A222" s="557" t="s"/>
      <c r="B222" s="558" t="s"/>
      <c r="C222" s="558" t="s"/>
      <c r="D222" s="559" t="s"/>
      <c r="E222" s="557" t="s"/>
      <c r="F222" s="557" t="s"/>
      <c r="G222" s="557" t="s"/>
      <c r="H222" s="557" t="s"/>
      <c r="I222" s="560" t="s"/>
      <c r="J222" s="561" t="s"/>
      <c r="K222" s="187" t="s"/>
      <c r="L222" s="187" t="s"/>
      <c r="M222" s="562" t="s"/>
      <c r="N222" s="562" t="s"/>
      <c r="O222" s="562" t="s"/>
      <c r="P222" s="562" t="s"/>
      <c r="Q222" s="562" t="s"/>
      <c r="R222" s="562" t="s"/>
      <c r="S222" s="563" t="s"/>
      <c r="T222" s="560" t="s"/>
      <c r="U222" s="560" t="s"/>
      <c r="V222" s="560" t="s"/>
      <c r="W222" s="564" t="s"/>
      <c r="X222" s="258" t="s"/>
      <c r="Y222" s="560" t="s"/>
      <c r="Z222" s="560" t="s"/>
      <c r="AA222" s="560" t="s"/>
      <c r="AB222" s="560" t="s"/>
      <c r="AC222" s="564" t="s"/>
      <c r="AD222" s="161" t="s"/>
      <c r="AE222" s="560" t="s"/>
      <c r="AF222" s="560" t="s"/>
      <c r="AG222" s="560" t="s"/>
      <c r="AH222" s="560" t="s"/>
      <c r="AI222" s="565" t="s"/>
      <c r="AJ222" s="161" t="s"/>
      <c r="AK222" s="560" t="s"/>
      <c r="AL222" s="560" t="s"/>
      <c r="AM222" s="560" t="s"/>
    </row>
    <row r="223" spans="1:39" customHeight="false">
      <c r="A223" s="557" t="s"/>
      <c r="B223" s="558" t="s"/>
      <c r="C223" s="558" t="s"/>
      <c r="D223" s="559" t="s"/>
      <c r="E223" s="557" t="s"/>
      <c r="F223" s="557" t="s"/>
      <c r="G223" s="557" t="s"/>
      <c r="H223" s="557" t="s"/>
      <c r="I223" s="560" t="s"/>
      <c r="J223" s="561" t="s"/>
      <c r="K223" s="187" t="s"/>
      <c r="L223" s="187" t="s"/>
      <c r="M223" s="562" t="s"/>
      <c r="N223" s="562" t="s"/>
      <c r="O223" s="562" t="s"/>
      <c r="P223" s="562" t="s"/>
      <c r="Q223" s="562" t="s"/>
      <c r="R223" s="562" t="s"/>
      <c r="S223" s="563" t="s"/>
      <c r="T223" s="560" t="s"/>
      <c r="U223" s="560" t="s"/>
      <c r="V223" s="560" t="s"/>
      <c r="W223" s="564" t="s"/>
      <c r="X223" s="258" t="s"/>
      <c r="Y223" s="560" t="s"/>
      <c r="Z223" s="560" t="s"/>
      <c r="AA223" s="560" t="s"/>
      <c r="AB223" s="560" t="s"/>
      <c r="AC223" s="564" t="s"/>
      <c r="AD223" s="161" t="s"/>
      <c r="AE223" s="560" t="s"/>
      <c r="AF223" s="560" t="s"/>
      <c r="AG223" s="560" t="s"/>
      <c r="AH223" s="560" t="s"/>
      <c r="AI223" s="565" t="s"/>
      <c r="AJ223" s="161" t="s"/>
      <c r="AK223" s="560" t="s"/>
      <c r="AL223" s="560" t="s"/>
      <c r="AM223" s="560" t="s"/>
    </row>
    <row r="224" spans="1:39" customHeight="false">
      <c r="A224" s="557" t="s"/>
      <c r="B224" s="558" t="s"/>
      <c r="C224" s="558" t="s"/>
      <c r="D224" s="559" t="s"/>
      <c r="E224" s="557" t="s"/>
      <c r="F224" s="557" t="s"/>
      <c r="G224" s="557" t="s"/>
      <c r="H224" s="557" t="s"/>
      <c r="I224" s="560" t="s"/>
      <c r="J224" s="561" t="s"/>
      <c r="K224" s="187" t="s"/>
      <c r="L224" s="187" t="s"/>
      <c r="M224" s="562" t="s"/>
      <c r="N224" s="562" t="s"/>
      <c r="O224" s="562" t="s"/>
      <c r="P224" s="562" t="s"/>
      <c r="Q224" s="562" t="s"/>
      <c r="R224" s="562" t="s"/>
      <c r="S224" s="563" t="s"/>
      <c r="T224" s="560" t="s"/>
      <c r="U224" s="560" t="s"/>
      <c r="V224" s="560" t="s"/>
      <c r="W224" s="564" t="s"/>
      <c r="X224" s="258" t="s"/>
      <c r="Y224" s="560" t="s"/>
      <c r="Z224" s="560" t="s"/>
      <c r="AA224" s="560" t="s"/>
      <c r="AB224" s="560" t="s"/>
      <c r="AC224" s="564" t="s"/>
      <c r="AD224" s="161" t="s"/>
      <c r="AE224" s="560" t="s"/>
      <c r="AF224" s="560" t="s"/>
      <c r="AG224" s="560" t="s"/>
      <c r="AH224" s="560" t="s"/>
      <c r="AI224" s="565" t="s"/>
      <c r="AJ224" s="161" t="s"/>
      <c r="AK224" s="560" t="s"/>
      <c r="AL224" s="560" t="s"/>
      <c r="AM224" s="560" t="s"/>
    </row>
    <row r="225" spans="1:39" customHeight="false">
      <c r="A225" s="557" t="s"/>
      <c r="B225" s="558" t="s"/>
      <c r="C225" s="558" t="s"/>
      <c r="D225" s="559" t="s"/>
      <c r="E225" s="557" t="s"/>
      <c r="F225" s="557" t="s"/>
      <c r="G225" s="557" t="s"/>
      <c r="H225" s="557" t="s"/>
      <c r="I225" s="560" t="s"/>
      <c r="J225" s="561" t="s"/>
      <c r="K225" s="187" t="s"/>
      <c r="L225" s="187" t="s"/>
      <c r="M225" s="562" t="s"/>
      <c r="N225" s="562" t="s"/>
      <c r="O225" s="562" t="s"/>
      <c r="P225" s="562" t="s"/>
      <c r="Q225" s="562" t="s"/>
      <c r="R225" s="562" t="s"/>
      <c r="S225" s="563" t="s"/>
      <c r="T225" s="560" t="s"/>
      <c r="U225" s="560" t="s"/>
      <c r="V225" s="560" t="s"/>
      <c r="W225" s="564" t="s"/>
      <c r="X225" s="258" t="s"/>
      <c r="Y225" s="560" t="s"/>
      <c r="Z225" s="560" t="s"/>
      <c r="AA225" s="560" t="s"/>
      <c r="AB225" s="560" t="s"/>
      <c r="AC225" s="564" t="s"/>
      <c r="AD225" s="161" t="s"/>
      <c r="AE225" s="560" t="s"/>
      <c r="AF225" s="560" t="s"/>
      <c r="AG225" s="560" t="s"/>
      <c r="AH225" s="560" t="s"/>
      <c r="AI225" s="565" t="s"/>
      <c r="AJ225" s="161" t="s"/>
      <c r="AK225" s="560" t="s"/>
      <c r="AL225" s="560" t="s"/>
      <c r="AM225" s="560" t="s"/>
    </row>
    <row r="226" spans="1:39" customHeight="false">
      <c r="A226" s="557" t="s"/>
      <c r="B226" s="558" t="s"/>
      <c r="C226" s="558" t="s"/>
      <c r="D226" s="559" t="s"/>
      <c r="E226" s="557" t="s"/>
      <c r="F226" s="557" t="s"/>
      <c r="G226" s="557" t="s"/>
      <c r="H226" s="557" t="s"/>
      <c r="I226" s="560" t="s"/>
      <c r="J226" s="561" t="s"/>
      <c r="K226" s="187" t="s"/>
      <c r="L226" s="187" t="s"/>
      <c r="M226" s="562" t="s"/>
      <c r="N226" s="562" t="s"/>
      <c r="O226" s="562" t="s"/>
      <c r="P226" s="562" t="s"/>
      <c r="Q226" s="562" t="s"/>
      <c r="R226" s="562" t="s"/>
      <c r="S226" s="563" t="s"/>
      <c r="T226" s="560" t="s"/>
      <c r="U226" s="560" t="s"/>
      <c r="V226" s="560" t="s"/>
      <c r="W226" s="564" t="s"/>
      <c r="X226" s="258" t="s"/>
      <c r="Y226" s="560" t="s"/>
      <c r="Z226" s="560" t="s"/>
      <c r="AA226" s="560" t="s"/>
      <c r="AB226" s="560" t="s"/>
      <c r="AC226" s="564" t="s"/>
      <c r="AD226" s="161" t="s"/>
      <c r="AE226" s="560" t="s"/>
      <c r="AF226" s="560" t="s"/>
      <c r="AG226" s="560" t="s"/>
      <c r="AH226" s="560" t="s"/>
      <c r="AI226" s="565" t="s"/>
      <c r="AJ226" s="161" t="s"/>
      <c r="AK226" s="560" t="s"/>
      <c r="AL226" s="560" t="s"/>
      <c r="AM226" s="560" t="s"/>
    </row>
    <row r="227" spans="1:39" customHeight="false">
      <c r="A227" s="557" t="s"/>
      <c r="B227" s="558" t="s"/>
      <c r="C227" s="558" t="s"/>
      <c r="D227" s="559" t="s"/>
      <c r="E227" s="557" t="s"/>
      <c r="F227" s="557" t="s"/>
      <c r="G227" s="557" t="s"/>
      <c r="H227" s="557" t="s"/>
      <c r="I227" s="560" t="s"/>
      <c r="J227" s="561" t="s"/>
      <c r="K227" s="187" t="s"/>
      <c r="L227" s="187" t="s"/>
      <c r="M227" s="562" t="s"/>
      <c r="N227" s="562" t="s"/>
      <c r="O227" s="562" t="s"/>
      <c r="P227" s="562" t="s"/>
      <c r="Q227" s="562" t="s"/>
      <c r="R227" s="562" t="s"/>
      <c r="S227" s="563" t="s"/>
      <c r="T227" s="560" t="s"/>
      <c r="U227" s="560" t="s"/>
      <c r="V227" s="560" t="s"/>
      <c r="W227" s="564" t="s"/>
      <c r="X227" s="258" t="s"/>
      <c r="Y227" s="560" t="s"/>
      <c r="Z227" s="560" t="s"/>
      <c r="AA227" s="560" t="s"/>
      <c r="AB227" s="560" t="s"/>
      <c r="AC227" s="564" t="s"/>
      <c r="AD227" s="161" t="s"/>
      <c r="AE227" s="560" t="s"/>
      <c r="AF227" s="560" t="s"/>
      <c r="AG227" s="560" t="s"/>
      <c r="AH227" s="560" t="s"/>
      <c r="AI227" s="565" t="s"/>
      <c r="AJ227" s="161" t="s"/>
      <c r="AK227" s="560" t="s"/>
      <c r="AL227" s="560" t="s"/>
      <c r="AM227" s="560" t="s"/>
    </row>
    <row r="228" spans="1:39" customHeight="false">
      <c r="A228" s="557" t="s"/>
      <c r="B228" s="558" t="s"/>
      <c r="C228" s="558" t="s"/>
      <c r="D228" s="559" t="s"/>
      <c r="E228" s="557" t="s"/>
      <c r="F228" s="557" t="s"/>
      <c r="G228" s="557" t="s"/>
      <c r="H228" s="557" t="s"/>
      <c r="I228" s="560" t="s"/>
      <c r="J228" s="561" t="s"/>
      <c r="K228" s="187" t="s"/>
      <c r="L228" s="187" t="s"/>
      <c r="M228" s="562" t="s"/>
      <c r="N228" s="562" t="s"/>
      <c r="O228" s="562" t="s"/>
      <c r="P228" s="562" t="s"/>
      <c r="Q228" s="562" t="s"/>
      <c r="R228" s="562" t="s"/>
      <c r="S228" s="563" t="s"/>
      <c r="T228" s="560" t="s"/>
      <c r="U228" s="560" t="s"/>
      <c r="V228" s="560" t="s"/>
      <c r="W228" s="564" t="s"/>
      <c r="X228" s="258" t="s"/>
      <c r="Y228" s="560" t="s"/>
      <c r="Z228" s="560" t="s"/>
      <c r="AA228" s="560" t="s"/>
      <c r="AB228" s="560" t="s"/>
      <c r="AC228" s="564" t="s"/>
      <c r="AD228" s="161" t="s"/>
      <c r="AE228" s="560" t="s"/>
      <c r="AF228" s="560" t="s"/>
      <c r="AG228" s="560" t="s"/>
      <c r="AH228" s="560" t="s"/>
      <c r="AI228" s="565" t="s"/>
      <c r="AJ228" s="161" t="s"/>
      <c r="AK228" s="560" t="s"/>
      <c r="AL228" s="560" t="s"/>
      <c r="AM228" s="560" t="s"/>
    </row>
    <row r="229" spans="1:39" customHeight="false">
      <c r="A229" s="557" t="s"/>
      <c r="B229" s="558" t="s"/>
      <c r="C229" s="558" t="s"/>
      <c r="D229" s="559" t="s"/>
      <c r="E229" s="557" t="s"/>
      <c r="F229" s="557" t="s"/>
      <c r="G229" s="557" t="s"/>
      <c r="H229" s="557" t="s"/>
      <c r="I229" s="560" t="s"/>
      <c r="J229" s="561" t="s"/>
      <c r="K229" s="187" t="s"/>
      <c r="L229" s="187" t="s"/>
      <c r="M229" s="562" t="s"/>
      <c r="N229" s="562" t="s"/>
      <c r="O229" s="562" t="s"/>
      <c r="P229" s="562" t="s"/>
      <c r="Q229" s="562" t="s"/>
      <c r="R229" s="562" t="s"/>
      <c r="S229" s="563" t="s"/>
      <c r="T229" s="560" t="s"/>
      <c r="U229" s="560" t="s"/>
      <c r="V229" s="560" t="s"/>
      <c r="W229" s="564" t="s"/>
      <c r="X229" s="258" t="s"/>
      <c r="Y229" s="560" t="s"/>
      <c r="Z229" s="560" t="s"/>
      <c r="AA229" s="560" t="s"/>
      <c r="AB229" s="560" t="s"/>
      <c r="AC229" s="564" t="s"/>
      <c r="AD229" s="161" t="s"/>
      <c r="AE229" s="560" t="s"/>
      <c r="AF229" s="560" t="s"/>
      <c r="AG229" s="560" t="s"/>
      <c r="AH229" s="560" t="s"/>
      <c r="AI229" s="565" t="s"/>
      <c r="AJ229" s="161" t="s"/>
      <c r="AK229" s="560" t="s"/>
      <c r="AL229" s="560" t="s"/>
      <c r="AM229" s="560" t="s"/>
    </row>
    <row r="230" spans="1:39" customHeight="false">
      <c r="A230" s="557" t="s"/>
      <c r="B230" s="558" t="s"/>
      <c r="C230" s="558" t="s"/>
      <c r="D230" s="559" t="s"/>
      <c r="E230" s="557" t="s"/>
      <c r="F230" s="557" t="s"/>
      <c r="G230" s="557" t="s"/>
      <c r="H230" s="557" t="s"/>
      <c r="I230" s="560" t="s"/>
      <c r="J230" s="561" t="s"/>
      <c r="K230" s="187" t="s"/>
      <c r="L230" s="187" t="s"/>
      <c r="M230" s="562" t="s"/>
      <c r="N230" s="562" t="s"/>
      <c r="O230" s="562" t="s"/>
      <c r="P230" s="562" t="s"/>
      <c r="Q230" s="562" t="s"/>
      <c r="R230" s="562" t="s"/>
      <c r="S230" s="563" t="s"/>
      <c r="T230" s="560" t="s"/>
      <c r="U230" s="560" t="s"/>
      <c r="V230" s="560" t="s"/>
      <c r="W230" s="564" t="s"/>
      <c r="X230" s="258" t="s"/>
      <c r="Y230" s="560" t="s"/>
      <c r="Z230" s="560" t="s"/>
      <c r="AA230" s="560" t="s"/>
      <c r="AB230" s="560" t="s"/>
      <c r="AC230" s="564" t="s"/>
      <c r="AD230" s="161" t="s"/>
      <c r="AE230" s="560" t="s"/>
      <c r="AF230" s="560" t="s"/>
      <c r="AG230" s="560" t="s"/>
      <c r="AH230" s="560" t="s"/>
      <c r="AI230" s="565" t="s"/>
      <c r="AJ230" s="161" t="s"/>
      <c r="AK230" s="560" t="s"/>
      <c r="AL230" s="560" t="s"/>
      <c r="AM230" s="560" t="s"/>
    </row>
    <row r="231" spans="1:39" customHeight="false">
      <c r="A231" s="557" t="s"/>
      <c r="B231" s="558" t="s"/>
      <c r="C231" s="558" t="s"/>
      <c r="D231" s="559" t="s"/>
      <c r="E231" s="557" t="s"/>
      <c r="F231" s="557" t="s"/>
      <c r="G231" s="557" t="s"/>
      <c r="H231" s="557" t="s"/>
      <c r="I231" s="560" t="s"/>
      <c r="J231" s="561" t="s"/>
      <c r="K231" s="187" t="s"/>
      <c r="L231" s="187" t="s"/>
      <c r="M231" s="562" t="s"/>
      <c r="N231" s="562" t="s"/>
      <c r="O231" s="562" t="s"/>
      <c r="P231" s="562" t="s"/>
      <c r="Q231" s="562" t="s"/>
      <c r="R231" s="562" t="s"/>
      <c r="S231" s="563" t="s"/>
      <c r="T231" s="560" t="s"/>
      <c r="U231" s="560" t="s"/>
      <c r="V231" s="560" t="s"/>
      <c r="W231" s="564" t="s"/>
      <c r="X231" s="258" t="s"/>
      <c r="Y231" s="560" t="s"/>
      <c r="Z231" s="560" t="s"/>
      <c r="AA231" s="560" t="s"/>
      <c r="AB231" s="560" t="s"/>
      <c r="AC231" s="564" t="s"/>
      <c r="AD231" s="161" t="s"/>
      <c r="AE231" s="560" t="s"/>
      <c r="AF231" s="560" t="s"/>
      <c r="AG231" s="560" t="s"/>
      <c r="AH231" s="560" t="s"/>
      <c r="AI231" s="565" t="s"/>
      <c r="AJ231" s="161" t="s"/>
      <c r="AK231" s="560" t="s"/>
      <c r="AL231" s="560" t="s"/>
      <c r="AM231" s="560" t="s"/>
    </row>
    <row r="232" spans="1:39" customHeight="false">
      <c r="A232" s="557" t="s"/>
      <c r="B232" s="558" t="s"/>
      <c r="C232" s="558" t="s"/>
      <c r="D232" s="559" t="s"/>
      <c r="E232" s="557" t="s"/>
      <c r="F232" s="557" t="s"/>
      <c r="G232" s="557" t="s"/>
      <c r="H232" s="557" t="s"/>
      <c r="I232" s="560" t="s"/>
      <c r="J232" s="561" t="s"/>
      <c r="K232" s="187" t="s"/>
      <c r="L232" s="187" t="s"/>
      <c r="M232" s="562" t="s"/>
      <c r="N232" s="562" t="s"/>
      <c r="O232" s="562" t="s"/>
      <c r="P232" s="562" t="s"/>
      <c r="Q232" s="562" t="s"/>
      <c r="R232" s="562" t="s"/>
      <c r="S232" s="563" t="s"/>
      <c r="T232" s="560" t="s"/>
      <c r="U232" s="560" t="s"/>
      <c r="V232" s="560" t="s"/>
      <c r="W232" s="564" t="s"/>
      <c r="X232" s="258" t="s"/>
      <c r="Y232" s="560" t="s"/>
      <c r="Z232" s="560" t="s"/>
      <c r="AA232" s="560" t="s"/>
      <c r="AB232" s="560" t="s"/>
      <c r="AC232" s="564" t="s"/>
      <c r="AD232" s="161" t="s"/>
      <c r="AE232" s="560" t="s"/>
      <c r="AF232" s="560" t="s"/>
      <c r="AG232" s="560" t="s"/>
      <c r="AH232" s="560" t="s"/>
      <c r="AI232" s="565" t="s"/>
      <c r="AJ232" s="161" t="s"/>
      <c r="AK232" s="560" t="s"/>
      <c r="AL232" s="560" t="s"/>
      <c r="AM232" s="560" t="s"/>
    </row>
    <row r="233" spans="1:39" customHeight="false">
      <c r="A233" s="557" t="s"/>
      <c r="B233" s="558" t="s"/>
      <c r="C233" s="558" t="s"/>
      <c r="D233" s="559" t="s"/>
      <c r="E233" s="557" t="s"/>
      <c r="F233" s="557" t="s"/>
      <c r="G233" s="557" t="s"/>
      <c r="H233" s="557" t="s"/>
      <c r="I233" s="560" t="s"/>
      <c r="J233" s="561" t="s"/>
      <c r="K233" s="187" t="s"/>
      <c r="L233" s="187" t="s"/>
      <c r="M233" s="562" t="s"/>
      <c r="N233" s="562" t="s"/>
      <c r="O233" s="562" t="s"/>
      <c r="P233" s="562" t="s"/>
      <c r="Q233" s="562" t="s"/>
      <c r="R233" s="562" t="s"/>
      <c r="S233" s="563" t="s"/>
      <c r="T233" s="560" t="s"/>
      <c r="U233" s="560" t="s"/>
      <c r="V233" s="560" t="s"/>
      <c r="W233" s="564" t="s"/>
      <c r="X233" s="258" t="s"/>
      <c r="Y233" s="560" t="s"/>
      <c r="Z233" s="560" t="s"/>
      <c r="AA233" s="560" t="s"/>
      <c r="AB233" s="560" t="s"/>
      <c r="AC233" s="564" t="s"/>
      <c r="AD233" s="161" t="s"/>
      <c r="AE233" s="560" t="s"/>
      <c r="AF233" s="560" t="s"/>
      <c r="AG233" s="560" t="s"/>
      <c r="AH233" s="560" t="s"/>
      <c r="AI233" s="565" t="s"/>
      <c r="AJ233" s="161" t="s"/>
      <c r="AK233" s="560" t="s"/>
      <c r="AL233" s="560" t="s"/>
      <c r="AM233" s="560" t="s"/>
    </row>
    <row r="234" spans="1:39" customHeight="false">
      <c r="A234" s="557" t="s"/>
      <c r="B234" s="558" t="s"/>
      <c r="C234" s="558" t="s"/>
      <c r="D234" s="559" t="s"/>
      <c r="E234" s="557" t="s"/>
      <c r="F234" s="557" t="s"/>
      <c r="G234" s="557" t="s"/>
      <c r="H234" s="557" t="s"/>
      <c r="I234" s="560" t="s"/>
      <c r="J234" s="561" t="s"/>
      <c r="K234" s="187" t="s"/>
      <c r="L234" s="187" t="s"/>
      <c r="M234" s="562" t="s"/>
      <c r="N234" s="562" t="s"/>
      <c r="O234" s="562" t="s"/>
      <c r="P234" s="562" t="s"/>
      <c r="Q234" s="562" t="s"/>
      <c r="R234" s="562" t="s"/>
      <c r="S234" s="563" t="s"/>
      <c r="T234" s="560" t="s"/>
      <c r="U234" s="560" t="s"/>
      <c r="V234" s="560" t="s"/>
      <c r="W234" s="564" t="s"/>
      <c r="X234" s="258" t="s"/>
      <c r="Y234" s="560" t="s"/>
      <c r="Z234" s="560" t="s"/>
      <c r="AA234" s="560" t="s"/>
      <c r="AB234" s="560" t="s"/>
      <c r="AC234" s="564" t="s"/>
      <c r="AD234" s="161" t="s"/>
      <c r="AE234" s="560" t="s"/>
      <c r="AF234" s="560" t="s"/>
      <c r="AG234" s="560" t="s"/>
      <c r="AH234" s="560" t="s"/>
      <c r="AI234" s="565" t="s"/>
      <c r="AJ234" s="161" t="s"/>
      <c r="AK234" s="560" t="s"/>
      <c r="AL234" s="560" t="s"/>
      <c r="AM234" s="560" t="s"/>
    </row>
    <row r="235" spans="1:39" customHeight="false">
      <c r="A235" s="557" t="s"/>
      <c r="B235" s="558" t="s"/>
      <c r="C235" s="558" t="s"/>
      <c r="D235" s="559" t="s"/>
      <c r="E235" s="557" t="s"/>
      <c r="F235" s="557" t="s"/>
      <c r="G235" s="557" t="s"/>
      <c r="H235" s="557" t="s"/>
      <c r="I235" s="560" t="s"/>
      <c r="J235" s="561" t="s"/>
      <c r="K235" s="187" t="s"/>
      <c r="L235" s="187" t="s"/>
      <c r="M235" s="562" t="s"/>
      <c r="N235" s="562" t="s"/>
      <c r="O235" s="562" t="s"/>
      <c r="P235" s="562" t="s"/>
      <c r="Q235" s="562" t="s"/>
      <c r="R235" s="562" t="s"/>
      <c r="S235" s="563" t="s"/>
      <c r="T235" s="560" t="s"/>
      <c r="U235" s="560" t="s"/>
      <c r="V235" s="560" t="s"/>
      <c r="W235" s="564" t="s"/>
      <c r="X235" s="258" t="s"/>
      <c r="Y235" s="560" t="s"/>
      <c r="Z235" s="560" t="s"/>
      <c r="AA235" s="560" t="s"/>
      <c r="AB235" s="560" t="s"/>
      <c r="AC235" s="564" t="s"/>
      <c r="AD235" s="161" t="s"/>
      <c r="AE235" s="560" t="s"/>
      <c r="AF235" s="560" t="s"/>
      <c r="AG235" s="560" t="s"/>
      <c r="AH235" s="560" t="s"/>
      <c r="AI235" s="565" t="s"/>
      <c r="AJ235" s="161" t="s"/>
      <c r="AK235" s="560" t="s"/>
      <c r="AL235" s="560" t="s"/>
      <c r="AM235" s="560" t="s"/>
    </row>
    <row r="236" spans="1:39" customHeight="false">
      <c r="A236" s="557" t="s"/>
      <c r="B236" s="558" t="s"/>
      <c r="C236" s="558" t="s"/>
      <c r="D236" s="559" t="s"/>
      <c r="E236" s="557" t="s"/>
      <c r="F236" s="557" t="s"/>
      <c r="G236" s="557" t="s"/>
      <c r="H236" s="557" t="s"/>
      <c r="I236" s="560" t="s"/>
      <c r="J236" s="561" t="s"/>
      <c r="K236" s="187" t="s"/>
      <c r="L236" s="187" t="s"/>
      <c r="M236" s="562" t="s"/>
      <c r="N236" s="562" t="s"/>
      <c r="O236" s="562" t="s"/>
      <c r="P236" s="562" t="s"/>
      <c r="Q236" s="562" t="s"/>
      <c r="R236" s="562" t="s"/>
      <c r="S236" s="563" t="s"/>
      <c r="T236" s="560" t="s"/>
      <c r="U236" s="560" t="s"/>
      <c r="V236" s="560" t="s"/>
      <c r="W236" s="564" t="s"/>
      <c r="X236" s="258" t="s"/>
      <c r="Y236" s="560" t="s"/>
      <c r="Z236" s="560" t="s"/>
      <c r="AA236" s="560" t="s"/>
      <c r="AB236" s="560" t="s"/>
      <c r="AC236" s="564" t="s"/>
      <c r="AD236" s="161" t="s"/>
      <c r="AE236" s="560" t="s"/>
      <c r="AF236" s="560" t="s"/>
      <c r="AG236" s="560" t="s"/>
      <c r="AH236" s="560" t="s"/>
      <c r="AI236" s="565" t="s"/>
      <c r="AJ236" s="161" t="s"/>
      <c r="AK236" s="560" t="s"/>
      <c r="AL236" s="560" t="s"/>
      <c r="AM236" s="560" t="s"/>
    </row>
    <row r="237" spans="1:39" customHeight="false">
      <c r="A237" s="557" t="s"/>
      <c r="B237" s="558" t="s"/>
      <c r="C237" s="558" t="s"/>
      <c r="D237" s="559" t="s"/>
      <c r="E237" s="557" t="s"/>
      <c r="F237" s="557" t="s"/>
      <c r="G237" s="557" t="s"/>
      <c r="H237" s="557" t="s"/>
      <c r="I237" s="560" t="s"/>
      <c r="J237" s="561" t="s"/>
      <c r="K237" s="187" t="s"/>
      <c r="L237" s="187" t="s"/>
      <c r="M237" s="562" t="s"/>
      <c r="N237" s="562" t="s"/>
      <c r="O237" s="562" t="s"/>
      <c r="P237" s="562" t="s"/>
      <c r="Q237" s="562" t="s"/>
      <c r="R237" s="562" t="s"/>
      <c r="S237" s="563" t="s"/>
      <c r="T237" s="560" t="s"/>
      <c r="U237" s="560" t="s"/>
      <c r="V237" s="560" t="s"/>
      <c r="W237" s="564" t="s"/>
      <c r="X237" s="258" t="s"/>
      <c r="Y237" s="560" t="s"/>
      <c r="Z237" s="560" t="s"/>
      <c r="AA237" s="560" t="s"/>
      <c r="AB237" s="560" t="s"/>
      <c r="AC237" s="564" t="s"/>
      <c r="AD237" s="161" t="s"/>
      <c r="AE237" s="560" t="s"/>
      <c r="AF237" s="560" t="s"/>
      <c r="AG237" s="560" t="s"/>
      <c r="AH237" s="560" t="s"/>
      <c r="AI237" s="565" t="s"/>
      <c r="AJ237" s="161" t="s"/>
      <c r="AK237" s="560" t="s"/>
      <c r="AL237" s="560" t="s"/>
      <c r="AM237" s="560" t="s"/>
    </row>
    <row r="238" spans="1:39" customHeight="false">
      <c r="A238" s="557" t="s"/>
      <c r="B238" s="558" t="s"/>
      <c r="C238" s="558" t="s"/>
      <c r="D238" s="559" t="s"/>
      <c r="E238" s="557" t="s"/>
      <c r="F238" s="557" t="s"/>
      <c r="G238" s="557" t="s"/>
      <c r="H238" s="557" t="s"/>
      <c r="I238" s="560" t="s"/>
      <c r="J238" s="561" t="s"/>
      <c r="K238" s="187" t="s"/>
      <c r="L238" s="187" t="s"/>
      <c r="M238" s="562" t="s"/>
      <c r="N238" s="562" t="s"/>
      <c r="O238" s="562" t="s"/>
      <c r="P238" s="562" t="s"/>
      <c r="Q238" s="562" t="s"/>
      <c r="R238" s="562" t="s"/>
      <c r="S238" s="563" t="s"/>
      <c r="T238" s="560" t="s"/>
      <c r="U238" s="560" t="s"/>
      <c r="V238" s="560" t="s"/>
      <c r="W238" s="564" t="s"/>
      <c r="X238" s="258" t="s"/>
      <c r="Y238" s="560" t="s"/>
      <c r="Z238" s="560" t="s"/>
      <c r="AA238" s="560" t="s"/>
      <c r="AB238" s="560" t="s"/>
      <c r="AC238" s="564" t="s"/>
      <c r="AD238" s="161" t="s"/>
      <c r="AE238" s="560" t="s"/>
      <c r="AF238" s="560" t="s"/>
      <c r="AG238" s="560" t="s"/>
      <c r="AH238" s="560" t="s"/>
      <c r="AI238" s="565" t="s"/>
      <c r="AJ238" s="161" t="s"/>
      <c r="AK238" s="560" t="s"/>
      <c r="AL238" s="560" t="s"/>
      <c r="AM238" s="560" t="s"/>
    </row>
    <row r="239" spans="1:39" customHeight="false">
      <c r="A239" s="557" t="s"/>
      <c r="B239" s="558" t="s"/>
      <c r="C239" s="558" t="s"/>
      <c r="D239" s="559" t="s"/>
      <c r="E239" s="557" t="s"/>
      <c r="F239" s="557" t="s"/>
      <c r="G239" s="557" t="s"/>
      <c r="H239" s="557" t="s"/>
      <c r="I239" s="560" t="s"/>
      <c r="J239" s="561" t="s"/>
      <c r="K239" s="187" t="s"/>
      <c r="L239" s="187" t="s"/>
      <c r="M239" s="562" t="s"/>
      <c r="N239" s="562" t="s"/>
      <c r="O239" s="562" t="s"/>
      <c r="P239" s="562" t="s"/>
      <c r="Q239" s="562" t="s"/>
      <c r="R239" s="562" t="s"/>
      <c r="S239" s="563" t="s"/>
      <c r="T239" s="560" t="s"/>
      <c r="U239" s="560" t="s"/>
      <c r="V239" s="560" t="s"/>
      <c r="W239" s="564" t="s"/>
      <c r="X239" s="258" t="s"/>
      <c r="Y239" s="560" t="s"/>
      <c r="Z239" s="560" t="s"/>
      <c r="AA239" s="560" t="s"/>
      <c r="AB239" s="560" t="s"/>
      <c r="AC239" s="564" t="s"/>
      <c r="AD239" s="161" t="s"/>
      <c r="AE239" s="560" t="s"/>
      <c r="AF239" s="560" t="s"/>
      <c r="AG239" s="560" t="s"/>
      <c r="AH239" s="560" t="s"/>
      <c r="AI239" s="565" t="s"/>
      <c r="AJ239" s="161" t="s"/>
      <c r="AK239" s="560" t="s"/>
      <c r="AL239" s="560" t="s"/>
      <c r="AM239" s="560" t="s"/>
    </row>
    <row r="240" spans="1:39" customHeight="false">
      <c r="A240" s="557" t="s"/>
      <c r="B240" s="558" t="s"/>
      <c r="C240" s="558" t="s"/>
      <c r="D240" s="559" t="s"/>
      <c r="E240" s="557" t="s"/>
      <c r="F240" s="557" t="s"/>
      <c r="G240" s="557" t="s"/>
      <c r="H240" s="557" t="s"/>
      <c r="I240" s="560" t="s"/>
      <c r="J240" s="561" t="s"/>
      <c r="K240" s="187" t="s"/>
      <c r="L240" s="187" t="s"/>
      <c r="M240" s="562" t="s"/>
      <c r="N240" s="562" t="s"/>
      <c r="O240" s="562" t="s"/>
      <c r="P240" s="562" t="s"/>
      <c r="Q240" s="562" t="s"/>
      <c r="R240" s="562" t="s"/>
      <c r="S240" s="563" t="s"/>
      <c r="T240" s="560" t="s"/>
      <c r="U240" s="560" t="s"/>
      <c r="V240" s="560" t="s"/>
      <c r="W240" s="564" t="s"/>
      <c r="X240" s="258" t="s"/>
      <c r="Y240" s="560" t="s"/>
      <c r="Z240" s="560" t="s"/>
      <c r="AA240" s="560" t="s"/>
      <c r="AB240" s="560" t="s"/>
      <c r="AC240" s="564" t="s"/>
      <c r="AD240" s="161" t="s"/>
      <c r="AE240" s="560" t="s"/>
      <c r="AF240" s="560" t="s"/>
      <c r="AG240" s="560" t="s"/>
      <c r="AH240" s="560" t="s"/>
      <c r="AI240" s="565" t="s"/>
      <c r="AJ240" s="161" t="s"/>
      <c r="AK240" s="560" t="s"/>
      <c r="AL240" s="560" t="s"/>
      <c r="AM240" s="560" t="s"/>
    </row>
    <row r="241" spans="1:39" customHeight="false">
      <c r="A241" s="557" t="s"/>
      <c r="B241" s="558" t="s"/>
      <c r="C241" s="558" t="s"/>
      <c r="D241" s="559" t="s"/>
      <c r="E241" s="557" t="s"/>
      <c r="F241" s="557" t="s"/>
      <c r="G241" s="557" t="s"/>
      <c r="H241" s="557" t="s"/>
      <c r="I241" s="560" t="s"/>
      <c r="J241" s="561" t="s"/>
      <c r="K241" s="187" t="s"/>
      <c r="L241" s="187" t="s"/>
      <c r="M241" s="562" t="s"/>
      <c r="N241" s="562" t="s"/>
      <c r="O241" s="562" t="s"/>
      <c r="P241" s="562" t="s"/>
      <c r="Q241" s="562" t="s"/>
      <c r="R241" s="562" t="s"/>
      <c r="S241" s="563" t="s"/>
      <c r="T241" s="560" t="s"/>
      <c r="U241" s="560" t="s"/>
      <c r="V241" s="560" t="s"/>
      <c r="W241" s="564" t="s"/>
      <c r="X241" s="258" t="s"/>
      <c r="Y241" s="560" t="s"/>
      <c r="Z241" s="560" t="s"/>
      <c r="AA241" s="560" t="s"/>
      <c r="AB241" s="560" t="s"/>
      <c r="AC241" s="564" t="s"/>
      <c r="AD241" s="161" t="s"/>
      <c r="AE241" s="560" t="s"/>
      <c r="AF241" s="560" t="s"/>
      <c r="AG241" s="560" t="s"/>
      <c r="AH241" s="560" t="s"/>
      <c r="AI241" s="565" t="s"/>
      <c r="AJ241" s="161" t="s"/>
      <c r="AK241" s="560" t="s"/>
      <c r="AL241" s="560" t="s"/>
      <c r="AM241" s="560" t="s"/>
    </row>
    <row r="242" spans="1:39" customHeight="false">
      <c r="A242" s="557" t="s"/>
      <c r="B242" s="558" t="s"/>
      <c r="C242" s="558" t="s"/>
      <c r="D242" s="559" t="s"/>
      <c r="E242" s="557" t="s"/>
      <c r="F242" s="557" t="s"/>
      <c r="G242" s="557" t="s"/>
      <c r="H242" s="557" t="s"/>
      <c r="I242" s="560" t="s"/>
      <c r="J242" s="561" t="s"/>
      <c r="K242" s="187" t="s"/>
      <c r="L242" s="187" t="s"/>
      <c r="M242" s="562" t="s"/>
      <c r="N242" s="562" t="s"/>
      <c r="O242" s="562" t="s"/>
      <c r="P242" s="562" t="s"/>
      <c r="Q242" s="562" t="s"/>
      <c r="R242" s="562" t="s"/>
      <c r="S242" s="563" t="s"/>
      <c r="T242" s="560" t="s"/>
      <c r="U242" s="560" t="s"/>
      <c r="V242" s="560" t="s"/>
      <c r="W242" s="564" t="s"/>
      <c r="X242" s="258" t="s"/>
      <c r="Y242" s="560" t="s"/>
      <c r="Z242" s="560" t="s"/>
      <c r="AA242" s="560" t="s"/>
      <c r="AB242" s="560" t="s"/>
      <c r="AC242" s="564" t="s"/>
      <c r="AD242" s="161" t="s"/>
      <c r="AE242" s="560" t="s"/>
      <c r="AF242" s="560" t="s"/>
      <c r="AG242" s="560" t="s"/>
      <c r="AH242" s="560" t="s"/>
      <c r="AI242" s="565" t="s"/>
      <c r="AJ242" s="161" t="s"/>
      <c r="AK242" s="560" t="s"/>
      <c r="AL242" s="560" t="s"/>
      <c r="AM242" s="560" t="s"/>
    </row>
    <row r="243" spans="1:39" customHeight="false">
      <c r="A243" s="557" t="s"/>
      <c r="B243" s="558" t="s"/>
      <c r="C243" s="558" t="s"/>
      <c r="D243" s="559" t="s"/>
      <c r="E243" s="557" t="s"/>
      <c r="F243" s="557" t="s"/>
      <c r="G243" s="557" t="s"/>
      <c r="H243" s="557" t="s"/>
      <c r="I243" s="560" t="s"/>
      <c r="J243" s="561" t="s"/>
      <c r="K243" s="187" t="s"/>
      <c r="L243" s="187" t="s"/>
      <c r="M243" s="562" t="s"/>
      <c r="N243" s="562" t="s"/>
      <c r="O243" s="562" t="s"/>
      <c r="P243" s="562" t="s"/>
      <c r="Q243" s="562" t="s"/>
      <c r="R243" s="562" t="s"/>
      <c r="S243" s="563" t="s"/>
      <c r="T243" s="560" t="s"/>
      <c r="U243" s="560" t="s"/>
      <c r="V243" s="560" t="s"/>
      <c r="W243" s="564" t="s"/>
      <c r="X243" s="258" t="s"/>
      <c r="Y243" s="560" t="s"/>
      <c r="Z243" s="560" t="s"/>
      <c r="AA243" s="560" t="s"/>
      <c r="AB243" s="560" t="s"/>
      <c r="AC243" s="564" t="s"/>
      <c r="AD243" s="161" t="s"/>
      <c r="AE243" s="560" t="s"/>
      <c r="AF243" s="560" t="s"/>
      <c r="AG243" s="560" t="s"/>
      <c r="AH243" s="560" t="s"/>
      <c r="AI243" s="565" t="s"/>
      <c r="AJ243" s="161" t="s"/>
      <c r="AK243" s="560" t="s"/>
      <c r="AL243" s="560" t="s"/>
      <c r="AM243" s="560" t="s"/>
    </row>
    <row r="244" spans="1:39" customHeight="false">
      <c r="A244" s="557" t="s"/>
      <c r="B244" s="558" t="s"/>
      <c r="C244" s="558" t="s"/>
      <c r="D244" s="559" t="s"/>
      <c r="E244" s="557" t="s"/>
      <c r="F244" s="557" t="s"/>
      <c r="G244" s="557" t="s"/>
      <c r="H244" s="557" t="s"/>
      <c r="I244" s="560" t="s"/>
      <c r="J244" s="561" t="s"/>
      <c r="K244" s="187" t="s"/>
      <c r="L244" s="187" t="s"/>
      <c r="M244" s="562" t="s"/>
      <c r="N244" s="562" t="s"/>
      <c r="O244" s="562" t="s"/>
      <c r="P244" s="562" t="s"/>
      <c r="Q244" s="562" t="s"/>
      <c r="R244" s="562" t="s"/>
      <c r="S244" s="563" t="s"/>
      <c r="T244" s="560" t="s"/>
      <c r="U244" s="560" t="s"/>
      <c r="V244" s="560" t="s"/>
      <c r="W244" s="564" t="s"/>
      <c r="X244" s="258" t="s"/>
      <c r="Y244" s="560" t="s"/>
      <c r="Z244" s="560" t="s"/>
      <c r="AA244" s="560" t="s"/>
      <c r="AB244" s="560" t="s"/>
      <c r="AC244" s="564" t="s"/>
      <c r="AD244" s="161" t="s"/>
      <c r="AE244" s="560" t="s"/>
      <c r="AF244" s="560" t="s"/>
      <c r="AG244" s="560" t="s"/>
      <c r="AH244" s="560" t="s"/>
      <c r="AI244" s="565" t="s"/>
      <c r="AJ244" s="161" t="s"/>
      <c r="AK244" s="560" t="s"/>
      <c r="AL244" s="560" t="s"/>
      <c r="AM244" s="560" t="s"/>
    </row>
    <row r="245" spans="1:39" customHeight="false">
      <c r="A245" s="557" t="s"/>
      <c r="B245" s="558" t="s"/>
      <c r="C245" s="558" t="s"/>
      <c r="D245" s="559" t="s"/>
      <c r="E245" s="557" t="s"/>
      <c r="F245" s="557" t="s"/>
      <c r="G245" s="557" t="s"/>
      <c r="H245" s="557" t="s"/>
      <c r="I245" s="560" t="s"/>
      <c r="J245" s="561" t="s"/>
      <c r="K245" s="187" t="s"/>
      <c r="L245" s="187" t="s"/>
      <c r="M245" s="562" t="s"/>
      <c r="N245" s="562" t="s"/>
      <c r="O245" s="562" t="s"/>
      <c r="P245" s="562" t="s"/>
      <c r="Q245" s="562" t="s"/>
      <c r="R245" s="562" t="s"/>
      <c r="S245" s="563" t="s"/>
      <c r="T245" s="560" t="s"/>
      <c r="U245" s="560" t="s"/>
      <c r="V245" s="560" t="s"/>
      <c r="W245" s="564" t="s"/>
      <c r="X245" s="258" t="s"/>
      <c r="Y245" s="560" t="s"/>
      <c r="Z245" s="560" t="s"/>
      <c r="AA245" s="560" t="s"/>
      <c r="AB245" s="560" t="s"/>
      <c r="AC245" s="564" t="s"/>
      <c r="AD245" s="161" t="s"/>
      <c r="AE245" s="560" t="s"/>
      <c r="AF245" s="560" t="s"/>
      <c r="AG245" s="560" t="s"/>
      <c r="AH245" s="560" t="s"/>
      <c r="AI245" s="565" t="s"/>
      <c r="AJ245" s="161" t="s"/>
      <c r="AK245" s="560" t="s"/>
      <c r="AL245" s="560" t="s"/>
      <c r="AM245" s="560" t="s"/>
    </row>
    <row r="246" spans="1:39" customHeight="false">
      <c r="A246" s="557" t="s"/>
      <c r="B246" s="558" t="s"/>
      <c r="C246" s="558" t="s"/>
      <c r="D246" s="559" t="s"/>
      <c r="E246" s="557" t="s"/>
      <c r="F246" s="557" t="s"/>
      <c r="G246" s="557" t="s"/>
      <c r="H246" s="557" t="s"/>
      <c r="I246" s="560" t="s"/>
      <c r="J246" s="561" t="s"/>
      <c r="K246" s="187" t="s"/>
      <c r="L246" s="187" t="s"/>
      <c r="M246" s="562" t="s"/>
      <c r="N246" s="562" t="s"/>
      <c r="O246" s="562" t="s"/>
      <c r="P246" s="562" t="s"/>
      <c r="Q246" s="562" t="s"/>
      <c r="R246" s="562" t="s"/>
      <c r="S246" s="563" t="s"/>
      <c r="T246" s="560" t="s"/>
      <c r="U246" s="560" t="s"/>
      <c r="V246" s="560" t="s"/>
      <c r="W246" s="564" t="s"/>
      <c r="X246" s="258" t="s"/>
      <c r="Y246" s="560" t="s"/>
      <c r="Z246" s="560" t="s"/>
      <c r="AA246" s="560" t="s"/>
      <c r="AB246" s="560" t="s"/>
      <c r="AC246" s="564" t="s"/>
      <c r="AD246" s="161" t="s"/>
      <c r="AE246" s="560" t="s"/>
      <c r="AF246" s="560" t="s"/>
      <c r="AG246" s="560" t="s"/>
      <c r="AH246" s="560" t="s"/>
      <c r="AI246" s="565" t="s"/>
      <c r="AJ246" s="161" t="s"/>
      <c r="AK246" s="560" t="s"/>
      <c r="AL246" s="560" t="s"/>
      <c r="AM246" s="560" t="s"/>
    </row>
    <row r="247" spans="1:39" customHeight="false">
      <c r="A247" s="557" t="s"/>
      <c r="B247" s="558" t="s"/>
      <c r="C247" s="558" t="s"/>
      <c r="D247" s="559" t="s"/>
      <c r="E247" s="557" t="s"/>
      <c r="F247" s="557" t="s"/>
      <c r="G247" s="557" t="s"/>
      <c r="H247" s="557" t="s"/>
      <c r="I247" s="560" t="s"/>
      <c r="J247" s="561" t="s"/>
      <c r="K247" s="187" t="s"/>
      <c r="L247" s="187" t="s"/>
      <c r="M247" s="562" t="s"/>
      <c r="N247" s="562" t="s"/>
      <c r="O247" s="562" t="s"/>
      <c r="P247" s="562" t="s"/>
      <c r="Q247" s="562" t="s"/>
      <c r="R247" s="562" t="s"/>
      <c r="S247" s="563" t="s"/>
      <c r="T247" s="560" t="s"/>
      <c r="U247" s="560" t="s"/>
      <c r="V247" s="560" t="s"/>
      <c r="W247" s="564" t="s"/>
      <c r="X247" s="258" t="s"/>
      <c r="Y247" s="560" t="s"/>
      <c r="Z247" s="560" t="s"/>
      <c r="AA247" s="560" t="s"/>
      <c r="AB247" s="560" t="s"/>
      <c r="AC247" s="564" t="s"/>
      <c r="AD247" s="161" t="s"/>
      <c r="AE247" s="560" t="s"/>
      <c r="AF247" s="560" t="s"/>
      <c r="AG247" s="560" t="s"/>
      <c r="AH247" s="560" t="s"/>
      <c r="AI247" s="565" t="s"/>
      <c r="AJ247" s="161" t="s"/>
      <c r="AK247" s="560" t="s"/>
      <c r="AL247" s="560" t="s"/>
      <c r="AM247" s="560" t="s"/>
    </row>
    <row r="248" spans="1:39" customHeight="false">
      <c r="A248" s="557" t="s"/>
      <c r="B248" s="558" t="s"/>
      <c r="C248" s="558" t="s"/>
      <c r="D248" s="559" t="s"/>
      <c r="E248" s="557" t="s"/>
      <c r="F248" s="557" t="s"/>
      <c r="G248" s="557" t="s"/>
      <c r="H248" s="557" t="s"/>
      <c r="I248" s="560" t="s"/>
      <c r="J248" s="561" t="s"/>
      <c r="K248" s="187" t="s"/>
      <c r="L248" s="187" t="s"/>
      <c r="M248" s="562" t="s"/>
      <c r="N248" s="562" t="s"/>
      <c r="O248" s="562" t="s"/>
      <c r="P248" s="562" t="s"/>
      <c r="Q248" s="562" t="s"/>
      <c r="R248" s="562" t="s"/>
      <c r="S248" s="563" t="s"/>
      <c r="T248" s="560" t="s"/>
      <c r="U248" s="560" t="s"/>
      <c r="V248" s="560" t="s"/>
      <c r="W248" s="564" t="s"/>
      <c r="X248" s="258" t="s"/>
      <c r="Y248" s="560" t="s"/>
      <c r="Z248" s="560" t="s"/>
      <c r="AA248" s="560" t="s"/>
      <c r="AB248" s="560" t="s"/>
      <c r="AC248" s="564" t="s"/>
      <c r="AD248" s="161" t="s"/>
      <c r="AE248" s="560" t="s"/>
      <c r="AF248" s="560" t="s"/>
      <c r="AG248" s="560" t="s"/>
      <c r="AH248" s="560" t="s"/>
      <c r="AI248" s="565" t="s"/>
      <c r="AJ248" s="161" t="s"/>
      <c r="AK248" s="560" t="s"/>
      <c r="AL248" s="560" t="s"/>
      <c r="AM248" s="560" t="s"/>
    </row>
    <row r="249" spans="1:39" customHeight="false">
      <c r="A249" s="557" t="s"/>
      <c r="B249" s="558" t="s"/>
      <c r="C249" s="558" t="s"/>
      <c r="D249" s="559" t="s"/>
      <c r="E249" s="557" t="s"/>
      <c r="F249" s="557" t="s"/>
      <c r="G249" s="557" t="s"/>
      <c r="H249" s="557" t="s"/>
      <c r="I249" s="560" t="s"/>
      <c r="J249" s="561" t="s"/>
      <c r="K249" s="187" t="s"/>
      <c r="L249" s="187" t="s"/>
      <c r="M249" s="562" t="s"/>
      <c r="N249" s="562" t="s"/>
      <c r="O249" s="562" t="s"/>
      <c r="P249" s="562" t="s"/>
      <c r="Q249" s="562" t="s"/>
      <c r="R249" s="562" t="s"/>
      <c r="S249" s="563" t="s"/>
      <c r="T249" s="560" t="s"/>
      <c r="U249" s="560" t="s"/>
      <c r="V249" s="560" t="s"/>
      <c r="W249" s="564" t="s"/>
      <c r="X249" s="258" t="s"/>
      <c r="Y249" s="560" t="s"/>
      <c r="Z249" s="560" t="s"/>
      <c r="AA249" s="560" t="s"/>
      <c r="AB249" s="560" t="s"/>
      <c r="AC249" s="564" t="s"/>
      <c r="AD249" s="161" t="s"/>
      <c r="AE249" s="560" t="s"/>
      <c r="AF249" s="560" t="s"/>
      <c r="AG249" s="560" t="s"/>
      <c r="AH249" s="560" t="s"/>
      <c r="AI249" s="565" t="s"/>
      <c r="AJ249" s="161" t="s"/>
      <c r="AK249" s="560" t="s"/>
      <c r="AL249" s="560" t="s"/>
      <c r="AM249" s="560" t="s"/>
    </row>
    <row r="250" spans="1:39" customHeight="false">
      <c r="A250" s="557" t="s"/>
      <c r="B250" s="558" t="s"/>
      <c r="C250" s="558" t="s"/>
      <c r="D250" s="559" t="s"/>
      <c r="E250" s="557" t="s"/>
      <c r="F250" s="557" t="s"/>
      <c r="G250" s="557" t="s"/>
      <c r="H250" s="557" t="s"/>
      <c r="I250" s="560" t="s"/>
      <c r="J250" s="561" t="s"/>
      <c r="K250" s="187" t="s"/>
      <c r="L250" s="187" t="s"/>
      <c r="M250" s="562" t="s"/>
      <c r="N250" s="562" t="s"/>
      <c r="O250" s="562" t="s"/>
      <c r="P250" s="562" t="s"/>
      <c r="Q250" s="562" t="s"/>
      <c r="R250" s="562" t="s"/>
      <c r="S250" s="563" t="s"/>
      <c r="T250" s="560" t="s"/>
      <c r="U250" s="560" t="s"/>
      <c r="V250" s="560" t="s"/>
      <c r="W250" s="564" t="s"/>
      <c r="X250" s="258" t="s"/>
      <c r="Y250" s="560" t="s"/>
      <c r="Z250" s="560" t="s"/>
      <c r="AA250" s="560" t="s"/>
      <c r="AB250" s="560" t="s"/>
      <c r="AC250" s="564" t="s"/>
      <c r="AD250" s="161" t="s"/>
      <c r="AE250" s="560" t="s"/>
      <c r="AF250" s="560" t="s"/>
      <c r="AG250" s="560" t="s"/>
      <c r="AH250" s="560" t="s"/>
      <c r="AI250" s="565" t="s"/>
      <c r="AJ250" s="161" t="s"/>
      <c r="AK250" s="560" t="s"/>
      <c r="AL250" s="560" t="s"/>
      <c r="AM250" s="560" t="s"/>
    </row>
    <row r="251" spans="1:39" customHeight="false">
      <c r="A251" s="557" t="s"/>
      <c r="B251" s="558" t="s"/>
      <c r="C251" s="558" t="s"/>
      <c r="D251" s="559" t="s"/>
      <c r="E251" s="557" t="s"/>
      <c r="F251" s="557" t="s"/>
      <c r="G251" s="557" t="s"/>
      <c r="H251" s="557" t="s"/>
      <c r="I251" s="560" t="s"/>
      <c r="J251" s="561" t="s"/>
      <c r="K251" s="187" t="s"/>
      <c r="L251" s="187" t="s"/>
      <c r="M251" s="562" t="s"/>
      <c r="N251" s="562" t="s"/>
      <c r="O251" s="562" t="s"/>
      <c r="P251" s="562" t="s"/>
      <c r="Q251" s="562" t="s"/>
      <c r="R251" s="562" t="s"/>
      <c r="S251" s="563" t="s"/>
      <c r="T251" s="560" t="s"/>
      <c r="U251" s="560" t="s"/>
      <c r="V251" s="560" t="s"/>
      <c r="W251" s="564" t="s"/>
      <c r="X251" s="258" t="s"/>
      <c r="Y251" s="560" t="s"/>
      <c r="Z251" s="560" t="s"/>
      <c r="AA251" s="560" t="s"/>
      <c r="AB251" s="560" t="s"/>
      <c r="AC251" s="564" t="s"/>
      <c r="AD251" s="161" t="s"/>
      <c r="AE251" s="560" t="s"/>
      <c r="AF251" s="560" t="s"/>
      <c r="AG251" s="560" t="s"/>
      <c r="AH251" s="560" t="s"/>
      <c r="AI251" s="565" t="s"/>
      <c r="AJ251" s="161" t="s"/>
      <c r="AK251" s="560" t="s"/>
      <c r="AL251" s="560" t="s"/>
      <c r="AM251" s="560" t="s"/>
    </row>
    <row r="252" spans="1:39" customHeight="false">
      <c r="A252" s="557" t="s"/>
      <c r="B252" s="558" t="s"/>
      <c r="C252" s="558" t="s"/>
      <c r="D252" s="559" t="s"/>
      <c r="E252" s="557" t="s"/>
      <c r="F252" s="557" t="s"/>
      <c r="G252" s="557" t="s"/>
      <c r="H252" s="557" t="s"/>
      <c r="I252" s="560" t="s"/>
      <c r="J252" s="561" t="s"/>
      <c r="K252" s="187" t="s"/>
      <c r="L252" s="187" t="s"/>
      <c r="M252" s="562" t="s"/>
      <c r="N252" s="562" t="s"/>
      <c r="O252" s="562" t="s"/>
      <c r="P252" s="562" t="s"/>
      <c r="Q252" s="562" t="s"/>
      <c r="R252" s="562" t="s"/>
      <c r="S252" s="563" t="s"/>
      <c r="T252" s="560" t="s"/>
      <c r="U252" s="560" t="s"/>
      <c r="V252" s="560" t="s"/>
      <c r="W252" s="564" t="s"/>
      <c r="X252" s="258" t="s"/>
      <c r="Y252" s="560" t="s"/>
      <c r="Z252" s="560" t="s"/>
      <c r="AA252" s="560" t="s"/>
      <c r="AB252" s="560" t="s"/>
      <c r="AC252" s="564" t="s"/>
      <c r="AD252" s="161" t="s"/>
      <c r="AE252" s="560" t="s"/>
      <c r="AF252" s="560" t="s"/>
      <c r="AG252" s="560" t="s"/>
      <c r="AH252" s="560" t="s"/>
      <c r="AI252" s="565" t="s"/>
      <c r="AJ252" s="161" t="s"/>
      <c r="AK252" s="560" t="s"/>
      <c r="AL252" s="560" t="s"/>
      <c r="AM252" s="560" t="s"/>
    </row>
    <row r="253" spans="1:39" customHeight="false">
      <c r="A253" s="557" t="s"/>
      <c r="B253" s="558" t="s"/>
      <c r="C253" s="558" t="s"/>
      <c r="D253" s="559" t="s"/>
      <c r="E253" s="557" t="s"/>
      <c r="F253" s="557" t="s"/>
      <c r="G253" s="557" t="s"/>
      <c r="H253" s="557" t="s"/>
      <c r="I253" s="560" t="s"/>
      <c r="J253" s="561" t="s"/>
      <c r="K253" s="187" t="s"/>
      <c r="L253" s="187" t="s"/>
      <c r="M253" s="562" t="s"/>
      <c r="N253" s="562" t="s"/>
      <c r="O253" s="562" t="s"/>
      <c r="P253" s="562" t="s"/>
      <c r="Q253" s="562" t="s"/>
      <c r="R253" s="562" t="s"/>
      <c r="S253" s="563" t="s"/>
      <c r="T253" s="560" t="s"/>
      <c r="U253" s="560" t="s"/>
      <c r="V253" s="560" t="s"/>
      <c r="W253" s="564" t="s"/>
      <c r="X253" s="258" t="s"/>
      <c r="Y253" s="560" t="s"/>
      <c r="Z253" s="560" t="s"/>
      <c r="AA253" s="560" t="s"/>
      <c r="AB253" s="560" t="s"/>
      <c r="AC253" s="564" t="s"/>
      <c r="AD253" s="161" t="s"/>
      <c r="AE253" s="560" t="s"/>
      <c r="AF253" s="560" t="s"/>
      <c r="AG253" s="560" t="s"/>
      <c r="AH253" s="560" t="s"/>
      <c r="AI253" s="565" t="s"/>
      <c r="AJ253" s="161" t="s"/>
      <c r="AK253" s="560" t="s"/>
      <c r="AL253" s="560" t="s"/>
      <c r="AM253" s="560" t="s"/>
    </row>
    <row r="254" spans="1:39" customHeight="false">
      <c r="A254" s="557" t="s"/>
      <c r="B254" s="558" t="s"/>
      <c r="C254" s="558" t="s"/>
      <c r="D254" s="559" t="s"/>
      <c r="E254" s="557" t="s"/>
      <c r="F254" s="557" t="s"/>
      <c r="G254" s="557" t="s"/>
      <c r="H254" s="557" t="s"/>
      <c r="I254" s="560" t="s"/>
      <c r="J254" s="561" t="s"/>
      <c r="K254" s="187" t="s"/>
      <c r="L254" s="187" t="s"/>
      <c r="M254" s="562" t="s"/>
      <c r="N254" s="562" t="s"/>
      <c r="O254" s="562" t="s"/>
      <c r="P254" s="562" t="s"/>
      <c r="Q254" s="562" t="s"/>
      <c r="R254" s="562" t="s"/>
      <c r="S254" s="563" t="s"/>
      <c r="T254" s="560" t="s"/>
      <c r="U254" s="560" t="s"/>
      <c r="V254" s="560" t="s"/>
      <c r="W254" s="564" t="s"/>
      <c r="X254" s="258" t="s"/>
      <c r="Y254" s="560" t="s"/>
      <c r="Z254" s="560" t="s"/>
      <c r="AA254" s="560" t="s"/>
      <c r="AB254" s="560" t="s"/>
      <c r="AC254" s="564" t="s"/>
      <c r="AD254" s="161" t="s"/>
      <c r="AE254" s="560" t="s"/>
      <c r="AF254" s="560" t="s"/>
      <c r="AG254" s="560" t="s"/>
      <c r="AH254" s="560" t="s"/>
      <c r="AI254" s="565" t="s"/>
      <c r="AJ254" s="161" t="s"/>
      <c r="AK254" s="560" t="s"/>
      <c r="AL254" s="560" t="s"/>
      <c r="AM254" s="560" t="s"/>
    </row>
    <row r="255" spans="1:39" customHeight="false">
      <c r="A255" s="557" t="s"/>
      <c r="B255" s="558" t="s"/>
      <c r="C255" s="558" t="s"/>
      <c r="D255" s="559" t="s"/>
      <c r="E255" s="557" t="s"/>
      <c r="F255" s="557" t="s"/>
      <c r="G255" s="557" t="s"/>
      <c r="H255" s="557" t="s"/>
      <c r="I255" s="560" t="s"/>
      <c r="J255" s="561" t="s"/>
      <c r="K255" s="187" t="s"/>
      <c r="L255" s="187" t="s"/>
      <c r="M255" s="562" t="s"/>
      <c r="N255" s="562" t="s"/>
      <c r="O255" s="562" t="s"/>
      <c r="P255" s="562" t="s"/>
      <c r="Q255" s="562" t="s"/>
      <c r="R255" s="562" t="s"/>
      <c r="S255" s="563" t="s"/>
      <c r="T255" s="560" t="s"/>
      <c r="U255" s="560" t="s"/>
      <c r="V255" s="560" t="s"/>
      <c r="W255" s="564" t="s"/>
      <c r="X255" s="258" t="s"/>
      <c r="Y255" s="560" t="s"/>
      <c r="Z255" s="560" t="s"/>
      <c r="AA255" s="560" t="s"/>
      <c r="AB255" s="560" t="s"/>
      <c r="AC255" s="564" t="s"/>
      <c r="AD255" s="161" t="s"/>
      <c r="AE255" s="560" t="s"/>
      <c r="AF255" s="560" t="s"/>
      <c r="AG255" s="560" t="s"/>
      <c r="AH255" s="560" t="s"/>
      <c r="AI255" s="565" t="s"/>
      <c r="AJ255" s="161" t="s"/>
      <c r="AK255" s="560" t="s"/>
      <c r="AL255" s="560" t="s"/>
      <c r="AM255" s="560" t="s"/>
    </row>
    <row r="256" spans="1:39" customHeight="false">
      <c r="A256" s="557" t="s"/>
      <c r="B256" s="558" t="s"/>
      <c r="C256" s="558" t="s"/>
      <c r="D256" s="559" t="s"/>
      <c r="E256" s="557" t="s"/>
      <c r="F256" s="557" t="s"/>
      <c r="G256" s="557" t="s"/>
      <c r="H256" s="557" t="s"/>
      <c r="I256" s="560" t="s"/>
      <c r="J256" s="561" t="s"/>
      <c r="K256" s="187" t="s"/>
      <c r="L256" s="187" t="s"/>
      <c r="M256" s="562" t="s"/>
      <c r="N256" s="562" t="s"/>
      <c r="O256" s="562" t="s"/>
      <c r="P256" s="562" t="s"/>
      <c r="Q256" s="562" t="s"/>
      <c r="R256" s="562" t="s"/>
      <c r="S256" s="563" t="s"/>
      <c r="T256" s="560" t="s"/>
      <c r="U256" s="560" t="s"/>
      <c r="V256" s="560" t="s"/>
      <c r="W256" s="564" t="s"/>
      <c r="X256" s="258" t="s"/>
      <c r="Y256" s="560" t="s"/>
      <c r="Z256" s="560" t="s"/>
      <c r="AA256" s="560" t="s"/>
      <c r="AB256" s="560" t="s"/>
      <c r="AC256" s="564" t="s"/>
      <c r="AD256" s="161" t="s"/>
      <c r="AE256" s="560" t="s"/>
      <c r="AF256" s="560" t="s"/>
      <c r="AG256" s="560" t="s"/>
      <c r="AH256" s="560" t="s"/>
      <c r="AI256" s="565" t="s"/>
      <c r="AJ256" s="161" t="s"/>
      <c r="AK256" s="560" t="s"/>
      <c r="AL256" s="560" t="s"/>
      <c r="AM256" s="560" t="s"/>
    </row>
    <row r="257" spans="1:39" customHeight="false">
      <c r="A257" s="557" t="s"/>
      <c r="B257" s="558" t="s"/>
      <c r="C257" s="558" t="s"/>
      <c r="D257" s="559" t="s"/>
      <c r="E257" s="557" t="s"/>
      <c r="F257" s="557" t="s"/>
      <c r="G257" s="557" t="s"/>
      <c r="H257" s="557" t="s"/>
      <c r="I257" s="560" t="s"/>
      <c r="J257" s="561" t="s"/>
      <c r="K257" s="187" t="s"/>
      <c r="L257" s="187" t="s"/>
      <c r="M257" s="562" t="s"/>
      <c r="N257" s="562" t="s"/>
      <c r="O257" s="562" t="s"/>
      <c r="P257" s="562" t="s"/>
      <c r="Q257" s="562" t="s"/>
      <c r="R257" s="562" t="s"/>
      <c r="S257" s="563" t="s"/>
      <c r="T257" s="560" t="s"/>
      <c r="U257" s="560" t="s"/>
      <c r="V257" s="560" t="s"/>
      <c r="W257" s="564" t="s"/>
      <c r="X257" s="258" t="s"/>
      <c r="Y257" s="560" t="s"/>
      <c r="Z257" s="560" t="s"/>
      <c r="AA257" s="560" t="s"/>
      <c r="AB257" s="560" t="s"/>
      <c r="AC257" s="564" t="s"/>
      <c r="AD257" s="161" t="s"/>
      <c r="AE257" s="560" t="s"/>
      <c r="AF257" s="560" t="s"/>
      <c r="AG257" s="560" t="s"/>
      <c r="AH257" s="560" t="s"/>
      <c r="AI257" s="565" t="s"/>
      <c r="AJ257" s="161" t="s"/>
      <c r="AK257" s="560" t="s"/>
      <c r="AL257" s="560" t="s"/>
      <c r="AM257" s="560" t="s"/>
    </row>
    <row r="258" spans="1:39" customHeight="false">
      <c r="A258" s="557" t="s"/>
      <c r="B258" s="558" t="s"/>
      <c r="C258" s="558" t="s"/>
      <c r="D258" s="559" t="s"/>
      <c r="E258" s="557" t="s"/>
      <c r="F258" s="557" t="s"/>
      <c r="G258" s="557" t="s"/>
      <c r="H258" s="557" t="s"/>
      <c r="I258" s="560" t="s"/>
      <c r="J258" s="561" t="s"/>
      <c r="K258" s="187" t="s"/>
      <c r="L258" s="187" t="s"/>
      <c r="M258" s="562" t="s"/>
      <c r="N258" s="562" t="s"/>
      <c r="O258" s="562" t="s"/>
      <c r="P258" s="562" t="s"/>
      <c r="Q258" s="562" t="s"/>
      <c r="R258" s="562" t="s"/>
      <c r="S258" s="563" t="s"/>
      <c r="T258" s="560" t="s"/>
      <c r="U258" s="560" t="s"/>
      <c r="V258" s="560" t="s"/>
      <c r="W258" s="564" t="s"/>
      <c r="X258" s="258" t="s"/>
      <c r="Y258" s="560" t="s"/>
      <c r="Z258" s="560" t="s"/>
      <c r="AA258" s="560" t="s"/>
      <c r="AB258" s="560" t="s"/>
      <c r="AC258" s="564" t="s"/>
      <c r="AD258" s="161" t="s"/>
      <c r="AE258" s="560" t="s"/>
      <c r="AF258" s="560" t="s"/>
      <c r="AG258" s="560" t="s"/>
      <c r="AH258" s="560" t="s"/>
      <c r="AI258" s="565" t="s"/>
      <c r="AJ258" s="161" t="s"/>
      <c r="AK258" s="560" t="s"/>
      <c r="AL258" s="560" t="s"/>
      <c r="AM258" s="560" t="s"/>
    </row>
    <row r="259" spans="1:39" customHeight="false">
      <c r="A259" s="557" t="s"/>
      <c r="B259" s="558" t="s"/>
      <c r="C259" s="558" t="s"/>
      <c r="D259" s="559" t="s"/>
      <c r="E259" s="557" t="s"/>
      <c r="F259" s="557" t="s"/>
      <c r="G259" s="557" t="s"/>
      <c r="H259" s="557" t="s"/>
      <c r="I259" s="560" t="s"/>
      <c r="J259" s="561" t="s"/>
      <c r="K259" s="187" t="s"/>
      <c r="L259" s="187" t="s"/>
      <c r="M259" s="562" t="s"/>
      <c r="N259" s="562" t="s"/>
      <c r="O259" s="562" t="s"/>
      <c r="P259" s="562" t="s"/>
      <c r="Q259" s="562" t="s"/>
      <c r="R259" s="562" t="s"/>
      <c r="S259" s="563" t="s"/>
      <c r="T259" s="560" t="s"/>
      <c r="U259" s="560" t="s"/>
      <c r="V259" s="560" t="s"/>
      <c r="W259" s="564" t="s"/>
      <c r="X259" s="258" t="s"/>
      <c r="Y259" s="560" t="s"/>
      <c r="Z259" s="560" t="s"/>
      <c r="AA259" s="560" t="s"/>
      <c r="AB259" s="560" t="s"/>
      <c r="AC259" s="564" t="s"/>
      <c r="AD259" s="161" t="s"/>
      <c r="AE259" s="560" t="s"/>
      <c r="AF259" s="560" t="s"/>
      <c r="AG259" s="560" t="s"/>
      <c r="AH259" s="560" t="s"/>
      <c r="AI259" s="565" t="s"/>
      <c r="AJ259" s="161" t="s"/>
      <c r="AK259" s="560" t="s"/>
      <c r="AL259" s="560" t="s"/>
      <c r="AM259" s="560" t="s"/>
    </row>
    <row r="260" spans="1:39" customHeight="false">
      <c r="A260" s="557" t="s"/>
      <c r="B260" s="558" t="s"/>
      <c r="C260" s="558" t="s"/>
      <c r="D260" s="559" t="s"/>
      <c r="E260" s="557" t="s"/>
      <c r="F260" s="557" t="s"/>
      <c r="G260" s="557" t="s"/>
      <c r="H260" s="557" t="s"/>
      <c r="I260" s="560" t="s"/>
      <c r="J260" s="561" t="s"/>
      <c r="K260" s="187" t="s"/>
      <c r="L260" s="187" t="s"/>
      <c r="M260" s="562" t="s"/>
      <c r="N260" s="562" t="s"/>
      <c r="O260" s="562" t="s"/>
      <c r="P260" s="562" t="s"/>
      <c r="Q260" s="562" t="s"/>
      <c r="R260" s="562" t="s"/>
      <c r="S260" s="563" t="s"/>
      <c r="T260" s="560" t="s"/>
      <c r="U260" s="560" t="s"/>
      <c r="V260" s="560" t="s"/>
      <c r="W260" s="564" t="s"/>
      <c r="X260" s="258" t="s"/>
      <c r="Y260" s="560" t="s"/>
      <c r="Z260" s="560" t="s"/>
      <c r="AA260" s="560" t="s"/>
      <c r="AB260" s="560" t="s"/>
      <c r="AC260" s="564" t="s"/>
      <c r="AD260" s="161" t="s"/>
      <c r="AE260" s="560" t="s"/>
      <c r="AF260" s="560" t="s"/>
      <c r="AG260" s="560" t="s"/>
      <c r="AH260" s="560" t="s"/>
      <c r="AI260" s="565" t="s"/>
      <c r="AJ260" s="161" t="s"/>
      <c r="AK260" s="560" t="s"/>
      <c r="AL260" s="560" t="s"/>
      <c r="AM260" s="560" t="s"/>
    </row>
    <row r="261" spans="1:39" customHeight="false">
      <c r="A261" s="557" t="s"/>
      <c r="B261" s="558" t="s"/>
      <c r="C261" s="558" t="s"/>
      <c r="D261" s="559" t="s"/>
      <c r="E261" s="557" t="s"/>
      <c r="F261" s="557" t="s"/>
      <c r="G261" s="557" t="s"/>
      <c r="H261" s="557" t="s"/>
      <c r="I261" s="560" t="s"/>
      <c r="J261" s="561" t="s"/>
      <c r="K261" s="187" t="s"/>
      <c r="L261" s="187" t="s"/>
      <c r="M261" s="562" t="s"/>
      <c r="N261" s="562" t="s"/>
      <c r="O261" s="562" t="s"/>
      <c r="P261" s="562" t="s"/>
      <c r="Q261" s="562" t="s"/>
      <c r="R261" s="562" t="s"/>
      <c r="S261" s="563" t="s"/>
      <c r="T261" s="560" t="s"/>
      <c r="U261" s="560" t="s"/>
      <c r="V261" s="560" t="s"/>
      <c r="W261" s="564" t="s"/>
      <c r="X261" s="258" t="s"/>
      <c r="Y261" s="560" t="s"/>
      <c r="Z261" s="560" t="s"/>
      <c r="AA261" s="560" t="s"/>
      <c r="AB261" s="560" t="s"/>
      <c r="AC261" s="564" t="s"/>
      <c r="AD261" s="161" t="s"/>
      <c r="AE261" s="560" t="s"/>
      <c r="AF261" s="560" t="s"/>
      <c r="AG261" s="560" t="s"/>
      <c r="AH261" s="560" t="s"/>
      <c r="AI261" s="565" t="s"/>
      <c r="AJ261" s="161" t="s"/>
      <c r="AK261" s="560" t="s"/>
      <c r="AL261" s="560" t="s"/>
      <c r="AM261" s="560" t="s"/>
    </row>
    <row r="262" spans="1:39" customHeight="false">
      <c r="A262" s="557" t="s"/>
      <c r="B262" s="558" t="s"/>
      <c r="C262" s="558" t="s"/>
      <c r="D262" s="559" t="s"/>
      <c r="E262" s="557" t="s"/>
      <c r="F262" s="557" t="s"/>
      <c r="G262" s="557" t="s"/>
      <c r="H262" s="557" t="s"/>
      <c r="I262" s="560" t="s"/>
      <c r="J262" s="561" t="s"/>
      <c r="K262" s="187" t="s"/>
      <c r="L262" s="187" t="s"/>
      <c r="M262" s="562" t="s"/>
      <c r="N262" s="562" t="s"/>
      <c r="O262" s="562" t="s"/>
      <c r="P262" s="562" t="s"/>
      <c r="Q262" s="562" t="s"/>
      <c r="R262" s="562" t="s"/>
      <c r="S262" s="563" t="s"/>
      <c r="T262" s="560" t="s"/>
      <c r="U262" s="560" t="s"/>
      <c r="V262" s="560" t="s"/>
      <c r="W262" s="564" t="s"/>
      <c r="X262" s="258" t="s"/>
      <c r="Y262" s="560" t="s"/>
      <c r="Z262" s="560" t="s"/>
      <c r="AA262" s="560" t="s"/>
      <c r="AB262" s="560" t="s"/>
      <c r="AC262" s="564" t="s"/>
      <c r="AD262" s="161" t="s"/>
      <c r="AE262" s="560" t="s"/>
      <c r="AF262" s="560" t="s"/>
      <c r="AG262" s="560" t="s"/>
      <c r="AH262" s="560" t="s"/>
      <c r="AI262" s="565" t="s"/>
      <c r="AJ262" s="161" t="s"/>
      <c r="AK262" s="560" t="s"/>
      <c r="AL262" s="560" t="s"/>
      <c r="AM262" s="560" t="s"/>
    </row>
    <row r="263" spans="1:39" customHeight="false">
      <c r="A263" s="557" t="s"/>
      <c r="B263" s="558" t="s"/>
      <c r="C263" s="558" t="s"/>
      <c r="D263" s="559" t="s"/>
      <c r="E263" s="557" t="s"/>
      <c r="F263" s="557" t="s"/>
      <c r="G263" s="557" t="s"/>
      <c r="H263" s="557" t="s"/>
      <c r="I263" s="560" t="s"/>
      <c r="J263" s="561" t="s"/>
      <c r="K263" s="187" t="s"/>
      <c r="L263" s="187" t="s"/>
      <c r="M263" s="562" t="s"/>
      <c r="N263" s="562" t="s"/>
      <c r="O263" s="562" t="s"/>
      <c r="P263" s="562" t="s"/>
      <c r="Q263" s="562" t="s"/>
      <c r="R263" s="562" t="s"/>
      <c r="S263" s="563" t="s"/>
      <c r="T263" s="560" t="s"/>
      <c r="U263" s="560" t="s"/>
      <c r="V263" s="560" t="s"/>
      <c r="W263" s="564" t="s"/>
      <c r="X263" s="258" t="s"/>
      <c r="Y263" s="560" t="s"/>
      <c r="Z263" s="560" t="s"/>
      <c r="AA263" s="560" t="s"/>
      <c r="AB263" s="560" t="s"/>
      <c r="AC263" s="564" t="s"/>
      <c r="AD263" s="161" t="s"/>
      <c r="AE263" s="560" t="s"/>
      <c r="AF263" s="560" t="s"/>
      <c r="AG263" s="560" t="s"/>
      <c r="AH263" s="560" t="s"/>
      <c r="AI263" s="565" t="s"/>
      <c r="AJ263" s="161" t="s"/>
      <c r="AK263" s="560" t="s"/>
      <c r="AL263" s="560" t="s"/>
      <c r="AM263" s="560" t="s"/>
    </row>
    <row r="264" spans="1:39" customHeight="false">
      <c r="A264" s="557" t="s"/>
      <c r="B264" s="558" t="s"/>
      <c r="C264" s="558" t="s"/>
      <c r="D264" s="559" t="s"/>
      <c r="E264" s="557" t="s"/>
      <c r="F264" s="557" t="s"/>
      <c r="G264" s="557" t="s"/>
      <c r="H264" s="557" t="s"/>
      <c r="I264" s="560" t="s"/>
      <c r="J264" s="561" t="s"/>
      <c r="K264" s="187" t="s"/>
      <c r="L264" s="187" t="s"/>
      <c r="M264" s="562" t="s"/>
      <c r="N264" s="562" t="s"/>
      <c r="O264" s="562" t="s"/>
      <c r="P264" s="562" t="s"/>
      <c r="Q264" s="562" t="s"/>
      <c r="R264" s="562" t="s"/>
      <c r="S264" s="563" t="s"/>
      <c r="T264" s="560" t="s"/>
      <c r="U264" s="560" t="s"/>
      <c r="V264" s="560" t="s"/>
      <c r="W264" s="564" t="s"/>
      <c r="X264" s="258" t="s"/>
      <c r="Y264" s="560" t="s"/>
      <c r="Z264" s="560" t="s"/>
      <c r="AA264" s="560" t="s"/>
      <c r="AB264" s="560" t="s"/>
      <c r="AC264" s="564" t="s"/>
      <c r="AD264" s="161" t="s"/>
      <c r="AE264" s="560" t="s"/>
      <c r="AF264" s="560" t="s"/>
      <c r="AG264" s="560" t="s"/>
      <c r="AH264" s="560" t="s"/>
      <c r="AI264" s="565" t="s"/>
      <c r="AJ264" s="161" t="s"/>
      <c r="AK264" s="560" t="s"/>
      <c r="AL264" s="560" t="s"/>
      <c r="AM264" s="560" t="s"/>
    </row>
    <row r="265" spans="1:39" customHeight="false">
      <c r="A265" s="557" t="s"/>
      <c r="B265" s="558" t="s"/>
      <c r="C265" s="558" t="s"/>
      <c r="D265" s="559" t="s"/>
      <c r="E265" s="557" t="s"/>
      <c r="F265" s="557" t="s"/>
      <c r="G265" s="557" t="s"/>
      <c r="H265" s="557" t="s"/>
      <c r="I265" s="560" t="s"/>
      <c r="J265" s="561" t="s"/>
      <c r="K265" s="187" t="s"/>
      <c r="L265" s="187" t="s"/>
      <c r="M265" s="562" t="s"/>
      <c r="N265" s="562" t="s"/>
      <c r="O265" s="562" t="s"/>
      <c r="P265" s="562" t="s"/>
      <c r="Q265" s="562" t="s"/>
      <c r="R265" s="562" t="s"/>
      <c r="S265" s="563" t="s"/>
      <c r="T265" s="560" t="s"/>
      <c r="U265" s="560" t="s"/>
      <c r="V265" s="560" t="s"/>
      <c r="W265" s="564" t="s"/>
      <c r="X265" s="258" t="s"/>
      <c r="Y265" s="560" t="s"/>
      <c r="Z265" s="560" t="s"/>
      <c r="AA265" s="560" t="s"/>
      <c r="AB265" s="560" t="s"/>
      <c r="AC265" s="564" t="s"/>
      <c r="AD265" s="161" t="s"/>
      <c r="AE265" s="560" t="s"/>
      <c r="AF265" s="560" t="s"/>
      <c r="AG265" s="560" t="s"/>
      <c r="AH265" s="560" t="s"/>
      <c r="AI265" s="565" t="s"/>
      <c r="AJ265" s="161" t="s"/>
      <c r="AK265" s="560" t="s"/>
      <c r="AL265" s="560" t="s"/>
      <c r="AM265" s="560" t="s"/>
    </row>
    <row r="266" spans="1:39" customHeight="false">
      <c r="A266" s="557" t="s"/>
      <c r="B266" s="558" t="s"/>
      <c r="C266" s="558" t="s"/>
      <c r="D266" s="559" t="s"/>
      <c r="E266" s="557" t="s"/>
      <c r="F266" s="557" t="s"/>
      <c r="G266" s="557" t="s"/>
      <c r="H266" s="557" t="s"/>
      <c r="I266" s="560" t="s"/>
      <c r="J266" s="561" t="s"/>
      <c r="K266" s="187" t="s"/>
      <c r="L266" s="187" t="s"/>
      <c r="M266" s="562" t="s"/>
      <c r="N266" s="562" t="s"/>
      <c r="O266" s="562" t="s"/>
      <c r="P266" s="562" t="s"/>
      <c r="Q266" s="562" t="s"/>
      <c r="R266" s="562" t="s"/>
      <c r="S266" s="563" t="s"/>
      <c r="T266" s="560" t="s"/>
      <c r="U266" s="560" t="s"/>
      <c r="V266" s="560" t="s"/>
      <c r="W266" s="564" t="s"/>
      <c r="X266" s="258" t="s"/>
      <c r="Y266" s="560" t="s"/>
      <c r="Z266" s="560" t="s"/>
      <c r="AA266" s="560" t="s"/>
      <c r="AB266" s="560" t="s"/>
      <c r="AC266" s="564" t="s"/>
      <c r="AD266" s="161" t="s"/>
      <c r="AE266" s="560" t="s"/>
      <c r="AF266" s="560" t="s"/>
      <c r="AG266" s="560" t="s"/>
      <c r="AH266" s="560" t="s"/>
      <c r="AI266" s="565" t="s"/>
      <c r="AJ266" s="161" t="s"/>
      <c r="AK266" s="560" t="s"/>
      <c r="AL266" s="560" t="s"/>
      <c r="AM266" s="560" t="s"/>
    </row>
    <row r="267" spans="1:39" customHeight="false">
      <c r="A267" s="557" t="s"/>
      <c r="B267" s="558" t="s"/>
      <c r="C267" s="558" t="s"/>
      <c r="D267" s="559" t="s"/>
      <c r="E267" s="557" t="s"/>
      <c r="F267" s="557" t="s"/>
      <c r="G267" s="557" t="s"/>
      <c r="H267" s="557" t="s"/>
      <c r="I267" s="560" t="s"/>
      <c r="J267" s="561" t="s"/>
      <c r="K267" s="187" t="s"/>
      <c r="L267" s="187" t="s"/>
      <c r="M267" s="562" t="s"/>
      <c r="N267" s="562" t="s"/>
      <c r="O267" s="562" t="s"/>
      <c r="P267" s="562" t="s"/>
      <c r="Q267" s="562" t="s"/>
      <c r="R267" s="562" t="s"/>
      <c r="S267" s="563" t="s"/>
      <c r="T267" s="560" t="s"/>
      <c r="U267" s="560" t="s"/>
      <c r="V267" s="560" t="s"/>
      <c r="W267" s="564" t="s"/>
      <c r="X267" s="258" t="s"/>
      <c r="Y267" s="560" t="s"/>
      <c r="Z267" s="560" t="s"/>
      <c r="AA267" s="560" t="s"/>
      <c r="AB267" s="560" t="s"/>
      <c r="AC267" s="564" t="s"/>
      <c r="AD267" s="161" t="s"/>
      <c r="AE267" s="560" t="s"/>
      <c r="AF267" s="560" t="s"/>
      <c r="AG267" s="560" t="s"/>
      <c r="AH267" s="560" t="s"/>
      <c r="AI267" s="565" t="s"/>
      <c r="AJ267" s="161" t="s"/>
      <c r="AK267" s="560" t="s"/>
      <c r="AL267" s="560" t="s"/>
      <c r="AM267" s="560" t="s"/>
    </row>
    <row r="268" spans="1:39" customHeight="false">
      <c r="A268" s="557" t="s"/>
      <c r="B268" s="558" t="s"/>
      <c r="C268" s="558" t="s"/>
      <c r="D268" s="559" t="s"/>
      <c r="E268" s="557" t="s"/>
      <c r="F268" s="557" t="s"/>
      <c r="G268" s="557" t="s"/>
      <c r="H268" s="557" t="s"/>
      <c r="I268" s="560" t="s"/>
      <c r="J268" s="561" t="s"/>
      <c r="K268" s="187" t="s"/>
      <c r="L268" s="187" t="s"/>
      <c r="M268" s="562" t="s"/>
      <c r="N268" s="562" t="s"/>
      <c r="O268" s="562" t="s"/>
      <c r="P268" s="562" t="s"/>
      <c r="Q268" s="562" t="s"/>
      <c r="R268" s="562" t="s"/>
      <c r="S268" s="563" t="s"/>
      <c r="T268" s="560" t="s"/>
      <c r="U268" s="560" t="s"/>
      <c r="V268" s="560" t="s"/>
      <c r="W268" s="564" t="s"/>
      <c r="X268" s="258" t="s"/>
      <c r="Y268" s="560" t="s"/>
      <c r="Z268" s="560" t="s"/>
      <c r="AA268" s="560" t="s"/>
      <c r="AB268" s="560" t="s"/>
      <c r="AC268" s="564" t="s"/>
      <c r="AD268" s="161" t="s"/>
      <c r="AE268" s="560" t="s"/>
      <c r="AF268" s="560" t="s"/>
      <c r="AG268" s="560" t="s"/>
      <c r="AH268" s="560" t="s"/>
      <c r="AI268" s="565" t="s"/>
      <c r="AJ268" s="161" t="s"/>
      <c r="AK268" s="560" t="s"/>
      <c r="AL268" s="560" t="s"/>
      <c r="AM268" s="560" t="s"/>
    </row>
    <row r="269" spans="1:39" customHeight="false">
      <c r="A269" s="557" t="s"/>
      <c r="B269" s="558" t="s"/>
      <c r="C269" s="558" t="s"/>
      <c r="D269" s="559" t="s"/>
      <c r="E269" s="557" t="s"/>
      <c r="F269" s="557" t="s"/>
      <c r="G269" s="557" t="s"/>
      <c r="H269" s="557" t="s"/>
      <c r="I269" s="560" t="s"/>
      <c r="J269" s="561" t="s"/>
      <c r="K269" s="187" t="s"/>
      <c r="L269" s="187" t="s"/>
      <c r="M269" s="562" t="s"/>
      <c r="N269" s="562" t="s"/>
      <c r="O269" s="562" t="s"/>
      <c r="P269" s="562" t="s"/>
      <c r="Q269" s="562" t="s"/>
      <c r="R269" s="562" t="s"/>
      <c r="S269" s="563" t="s"/>
      <c r="T269" s="560" t="s"/>
      <c r="U269" s="560" t="s"/>
      <c r="V269" s="560" t="s"/>
      <c r="W269" s="564" t="s"/>
      <c r="X269" s="258" t="s"/>
      <c r="Y269" s="560" t="s"/>
      <c r="Z269" s="560" t="s"/>
      <c r="AA269" s="560" t="s"/>
      <c r="AB269" s="560" t="s"/>
      <c r="AC269" s="564" t="s"/>
      <c r="AD269" s="161" t="s"/>
      <c r="AE269" s="560" t="s"/>
      <c r="AF269" s="560" t="s"/>
      <c r="AG269" s="560" t="s"/>
      <c r="AH269" s="560" t="s"/>
      <c r="AI269" s="565" t="s"/>
      <c r="AJ269" s="161" t="s"/>
      <c r="AK269" s="560" t="s"/>
      <c r="AL269" s="560" t="s"/>
      <c r="AM269" s="560" t="s"/>
    </row>
    <row r="270" spans="1:39" customHeight="false">
      <c r="A270" s="557" t="s"/>
      <c r="B270" s="558" t="s"/>
      <c r="C270" s="558" t="s"/>
      <c r="D270" s="559" t="s"/>
      <c r="E270" s="557" t="s"/>
      <c r="F270" s="557" t="s"/>
      <c r="G270" s="557" t="s"/>
      <c r="H270" s="557" t="s"/>
      <c r="I270" s="560" t="s"/>
      <c r="J270" s="561" t="s"/>
      <c r="K270" s="187" t="s"/>
      <c r="L270" s="187" t="s"/>
      <c r="M270" s="562" t="s"/>
      <c r="N270" s="562" t="s"/>
      <c r="O270" s="562" t="s"/>
      <c r="P270" s="562" t="s"/>
      <c r="Q270" s="562" t="s"/>
      <c r="R270" s="562" t="s"/>
      <c r="S270" s="563" t="s"/>
      <c r="T270" s="560" t="s"/>
      <c r="U270" s="560" t="s"/>
      <c r="V270" s="560" t="s"/>
      <c r="W270" s="564" t="s"/>
      <c r="X270" s="258" t="s"/>
      <c r="Y270" s="560" t="s"/>
      <c r="Z270" s="560" t="s"/>
      <c r="AA270" s="560" t="s"/>
      <c r="AB270" s="560" t="s"/>
      <c r="AC270" s="564" t="s"/>
      <c r="AD270" s="161" t="s"/>
      <c r="AE270" s="560" t="s"/>
      <c r="AF270" s="560" t="s"/>
      <c r="AG270" s="560" t="s"/>
      <c r="AH270" s="560" t="s"/>
      <c r="AI270" s="565" t="s"/>
      <c r="AJ270" s="161" t="s"/>
      <c r="AK270" s="560" t="s"/>
      <c r="AL270" s="560" t="s"/>
      <c r="AM270" s="560" t="s"/>
    </row>
    <row r="271" spans="1:39" customHeight="false">
      <c r="A271" s="557" t="s"/>
      <c r="B271" s="558" t="s"/>
      <c r="C271" s="558" t="s"/>
      <c r="D271" s="559" t="s"/>
      <c r="E271" s="557" t="s"/>
      <c r="F271" s="557" t="s"/>
      <c r="G271" s="557" t="s"/>
      <c r="H271" s="557" t="s"/>
      <c r="I271" s="560" t="s"/>
      <c r="J271" s="561" t="s"/>
      <c r="K271" s="187" t="s"/>
      <c r="L271" s="187" t="s"/>
      <c r="M271" s="562" t="s"/>
      <c r="N271" s="562" t="s"/>
      <c r="O271" s="562" t="s"/>
      <c r="P271" s="562" t="s"/>
      <c r="Q271" s="562" t="s"/>
      <c r="R271" s="562" t="s"/>
      <c r="S271" s="563" t="s"/>
      <c r="T271" s="560" t="s"/>
      <c r="U271" s="560" t="s"/>
      <c r="V271" s="560" t="s"/>
      <c r="W271" s="564" t="s"/>
      <c r="X271" s="258" t="s"/>
      <c r="Y271" s="560" t="s"/>
      <c r="Z271" s="560" t="s"/>
      <c r="AA271" s="560" t="s"/>
      <c r="AB271" s="560" t="s"/>
      <c r="AC271" s="564" t="s"/>
      <c r="AD271" s="161" t="s"/>
      <c r="AE271" s="560" t="s"/>
      <c r="AF271" s="560" t="s"/>
      <c r="AG271" s="560" t="s"/>
      <c r="AH271" s="560" t="s"/>
      <c r="AI271" s="565" t="s"/>
      <c r="AJ271" s="161" t="s"/>
      <c r="AK271" s="560" t="s"/>
      <c r="AL271" s="560" t="s"/>
      <c r="AM271" s="560" t="s"/>
    </row>
    <row r="272" spans="1:39" customHeight="false">
      <c r="A272" s="557" t="s"/>
      <c r="B272" s="558" t="s"/>
      <c r="C272" s="558" t="s"/>
      <c r="D272" s="559" t="s"/>
      <c r="E272" s="557" t="s"/>
      <c r="F272" s="557" t="s"/>
      <c r="G272" s="557" t="s"/>
      <c r="H272" s="557" t="s"/>
      <c r="I272" s="560" t="s"/>
      <c r="J272" s="561" t="s"/>
      <c r="K272" s="187" t="s"/>
      <c r="L272" s="187" t="s"/>
      <c r="M272" s="562" t="s"/>
      <c r="N272" s="562" t="s"/>
      <c r="O272" s="562" t="s"/>
      <c r="P272" s="562" t="s"/>
      <c r="Q272" s="562" t="s"/>
      <c r="R272" s="562" t="s"/>
      <c r="S272" s="563" t="s"/>
      <c r="T272" s="560" t="s"/>
      <c r="U272" s="560" t="s"/>
      <c r="V272" s="560" t="s"/>
      <c r="W272" s="564" t="s"/>
      <c r="X272" s="258" t="s"/>
      <c r="Y272" s="560" t="s"/>
      <c r="Z272" s="560" t="s"/>
      <c r="AA272" s="560" t="s"/>
      <c r="AB272" s="560" t="s"/>
      <c r="AC272" s="564" t="s"/>
      <c r="AD272" s="161" t="s"/>
      <c r="AE272" s="560" t="s"/>
      <c r="AF272" s="560" t="s"/>
      <c r="AG272" s="560" t="s"/>
      <c r="AH272" s="560" t="s"/>
      <c r="AI272" s="565" t="s"/>
      <c r="AJ272" s="161" t="s"/>
      <c r="AK272" s="560" t="s"/>
      <c r="AL272" s="560" t="s"/>
      <c r="AM272" s="560" t="s"/>
    </row>
    <row r="273" spans="1:39" customHeight="false">
      <c r="A273" s="557" t="s"/>
      <c r="B273" s="558" t="s"/>
      <c r="C273" s="558" t="s"/>
      <c r="D273" s="559" t="s"/>
      <c r="E273" s="557" t="s"/>
      <c r="F273" s="557" t="s"/>
      <c r="G273" s="557" t="s"/>
      <c r="H273" s="557" t="s"/>
      <c r="I273" s="560" t="s"/>
      <c r="J273" s="561" t="s"/>
      <c r="K273" s="187" t="s"/>
      <c r="L273" s="187" t="s"/>
      <c r="M273" s="562" t="s"/>
      <c r="N273" s="562" t="s"/>
      <c r="O273" s="562" t="s"/>
      <c r="P273" s="562" t="s"/>
      <c r="Q273" s="562" t="s"/>
      <c r="R273" s="562" t="s"/>
      <c r="S273" s="563" t="s"/>
      <c r="T273" s="560" t="s"/>
      <c r="U273" s="560" t="s"/>
      <c r="V273" s="560" t="s"/>
      <c r="W273" s="564" t="s"/>
      <c r="X273" s="258" t="s"/>
      <c r="Y273" s="560" t="s"/>
      <c r="Z273" s="560" t="s"/>
      <c r="AA273" s="560" t="s"/>
      <c r="AB273" s="560" t="s"/>
      <c r="AC273" s="564" t="s"/>
      <c r="AD273" s="161" t="s"/>
      <c r="AE273" s="560" t="s"/>
      <c r="AF273" s="560" t="s"/>
      <c r="AG273" s="560" t="s"/>
      <c r="AH273" s="560" t="s"/>
      <c r="AI273" s="565" t="s"/>
      <c r="AJ273" s="161" t="s"/>
      <c r="AK273" s="560" t="s"/>
      <c r="AL273" s="560" t="s"/>
      <c r="AM273" s="560" t="s"/>
    </row>
    <row r="274" spans="1:39" customHeight="false">
      <c r="A274" s="557" t="s"/>
      <c r="B274" s="558" t="s"/>
      <c r="C274" s="558" t="s"/>
      <c r="D274" s="559" t="s"/>
      <c r="E274" s="557" t="s"/>
      <c r="F274" s="557" t="s"/>
      <c r="G274" s="557" t="s"/>
      <c r="H274" s="557" t="s"/>
      <c r="I274" s="560" t="s"/>
      <c r="J274" s="561" t="s"/>
      <c r="K274" s="187" t="s"/>
      <c r="L274" s="187" t="s"/>
      <c r="M274" s="562" t="s"/>
      <c r="N274" s="562" t="s"/>
      <c r="O274" s="562" t="s"/>
      <c r="P274" s="562" t="s"/>
      <c r="Q274" s="562" t="s"/>
      <c r="R274" s="562" t="s"/>
      <c r="S274" s="563" t="s"/>
      <c r="T274" s="560" t="s"/>
      <c r="U274" s="560" t="s"/>
      <c r="V274" s="560" t="s"/>
      <c r="W274" s="564" t="s"/>
      <c r="X274" s="258" t="s"/>
      <c r="Y274" s="560" t="s"/>
      <c r="Z274" s="560" t="s"/>
      <c r="AA274" s="560" t="s"/>
      <c r="AB274" s="560" t="s"/>
      <c r="AC274" s="564" t="s"/>
      <c r="AD274" s="161" t="s"/>
      <c r="AE274" s="560" t="s"/>
      <c r="AF274" s="560" t="s"/>
      <c r="AG274" s="560" t="s"/>
      <c r="AH274" s="560" t="s"/>
      <c r="AI274" s="565" t="s"/>
      <c r="AJ274" s="161" t="s"/>
      <c r="AK274" s="560" t="s"/>
      <c r="AL274" s="560" t="s"/>
      <c r="AM274" s="560" t="s"/>
    </row>
    <row r="275" spans="1:39" customHeight="false">
      <c r="A275" s="557" t="s"/>
      <c r="B275" s="558" t="s"/>
      <c r="C275" s="558" t="s"/>
      <c r="D275" s="559" t="s"/>
      <c r="E275" s="557" t="s"/>
      <c r="F275" s="557" t="s"/>
      <c r="G275" s="557" t="s"/>
      <c r="H275" s="557" t="s"/>
      <c r="I275" s="560" t="s"/>
      <c r="J275" s="561" t="s"/>
      <c r="K275" s="187" t="s"/>
      <c r="L275" s="187" t="s"/>
      <c r="M275" s="562" t="s"/>
      <c r="N275" s="562" t="s"/>
      <c r="O275" s="562" t="s"/>
      <c r="P275" s="562" t="s"/>
      <c r="Q275" s="562" t="s"/>
      <c r="R275" s="562" t="s"/>
      <c r="S275" s="563" t="s"/>
      <c r="T275" s="560" t="s"/>
      <c r="U275" s="560" t="s"/>
      <c r="V275" s="560" t="s"/>
      <c r="W275" s="564" t="s"/>
      <c r="X275" s="258" t="s"/>
      <c r="Y275" s="560" t="s"/>
      <c r="Z275" s="560" t="s"/>
      <c r="AA275" s="560" t="s"/>
      <c r="AB275" s="560" t="s"/>
      <c r="AC275" s="564" t="s"/>
      <c r="AD275" s="161" t="s"/>
      <c r="AE275" s="560" t="s"/>
      <c r="AF275" s="560" t="s"/>
      <c r="AG275" s="560" t="s"/>
      <c r="AH275" s="560" t="s"/>
      <c r="AI275" s="565" t="s"/>
      <c r="AJ275" s="161" t="s"/>
      <c r="AK275" s="560" t="s"/>
      <c r="AL275" s="560" t="s"/>
      <c r="AM275" s="560" t="s"/>
    </row>
    <row r="276" spans="1:39" customHeight="false">
      <c r="A276" s="557" t="s"/>
      <c r="B276" s="558" t="s"/>
      <c r="C276" s="558" t="s"/>
      <c r="D276" s="559" t="s"/>
      <c r="E276" s="557" t="s"/>
      <c r="F276" s="557" t="s"/>
      <c r="G276" s="557" t="s"/>
      <c r="H276" s="557" t="s"/>
      <c r="I276" s="560" t="s"/>
      <c r="J276" s="561" t="s"/>
      <c r="K276" s="187" t="s"/>
      <c r="L276" s="187" t="s"/>
      <c r="M276" s="562" t="s"/>
      <c r="N276" s="562" t="s"/>
      <c r="O276" s="562" t="s"/>
      <c r="P276" s="562" t="s"/>
      <c r="Q276" s="562" t="s"/>
      <c r="R276" s="562" t="s"/>
      <c r="S276" s="563" t="s"/>
      <c r="T276" s="560" t="s"/>
      <c r="U276" s="560" t="s"/>
      <c r="V276" s="560" t="s"/>
      <c r="W276" s="564" t="s"/>
      <c r="X276" s="258" t="s"/>
      <c r="Y276" s="560" t="s"/>
      <c r="Z276" s="560" t="s"/>
      <c r="AA276" s="560" t="s"/>
      <c r="AB276" s="560" t="s"/>
      <c r="AC276" s="564" t="s"/>
      <c r="AD276" s="161" t="s"/>
      <c r="AE276" s="560" t="s"/>
      <c r="AF276" s="560" t="s"/>
      <c r="AG276" s="560" t="s"/>
      <c r="AH276" s="560" t="s"/>
      <c r="AI276" s="565" t="s"/>
      <c r="AJ276" s="161" t="s"/>
      <c r="AK276" s="560" t="s"/>
      <c r="AL276" s="560" t="s"/>
      <c r="AM276" s="560" t="s"/>
    </row>
    <row r="277" spans="1:39" customHeight="false">
      <c r="A277" s="557" t="s"/>
      <c r="B277" s="558" t="s"/>
      <c r="C277" s="558" t="s"/>
      <c r="D277" s="559" t="s"/>
      <c r="E277" s="557" t="s"/>
      <c r="F277" s="557" t="s"/>
      <c r="G277" s="557" t="s"/>
      <c r="H277" s="557" t="s"/>
      <c r="I277" s="560" t="s"/>
      <c r="J277" s="561" t="s"/>
      <c r="K277" s="187" t="s"/>
      <c r="L277" s="187" t="s"/>
      <c r="M277" s="562" t="s"/>
      <c r="N277" s="562" t="s"/>
      <c r="O277" s="562" t="s"/>
      <c r="P277" s="562" t="s"/>
      <c r="Q277" s="562" t="s"/>
      <c r="R277" s="562" t="s"/>
      <c r="S277" s="563" t="s"/>
      <c r="T277" s="560" t="s"/>
      <c r="U277" s="560" t="s"/>
      <c r="V277" s="560" t="s"/>
      <c r="W277" s="564" t="s"/>
      <c r="X277" s="258" t="s"/>
      <c r="Y277" s="560" t="s"/>
      <c r="Z277" s="560" t="s"/>
      <c r="AA277" s="560" t="s"/>
      <c r="AB277" s="560" t="s"/>
      <c r="AC277" s="564" t="s"/>
      <c r="AD277" s="161" t="s"/>
      <c r="AE277" s="560" t="s"/>
      <c r="AF277" s="560" t="s"/>
      <c r="AG277" s="560" t="s"/>
      <c r="AH277" s="560" t="s"/>
      <c r="AI277" s="565" t="s"/>
      <c r="AJ277" s="161" t="s"/>
      <c r="AK277" s="560" t="s"/>
      <c r="AL277" s="560" t="s"/>
      <c r="AM277" s="560" t="s"/>
    </row>
    <row r="278" spans="1:39" customHeight="false">
      <c r="A278" s="557" t="s"/>
      <c r="B278" s="558" t="s"/>
      <c r="C278" s="558" t="s"/>
      <c r="D278" s="559" t="s"/>
      <c r="E278" s="557" t="s"/>
      <c r="F278" s="557" t="s"/>
      <c r="G278" s="557" t="s"/>
      <c r="H278" s="557" t="s"/>
      <c r="I278" s="560" t="s"/>
      <c r="J278" s="561" t="s"/>
      <c r="K278" s="187" t="s"/>
      <c r="L278" s="187" t="s"/>
      <c r="M278" s="562" t="s"/>
      <c r="N278" s="562" t="s"/>
      <c r="O278" s="562" t="s"/>
      <c r="P278" s="562" t="s"/>
      <c r="Q278" s="562" t="s"/>
      <c r="R278" s="562" t="s"/>
      <c r="S278" s="563" t="s"/>
      <c r="T278" s="560" t="s"/>
      <c r="U278" s="560" t="s"/>
      <c r="V278" s="560" t="s"/>
      <c r="W278" s="564" t="s"/>
      <c r="X278" s="258" t="s"/>
      <c r="Y278" s="560" t="s"/>
      <c r="Z278" s="560" t="s"/>
      <c r="AA278" s="560" t="s"/>
      <c r="AB278" s="560" t="s"/>
      <c r="AC278" s="564" t="s"/>
      <c r="AD278" s="161" t="s"/>
      <c r="AE278" s="560" t="s"/>
      <c r="AF278" s="560" t="s"/>
      <c r="AG278" s="560" t="s"/>
      <c r="AH278" s="560" t="s"/>
      <c r="AI278" s="565" t="s"/>
      <c r="AJ278" s="161" t="s"/>
      <c r="AK278" s="560" t="s"/>
      <c r="AL278" s="560" t="s"/>
      <c r="AM278" s="560" t="s"/>
    </row>
    <row r="279" spans="1:39" customHeight="false">
      <c r="A279" s="557" t="s"/>
      <c r="B279" s="558" t="s"/>
      <c r="C279" s="558" t="s"/>
      <c r="D279" s="559" t="s"/>
      <c r="E279" s="557" t="s"/>
      <c r="F279" s="557" t="s"/>
      <c r="G279" s="557" t="s"/>
      <c r="H279" s="557" t="s"/>
      <c r="I279" s="560" t="s"/>
      <c r="J279" s="561" t="s"/>
      <c r="K279" s="187" t="s"/>
      <c r="L279" s="187" t="s"/>
      <c r="M279" s="562" t="s"/>
      <c r="N279" s="562" t="s"/>
      <c r="O279" s="562" t="s"/>
      <c r="P279" s="562" t="s"/>
      <c r="Q279" s="562" t="s"/>
      <c r="R279" s="562" t="s"/>
      <c r="S279" s="563" t="s"/>
      <c r="T279" s="560" t="s"/>
      <c r="U279" s="560" t="s"/>
      <c r="V279" s="560" t="s"/>
      <c r="W279" s="564" t="s"/>
      <c r="X279" s="258" t="s"/>
      <c r="Y279" s="560" t="s"/>
      <c r="Z279" s="560" t="s"/>
      <c r="AA279" s="560" t="s"/>
      <c r="AB279" s="560" t="s"/>
      <c r="AC279" s="564" t="s"/>
      <c r="AD279" s="161" t="s"/>
      <c r="AE279" s="560" t="s"/>
      <c r="AF279" s="560" t="s"/>
      <c r="AG279" s="560" t="s"/>
      <c r="AH279" s="560" t="s"/>
      <c r="AI279" s="565" t="s"/>
      <c r="AJ279" s="161" t="s"/>
      <c r="AK279" s="560" t="s"/>
      <c r="AL279" s="560" t="s"/>
      <c r="AM279" s="560" t="s"/>
    </row>
    <row r="280" spans="1:39" customHeight="false">
      <c r="A280" s="557" t="s"/>
      <c r="B280" s="558" t="s"/>
      <c r="C280" s="558" t="s"/>
      <c r="D280" s="559" t="s"/>
      <c r="E280" s="557" t="s"/>
      <c r="F280" s="557" t="s"/>
      <c r="G280" s="557" t="s"/>
      <c r="H280" s="557" t="s"/>
      <c r="I280" s="560" t="s"/>
      <c r="J280" s="561" t="s"/>
      <c r="K280" s="187" t="s"/>
      <c r="L280" s="187" t="s"/>
      <c r="M280" s="562" t="s"/>
      <c r="N280" s="562" t="s"/>
      <c r="O280" s="562" t="s"/>
      <c r="P280" s="562" t="s"/>
      <c r="Q280" s="562" t="s"/>
      <c r="R280" s="562" t="s"/>
      <c r="S280" s="563" t="s"/>
      <c r="T280" s="560" t="s"/>
      <c r="U280" s="560" t="s"/>
      <c r="V280" s="560" t="s"/>
      <c r="W280" s="564" t="s"/>
      <c r="X280" s="258" t="s"/>
      <c r="Y280" s="560" t="s"/>
      <c r="Z280" s="560" t="s"/>
      <c r="AA280" s="560" t="s"/>
      <c r="AB280" s="560" t="s"/>
      <c r="AC280" s="564" t="s"/>
      <c r="AD280" s="161" t="s"/>
      <c r="AE280" s="560" t="s"/>
      <c r="AF280" s="560" t="s"/>
      <c r="AG280" s="560" t="s"/>
      <c r="AH280" s="560" t="s"/>
      <c r="AI280" s="565" t="s"/>
      <c r="AJ280" s="161" t="s"/>
      <c r="AK280" s="560" t="s"/>
      <c r="AL280" s="560" t="s"/>
      <c r="AM280" s="560" t="s"/>
    </row>
    <row r="281" spans="1:39" customHeight="false">
      <c r="A281" s="557" t="s"/>
      <c r="B281" s="558" t="s"/>
      <c r="C281" s="558" t="s"/>
      <c r="D281" s="559" t="s"/>
      <c r="E281" s="557" t="s"/>
      <c r="F281" s="557" t="s"/>
      <c r="G281" s="557" t="s"/>
      <c r="H281" s="557" t="s"/>
      <c r="I281" s="560" t="s"/>
      <c r="J281" s="561" t="s"/>
      <c r="K281" s="187" t="s"/>
      <c r="L281" s="187" t="s"/>
      <c r="M281" s="562" t="s"/>
      <c r="N281" s="562" t="s"/>
      <c r="O281" s="562" t="s"/>
      <c r="P281" s="562" t="s"/>
      <c r="Q281" s="562" t="s"/>
      <c r="R281" s="562" t="s"/>
      <c r="S281" s="563" t="s"/>
      <c r="T281" s="560" t="s"/>
      <c r="U281" s="560" t="s"/>
      <c r="V281" s="560" t="s"/>
      <c r="W281" s="564" t="s"/>
      <c r="X281" s="258" t="s"/>
      <c r="Y281" s="560" t="s"/>
      <c r="Z281" s="560" t="s"/>
      <c r="AA281" s="560" t="s"/>
      <c r="AB281" s="560" t="s"/>
      <c r="AC281" s="564" t="s"/>
      <c r="AD281" s="161" t="s"/>
      <c r="AE281" s="560" t="s"/>
      <c r="AF281" s="560" t="s"/>
      <c r="AG281" s="560" t="s"/>
      <c r="AH281" s="560" t="s"/>
      <c r="AI281" s="565" t="s"/>
      <c r="AJ281" s="161" t="s"/>
      <c r="AK281" s="560" t="s"/>
      <c r="AL281" s="560" t="s"/>
      <c r="AM281" s="560" t="s"/>
    </row>
    <row r="282" spans="1:39" customHeight="false">
      <c r="A282" s="557" t="s"/>
      <c r="B282" s="558" t="s"/>
      <c r="C282" s="558" t="s"/>
      <c r="D282" s="559" t="s"/>
      <c r="E282" s="557" t="s"/>
      <c r="F282" s="557" t="s"/>
      <c r="G282" s="557" t="s"/>
      <c r="H282" s="557" t="s"/>
      <c r="I282" s="560" t="s"/>
      <c r="J282" s="561" t="s"/>
      <c r="K282" s="187" t="s"/>
      <c r="L282" s="187" t="s"/>
      <c r="M282" s="562" t="s"/>
      <c r="N282" s="562" t="s"/>
      <c r="O282" s="562" t="s"/>
      <c r="P282" s="562" t="s"/>
      <c r="Q282" s="562" t="s"/>
      <c r="R282" s="562" t="s"/>
      <c r="S282" s="563" t="s"/>
      <c r="T282" s="560" t="s"/>
      <c r="U282" s="560" t="s"/>
      <c r="V282" s="560" t="s"/>
      <c r="W282" s="564" t="s"/>
      <c r="X282" s="258" t="s"/>
      <c r="Y282" s="560" t="s"/>
      <c r="Z282" s="560" t="s"/>
      <c r="AA282" s="560" t="s"/>
      <c r="AB282" s="560" t="s"/>
      <c r="AC282" s="564" t="s"/>
      <c r="AD282" s="161" t="s"/>
      <c r="AE282" s="560" t="s"/>
      <c r="AF282" s="560" t="s"/>
      <c r="AG282" s="560" t="s"/>
      <c r="AH282" s="560" t="s"/>
      <c r="AI282" s="565" t="s"/>
      <c r="AJ282" s="161" t="s"/>
      <c r="AK282" s="560" t="s"/>
      <c r="AL282" s="560" t="s"/>
      <c r="AM282" s="560" t="s"/>
    </row>
    <row r="283" spans="1:39" customHeight="false">
      <c r="A283" s="557" t="s"/>
      <c r="B283" s="558" t="s"/>
      <c r="C283" s="558" t="s"/>
      <c r="D283" s="559" t="s"/>
      <c r="E283" s="557" t="s"/>
      <c r="F283" s="557" t="s"/>
      <c r="G283" s="557" t="s"/>
      <c r="H283" s="557" t="s"/>
      <c r="I283" s="560" t="s"/>
      <c r="J283" s="561" t="s"/>
      <c r="K283" s="187" t="s"/>
      <c r="L283" s="187" t="s"/>
      <c r="M283" s="562" t="s"/>
      <c r="N283" s="562" t="s"/>
      <c r="O283" s="562" t="s"/>
      <c r="P283" s="562" t="s"/>
      <c r="Q283" s="562" t="s"/>
      <c r="R283" s="562" t="s"/>
      <c r="S283" s="563" t="s"/>
      <c r="T283" s="560" t="s"/>
      <c r="U283" s="560" t="s"/>
      <c r="V283" s="560" t="s"/>
      <c r="W283" s="564" t="s"/>
      <c r="X283" s="258" t="s"/>
      <c r="Y283" s="560" t="s"/>
      <c r="Z283" s="560" t="s"/>
      <c r="AA283" s="560" t="s"/>
      <c r="AB283" s="560" t="s"/>
      <c r="AC283" s="564" t="s"/>
      <c r="AD283" s="161" t="s"/>
      <c r="AE283" s="560" t="s"/>
      <c r="AF283" s="560" t="s"/>
      <c r="AG283" s="560" t="s"/>
      <c r="AH283" s="560" t="s"/>
      <c r="AI283" s="565" t="s"/>
      <c r="AJ283" s="161" t="s"/>
      <c r="AK283" s="560" t="s"/>
      <c r="AL283" s="560" t="s"/>
      <c r="AM283" s="560" t="s"/>
    </row>
    <row r="284" spans="1:39" customHeight="false">
      <c r="A284" s="557" t="s"/>
      <c r="B284" s="558" t="s"/>
      <c r="C284" s="558" t="s"/>
      <c r="D284" s="559" t="s"/>
      <c r="E284" s="557" t="s"/>
      <c r="F284" s="557" t="s"/>
      <c r="G284" s="557" t="s"/>
      <c r="H284" s="557" t="s"/>
      <c r="I284" s="560" t="s"/>
      <c r="J284" s="561" t="s"/>
      <c r="K284" s="187" t="s"/>
      <c r="L284" s="187" t="s"/>
      <c r="M284" s="562" t="s"/>
      <c r="N284" s="562" t="s"/>
      <c r="O284" s="562" t="s"/>
      <c r="P284" s="562" t="s"/>
      <c r="Q284" s="562" t="s"/>
      <c r="R284" s="562" t="s"/>
      <c r="S284" s="563" t="s"/>
      <c r="T284" s="560" t="s"/>
      <c r="U284" s="560" t="s"/>
      <c r="V284" s="560" t="s"/>
      <c r="W284" s="564" t="s"/>
      <c r="X284" s="258" t="s"/>
      <c r="Y284" s="560" t="s"/>
      <c r="Z284" s="560" t="s"/>
      <c r="AA284" s="560" t="s"/>
      <c r="AB284" s="560" t="s"/>
      <c r="AC284" s="564" t="s"/>
      <c r="AD284" s="161" t="s"/>
      <c r="AE284" s="560" t="s"/>
      <c r="AF284" s="560" t="s"/>
      <c r="AG284" s="560" t="s"/>
      <c r="AH284" s="560" t="s"/>
      <c r="AI284" s="565" t="s"/>
      <c r="AJ284" s="161" t="s"/>
      <c r="AK284" s="560" t="s"/>
      <c r="AL284" s="560" t="s"/>
      <c r="AM284" s="560" t="s"/>
    </row>
    <row r="285" spans="1:39" customHeight="false">
      <c r="A285" s="557" t="s"/>
      <c r="B285" s="558" t="s"/>
      <c r="C285" s="558" t="s"/>
      <c r="D285" s="559" t="s"/>
      <c r="E285" s="557" t="s"/>
      <c r="F285" s="557" t="s"/>
      <c r="G285" s="557" t="s"/>
      <c r="H285" s="557" t="s"/>
      <c r="I285" s="560" t="s"/>
      <c r="J285" s="561" t="s"/>
      <c r="K285" s="187" t="s"/>
      <c r="L285" s="187" t="s"/>
      <c r="M285" s="562" t="s"/>
      <c r="N285" s="562" t="s"/>
      <c r="O285" s="562" t="s"/>
      <c r="P285" s="562" t="s"/>
      <c r="Q285" s="562" t="s"/>
      <c r="R285" s="562" t="s"/>
      <c r="S285" s="563" t="s"/>
      <c r="T285" s="560" t="s"/>
      <c r="U285" s="560" t="s"/>
      <c r="V285" s="560" t="s"/>
      <c r="W285" s="564" t="s"/>
      <c r="X285" s="258" t="s"/>
      <c r="Y285" s="560" t="s"/>
      <c r="Z285" s="560" t="s"/>
      <c r="AA285" s="560" t="s"/>
      <c r="AB285" s="560" t="s"/>
      <c r="AC285" s="564" t="s"/>
      <c r="AD285" s="161" t="s"/>
      <c r="AE285" s="560" t="s"/>
      <c r="AF285" s="560" t="s"/>
      <c r="AG285" s="560" t="s"/>
      <c r="AH285" s="560" t="s"/>
      <c r="AI285" s="565" t="s"/>
      <c r="AJ285" s="161" t="s"/>
      <c r="AK285" s="560" t="s"/>
      <c r="AL285" s="560" t="s"/>
      <c r="AM285" s="560" t="s"/>
    </row>
    <row r="286" spans="1:39" customHeight="false">
      <c r="A286" s="557" t="s"/>
      <c r="B286" s="558" t="s"/>
      <c r="C286" s="558" t="s"/>
      <c r="D286" s="559" t="s"/>
      <c r="E286" s="557" t="s"/>
      <c r="F286" s="557" t="s"/>
      <c r="G286" s="557" t="s"/>
      <c r="H286" s="557" t="s"/>
      <c r="I286" s="560" t="s"/>
      <c r="J286" s="561" t="s"/>
      <c r="K286" s="187" t="s"/>
      <c r="L286" s="187" t="s"/>
      <c r="M286" s="562" t="s"/>
      <c r="N286" s="562" t="s"/>
      <c r="O286" s="562" t="s"/>
      <c r="P286" s="562" t="s"/>
      <c r="Q286" s="562" t="s"/>
      <c r="R286" s="562" t="s"/>
      <c r="S286" s="563" t="s"/>
      <c r="T286" s="560" t="s"/>
      <c r="U286" s="560" t="s"/>
      <c r="V286" s="560" t="s"/>
      <c r="W286" s="564" t="s"/>
      <c r="X286" s="258" t="s"/>
      <c r="Y286" s="560" t="s"/>
      <c r="Z286" s="560" t="s"/>
      <c r="AA286" s="560" t="s"/>
      <c r="AB286" s="560" t="s"/>
      <c r="AC286" s="564" t="s"/>
      <c r="AD286" s="161" t="s"/>
      <c r="AE286" s="560" t="s"/>
      <c r="AF286" s="560" t="s"/>
      <c r="AG286" s="560" t="s"/>
      <c r="AH286" s="560" t="s"/>
      <c r="AI286" s="565" t="s"/>
      <c r="AJ286" s="161" t="s"/>
      <c r="AK286" s="560" t="s"/>
      <c r="AL286" s="560" t="s"/>
      <c r="AM286" s="560" t="s"/>
    </row>
    <row r="287" spans="1:39" customHeight="false">
      <c r="A287" s="557" t="s"/>
      <c r="B287" s="558" t="s"/>
      <c r="C287" s="558" t="s"/>
      <c r="D287" s="559" t="s"/>
      <c r="E287" s="557" t="s"/>
      <c r="F287" s="557" t="s"/>
      <c r="G287" s="557" t="s"/>
      <c r="H287" s="557" t="s"/>
      <c r="I287" s="560" t="s"/>
      <c r="J287" s="561" t="s"/>
      <c r="K287" s="187" t="s"/>
      <c r="L287" s="187" t="s"/>
      <c r="M287" s="562" t="s"/>
      <c r="N287" s="562" t="s"/>
      <c r="O287" s="562" t="s"/>
      <c r="P287" s="562" t="s"/>
      <c r="Q287" s="562" t="s"/>
      <c r="R287" s="562" t="s"/>
      <c r="S287" s="563" t="s"/>
      <c r="T287" s="560" t="s"/>
      <c r="U287" s="560" t="s"/>
      <c r="V287" s="560" t="s"/>
      <c r="W287" s="564" t="s"/>
      <c r="X287" s="258" t="s"/>
      <c r="Y287" s="560" t="s"/>
      <c r="Z287" s="560" t="s"/>
      <c r="AA287" s="560" t="s"/>
      <c r="AB287" s="560" t="s"/>
      <c r="AC287" s="564" t="s"/>
      <c r="AD287" s="161" t="s"/>
      <c r="AE287" s="560" t="s"/>
      <c r="AF287" s="560" t="s"/>
      <c r="AG287" s="560" t="s"/>
      <c r="AH287" s="560" t="s"/>
      <c r="AI287" s="565" t="s"/>
      <c r="AJ287" s="161" t="s"/>
      <c r="AK287" s="560" t="s"/>
      <c r="AL287" s="560" t="s"/>
      <c r="AM287" s="560" t="s"/>
    </row>
    <row r="288" spans="1:39" customHeight="false">
      <c r="A288" s="557" t="s"/>
      <c r="B288" s="558" t="s"/>
      <c r="C288" s="558" t="s"/>
      <c r="D288" s="559" t="s"/>
      <c r="E288" s="557" t="s"/>
      <c r="F288" s="557" t="s"/>
      <c r="G288" s="557" t="s"/>
      <c r="H288" s="557" t="s"/>
      <c r="I288" s="560" t="s"/>
      <c r="J288" s="561" t="s"/>
      <c r="K288" s="187" t="s"/>
      <c r="L288" s="187" t="s"/>
      <c r="M288" s="562" t="s"/>
      <c r="N288" s="562" t="s"/>
      <c r="O288" s="562" t="s"/>
      <c r="P288" s="562" t="s"/>
      <c r="Q288" s="562" t="s"/>
      <c r="R288" s="562" t="s"/>
      <c r="S288" s="563" t="s"/>
      <c r="T288" s="560" t="s"/>
      <c r="U288" s="560" t="s"/>
      <c r="V288" s="560" t="s"/>
      <c r="W288" s="564" t="s"/>
      <c r="X288" s="258" t="s"/>
      <c r="Y288" s="560" t="s"/>
      <c r="Z288" s="560" t="s"/>
      <c r="AA288" s="560" t="s"/>
      <c r="AB288" s="560" t="s"/>
      <c r="AC288" s="564" t="s"/>
      <c r="AD288" s="161" t="s"/>
      <c r="AE288" s="560" t="s"/>
      <c r="AF288" s="560" t="s"/>
      <c r="AG288" s="560" t="s"/>
      <c r="AH288" s="560" t="s"/>
      <c r="AI288" s="565" t="s"/>
      <c r="AJ288" s="161" t="s"/>
      <c r="AK288" s="560" t="s"/>
      <c r="AL288" s="560" t="s"/>
      <c r="AM288" s="560" t="s"/>
    </row>
    <row r="289" spans="1:39" customHeight="false">
      <c r="A289" s="557" t="s"/>
      <c r="B289" s="558" t="s"/>
      <c r="C289" s="558" t="s"/>
      <c r="D289" s="559" t="s"/>
      <c r="E289" s="557" t="s"/>
      <c r="F289" s="557" t="s"/>
      <c r="G289" s="557" t="s"/>
      <c r="H289" s="557" t="s"/>
      <c r="I289" s="560" t="s"/>
      <c r="J289" s="561" t="s"/>
      <c r="K289" s="187" t="s"/>
      <c r="L289" s="187" t="s"/>
      <c r="M289" s="562" t="s"/>
      <c r="N289" s="562" t="s"/>
      <c r="O289" s="562" t="s"/>
      <c r="P289" s="562" t="s"/>
      <c r="Q289" s="562" t="s"/>
      <c r="R289" s="562" t="s"/>
      <c r="S289" s="563" t="s"/>
      <c r="T289" s="560" t="s"/>
      <c r="U289" s="560" t="s"/>
      <c r="V289" s="560" t="s"/>
      <c r="W289" s="564" t="s"/>
      <c r="X289" s="258" t="s"/>
      <c r="Y289" s="560" t="s"/>
      <c r="Z289" s="560" t="s"/>
      <c r="AA289" s="560" t="s"/>
      <c r="AB289" s="560" t="s"/>
      <c r="AC289" s="564" t="s"/>
      <c r="AD289" s="161" t="s"/>
      <c r="AE289" s="560" t="s"/>
      <c r="AF289" s="560" t="s"/>
      <c r="AG289" s="560" t="s"/>
      <c r="AH289" s="560" t="s"/>
      <c r="AI289" s="565" t="s"/>
      <c r="AJ289" s="161" t="s"/>
      <c r="AK289" s="560" t="s"/>
      <c r="AL289" s="560" t="s"/>
      <c r="AM289" s="560" t="s"/>
    </row>
    <row r="290" spans="1:39" customHeight="false">
      <c r="A290" s="557" t="s"/>
      <c r="B290" s="558" t="s"/>
      <c r="C290" s="558" t="s"/>
      <c r="D290" s="559" t="s"/>
      <c r="E290" s="557" t="s"/>
      <c r="F290" s="557" t="s"/>
      <c r="G290" s="557" t="s"/>
      <c r="H290" s="557" t="s"/>
      <c r="I290" s="560" t="s"/>
      <c r="J290" s="561" t="s"/>
      <c r="K290" s="187" t="s"/>
      <c r="L290" s="187" t="s"/>
      <c r="M290" s="562" t="s"/>
      <c r="N290" s="562" t="s"/>
      <c r="O290" s="562" t="s"/>
      <c r="P290" s="562" t="s"/>
      <c r="Q290" s="562" t="s"/>
      <c r="R290" s="562" t="s"/>
      <c r="S290" s="563" t="s"/>
      <c r="T290" s="560" t="s"/>
      <c r="U290" s="560" t="s"/>
      <c r="V290" s="560" t="s"/>
      <c r="W290" s="564" t="s"/>
      <c r="X290" s="258" t="s"/>
      <c r="Y290" s="560" t="s"/>
      <c r="Z290" s="560" t="s"/>
      <c r="AA290" s="560" t="s"/>
      <c r="AB290" s="560" t="s"/>
      <c r="AC290" s="564" t="s"/>
      <c r="AD290" s="161" t="s"/>
      <c r="AE290" s="560" t="s"/>
      <c r="AF290" s="560" t="s"/>
      <c r="AG290" s="560" t="s"/>
      <c r="AH290" s="560" t="s"/>
      <c r="AI290" s="565" t="s"/>
      <c r="AJ290" s="161" t="s"/>
      <c r="AK290" s="560" t="s"/>
      <c r="AL290" s="560" t="s"/>
      <c r="AM290" s="560" t="s"/>
    </row>
    <row r="291" spans="1:39" customHeight="false">
      <c r="A291" s="557" t="s"/>
      <c r="B291" s="558" t="s"/>
      <c r="C291" s="558" t="s"/>
      <c r="D291" s="559" t="s"/>
      <c r="E291" s="557" t="s"/>
      <c r="F291" s="557" t="s"/>
      <c r="G291" s="557" t="s"/>
      <c r="H291" s="557" t="s"/>
      <c r="I291" s="560" t="s"/>
      <c r="J291" s="561" t="s"/>
      <c r="K291" s="187" t="s"/>
      <c r="L291" s="187" t="s"/>
      <c r="M291" s="562" t="s"/>
      <c r="N291" s="562" t="s"/>
      <c r="O291" s="562" t="s"/>
      <c r="P291" s="562" t="s"/>
      <c r="Q291" s="562" t="s"/>
      <c r="R291" s="562" t="s"/>
      <c r="S291" s="563" t="s"/>
      <c r="T291" s="560" t="s"/>
      <c r="U291" s="560" t="s"/>
      <c r="V291" s="560" t="s"/>
      <c r="W291" s="564" t="s"/>
      <c r="X291" s="258" t="s"/>
      <c r="Y291" s="560" t="s"/>
      <c r="Z291" s="560" t="s"/>
      <c r="AA291" s="560" t="s"/>
      <c r="AB291" s="560" t="s"/>
      <c r="AC291" s="564" t="s"/>
      <c r="AD291" s="161" t="s"/>
      <c r="AE291" s="560" t="s"/>
      <c r="AF291" s="560" t="s"/>
      <c r="AG291" s="560" t="s"/>
      <c r="AH291" s="560" t="s"/>
      <c r="AI291" s="565" t="s"/>
      <c r="AJ291" s="161" t="s"/>
      <c r="AK291" s="560" t="s"/>
      <c r="AL291" s="560" t="s"/>
      <c r="AM291" s="560" t="s"/>
    </row>
    <row r="292" spans="1:39" customHeight="false">
      <c r="A292" s="557" t="s"/>
      <c r="B292" s="558" t="s"/>
      <c r="C292" s="558" t="s"/>
      <c r="D292" s="559" t="s"/>
      <c r="E292" s="557" t="s"/>
      <c r="F292" s="557" t="s"/>
      <c r="G292" s="557" t="s"/>
      <c r="H292" s="557" t="s"/>
      <c r="I292" s="560" t="s"/>
      <c r="J292" s="561" t="s"/>
      <c r="K292" s="187" t="s"/>
      <c r="L292" s="187" t="s"/>
      <c r="M292" s="562" t="s"/>
      <c r="N292" s="562" t="s"/>
      <c r="O292" s="562" t="s"/>
      <c r="P292" s="562" t="s"/>
      <c r="Q292" s="562" t="s"/>
      <c r="R292" s="562" t="s"/>
      <c r="S292" s="563" t="s"/>
      <c r="T292" s="560" t="s"/>
      <c r="U292" s="560" t="s"/>
      <c r="V292" s="560" t="s"/>
      <c r="W292" s="564" t="s"/>
      <c r="X292" s="258" t="s"/>
      <c r="Y292" s="560" t="s"/>
      <c r="Z292" s="560" t="s"/>
      <c r="AA292" s="560" t="s"/>
      <c r="AB292" s="560" t="s"/>
      <c r="AC292" s="564" t="s"/>
      <c r="AD292" s="161" t="s"/>
      <c r="AE292" s="560" t="s"/>
      <c r="AF292" s="560" t="s"/>
      <c r="AG292" s="560" t="s"/>
      <c r="AH292" s="560" t="s"/>
      <c r="AI292" s="565" t="s"/>
      <c r="AJ292" s="161" t="s"/>
      <c r="AK292" s="560" t="s"/>
      <c r="AL292" s="560" t="s"/>
      <c r="AM292" s="560" t="s"/>
    </row>
    <row r="293" spans="1:39" customHeight="false">
      <c r="A293" s="557" t="s"/>
      <c r="B293" s="558" t="s"/>
      <c r="C293" s="558" t="s"/>
      <c r="D293" s="559" t="s"/>
      <c r="E293" s="557" t="s"/>
      <c r="F293" s="557" t="s"/>
      <c r="G293" s="557" t="s"/>
      <c r="H293" s="557" t="s"/>
      <c r="I293" s="560" t="s"/>
      <c r="J293" s="561" t="s"/>
      <c r="K293" s="187" t="s"/>
      <c r="L293" s="187" t="s"/>
      <c r="M293" s="562" t="s"/>
      <c r="N293" s="562" t="s"/>
      <c r="O293" s="562" t="s"/>
      <c r="P293" s="562" t="s"/>
      <c r="Q293" s="562" t="s"/>
      <c r="R293" s="562" t="s"/>
      <c r="S293" s="563" t="s"/>
      <c r="T293" s="560" t="s"/>
      <c r="U293" s="560" t="s"/>
      <c r="V293" s="560" t="s"/>
      <c r="W293" s="564" t="s"/>
      <c r="X293" s="258" t="s"/>
      <c r="Y293" s="560" t="s"/>
      <c r="Z293" s="560" t="s"/>
      <c r="AA293" s="560" t="s"/>
      <c r="AB293" s="560" t="s"/>
      <c r="AC293" s="564" t="s"/>
      <c r="AD293" s="161" t="s"/>
      <c r="AE293" s="560" t="s"/>
      <c r="AF293" s="560" t="s"/>
      <c r="AG293" s="560" t="s"/>
      <c r="AH293" s="560" t="s"/>
      <c r="AI293" s="565" t="s"/>
      <c r="AJ293" s="161" t="s"/>
      <c r="AK293" s="560" t="s"/>
      <c r="AL293" s="560" t="s"/>
      <c r="AM293" s="560" t="s"/>
    </row>
    <row r="294" spans="1:39" customHeight="false">
      <c r="A294" s="557" t="s"/>
      <c r="B294" s="558" t="s"/>
      <c r="C294" s="558" t="s"/>
      <c r="D294" s="559" t="s"/>
      <c r="E294" s="557" t="s"/>
      <c r="F294" s="557" t="s"/>
      <c r="G294" s="557" t="s"/>
      <c r="H294" s="557" t="s"/>
      <c r="I294" s="560" t="s"/>
      <c r="J294" s="561" t="s"/>
      <c r="K294" s="187" t="s"/>
      <c r="L294" s="187" t="s"/>
      <c r="M294" s="562" t="s"/>
      <c r="N294" s="562" t="s"/>
      <c r="O294" s="562" t="s"/>
      <c r="P294" s="562" t="s"/>
      <c r="Q294" s="562" t="s"/>
      <c r="R294" s="562" t="s"/>
      <c r="S294" s="563" t="s"/>
      <c r="T294" s="560" t="s"/>
      <c r="U294" s="560" t="s"/>
      <c r="V294" s="560" t="s"/>
      <c r="W294" s="564" t="s"/>
      <c r="X294" s="258" t="s"/>
      <c r="Y294" s="560" t="s"/>
      <c r="Z294" s="560" t="s"/>
      <c r="AA294" s="560" t="s"/>
      <c r="AB294" s="560" t="s"/>
      <c r="AC294" s="564" t="s"/>
      <c r="AD294" s="161" t="s"/>
      <c r="AE294" s="560" t="s"/>
      <c r="AF294" s="560" t="s"/>
      <c r="AG294" s="560" t="s"/>
      <c r="AH294" s="560" t="s"/>
      <c r="AI294" s="565" t="s"/>
      <c r="AJ294" s="161" t="s"/>
      <c r="AK294" s="560" t="s"/>
      <c r="AL294" s="560" t="s"/>
      <c r="AM294" s="560" t="s"/>
    </row>
    <row r="295" spans="1:39" customHeight="false">
      <c r="A295" s="557" t="s"/>
      <c r="B295" s="558" t="s"/>
      <c r="C295" s="558" t="s"/>
      <c r="D295" s="559" t="s"/>
      <c r="E295" s="557" t="s"/>
      <c r="F295" s="557" t="s"/>
      <c r="G295" s="557" t="s"/>
      <c r="H295" s="557" t="s"/>
      <c r="I295" s="560" t="s"/>
      <c r="J295" s="561" t="s"/>
      <c r="K295" s="187" t="s"/>
      <c r="L295" s="187" t="s"/>
      <c r="M295" s="562" t="s"/>
      <c r="N295" s="562" t="s"/>
      <c r="O295" s="562" t="s"/>
      <c r="P295" s="562" t="s"/>
      <c r="Q295" s="562" t="s"/>
      <c r="R295" s="562" t="s"/>
      <c r="S295" s="563" t="s"/>
      <c r="T295" s="560" t="s"/>
      <c r="U295" s="560" t="s"/>
      <c r="V295" s="560" t="s"/>
      <c r="W295" s="564" t="s"/>
      <c r="X295" s="258" t="s"/>
      <c r="Y295" s="560" t="s"/>
      <c r="Z295" s="560" t="s"/>
      <c r="AA295" s="560" t="s"/>
      <c r="AB295" s="560" t="s"/>
      <c r="AC295" s="564" t="s"/>
      <c r="AD295" s="161" t="s"/>
      <c r="AE295" s="560" t="s"/>
      <c r="AF295" s="560" t="s"/>
      <c r="AG295" s="560" t="s"/>
      <c r="AH295" s="560" t="s"/>
      <c r="AI295" s="565" t="s"/>
      <c r="AJ295" s="161" t="s"/>
      <c r="AK295" s="560" t="s"/>
      <c r="AL295" s="560" t="s"/>
      <c r="AM295" s="560" t="s"/>
    </row>
    <row r="296" spans="1:39" customHeight="false">
      <c r="A296" s="557" t="s"/>
      <c r="B296" s="558" t="s"/>
      <c r="C296" s="558" t="s"/>
      <c r="D296" s="559" t="s"/>
      <c r="E296" s="557" t="s"/>
      <c r="F296" s="557" t="s"/>
      <c r="G296" s="557" t="s"/>
      <c r="H296" s="557" t="s"/>
      <c r="I296" s="560" t="s"/>
      <c r="J296" s="561" t="s"/>
      <c r="K296" s="187" t="s"/>
      <c r="L296" s="187" t="s"/>
      <c r="M296" s="562" t="s"/>
      <c r="N296" s="562" t="s"/>
      <c r="O296" s="562" t="s"/>
      <c r="P296" s="562" t="s"/>
      <c r="Q296" s="562" t="s"/>
      <c r="R296" s="562" t="s"/>
      <c r="S296" s="563" t="s"/>
      <c r="T296" s="560" t="s"/>
      <c r="U296" s="560" t="s"/>
      <c r="V296" s="560" t="s"/>
      <c r="W296" s="564" t="s"/>
      <c r="X296" s="258" t="s"/>
      <c r="Y296" s="560" t="s"/>
      <c r="Z296" s="560" t="s"/>
      <c r="AA296" s="560" t="s"/>
      <c r="AB296" s="560" t="s"/>
      <c r="AC296" s="564" t="s"/>
      <c r="AD296" s="161" t="s"/>
      <c r="AE296" s="560" t="s"/>
      <c r="AF296" s="560" t="s"/>
      <c r="AG296" s="560" t="s"/>
      <c r="AH296" s="560" t="s"/>
      <c r="AI296" s="565" t="s"/>
      <c r="AJ296" s="161" t="s"/>
      <c r="AK296" s="560" t="s"/>
      <c r="AL296" s="560" t="s"/>
      <c r="AM296" s="560" t="s"/>
    </row>
  </sheetData>
  <autoFilter ref="A5:AQ148">
    <sortState ref="A6:AQ148"/>
  </autoFilter>
  <mergeCells count="46">
    <mergeCell ref="B6:C6"/>
    <mergeCell ref="B33:C33"/>
    <mergeCell ref="B36:C36"/>
    <mergeCell ref="B49:C49"/>
    <mergeCell ref="B45:C45"/>
    <mergeCell ref="B52:C52"/>
    <mergeCell ref="B70:C70"/>
    <mergeCell ref="B84:C84"/>
    <mergeCell ref="B93:C93"/>
    <mergeCell ref="B101:C101"/>
    <mergeCell ref="B104:C104"/>
    <mergeCell ref="B138:C138"/>
    <mergeCell ref="B140:C140"/>
    <mergeCell ref="G114:G116"/>
    <mergeCell ref="H114:H116"/>
    <mergeCell ref="F3:F5"/>
    <mergeCell ref="D3:D5"/>
    <mergeCell ref="E3:E5"/>
    <mergeCell ref="C3:C5"/>
    <mergeCell ref="B3:B5"/>
    <mergeCell ref="A3:A5"/>
    <mergeCell ref="J4:L4"/>
    <mergeCell ref="I4:I5"/>
    <mergeCell ref="R3:R5"/>
    <mergeCell ref="S3:S5"/>
    <mergeCell ref="O3:O4"/>
    <mergeCell ref="Q3:Q4"/>
    <mergeCell ref="P3:P4"/>
    <mergeCell ref="G3:H4"/>
    <mergeCell ref="O38:O41"/>
    <mergeCell ref="G105:G108"/>
    <mergeCell ref="H105:H108"/>
    <mergeCell ref="T3:Y4"/>
    <mergeCell ref="Z3:AE4"/>
    <mergeCell ref="AF3:AK4"/>
    <mergeCell ref="AL3:AQ4"/>
    <mergeCell ref="H109:H113"/>
    <mergeCell ref="G109:G113"/>
    <mergeCell ref="H117:H119"/>
    <mergeCell ref="G117:G119"/>
    <mergeCell ref="H120:H122"/>
    <mergeCell ref="G120:G122"/>
    <mergeCell ref="I3:M3"/>
    <mergeCell ref="A1:AQ1"/>
    <mergeCell ref="A2:AQ2"/>
    <mergeCell ref="M4:N4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Pr codeName="电气专业">
    <tabColor rgb="FFFFFFFF"/>
  </sheetPr>
  <dimension ref="AH203"/>
  <sheetViews>
    <sheetView showGridLines="true" rightToLeft="false" workbookViewId="0">
      <pane xSplit="1" ySplit="1" topLeftCell="B2" state="frozen"/>
    </sheetView>
  </sheetViews>
  <cols>
    <col min="1" max="1" width="5.00391" customWidth="true"/>
    <col min="2" max="2" width="17.8633" customWidth="true"/>
    <col min="3" max="3" width="47.8711" customWidth="true"/>
    <col min="4" max="4" width="21.3242" customWidth="true"/>
    <col min="5" max="5" width="6.87109" customWidth="true"/>
    <col min="6" max="6" width="6.74219" customWidth="true"/>
    <col min="7" max="7" width="9.44141" customWidth="true"/>
    <col min="8" max="8" width="11.8633" customWidth="true"/>
    <col min="9" max="9" width="7.71094" customWidth="true"/>
    <col min="10" max="10" width="7.71094" style="1005" customWidth="true"/>
    <col min="11" max="11" width="9.17188" style="1005" customWidth="true"/>
    <col min="12" max="12" width="10.1133" style="1005" customWidth="true"/>
    <col min="13" max="13" width="8.76172" customWidth="true"/>
    <col min="14" max="14" width="11.6016" customWidth="true"/>
    <col min="15" max="15" width="9.03125" customWidth="true"/>
    <col min="16" max="16" width="9.57422" customWidth="true"/>
    <col min="17" max="17" width="8.49219" customWidth="true"/>
    <col min="18" max="19" width="9.30078" customWidth="true"/>
    <col min="20" max="20" width="10.1133" customWidth="true"/>
    <col min="21" max="22" width="7.71094" customWidth="true"/>
    <col min="23" max="23" width="8.63281" customWidth="true"/>
    <col min="24" max="24" width="9.44141" customWidth="true"/>
    <col min="25" max="26" width="7.71094" customWidth="true"/>
    <col min="27" max="27" width="9.30078" customWidth="true"/>
    <col min="28" max="28" width="9.71094" customWidth="true"/>
    <col min="29" max="30" width="7.71094" customWidth="true"/>
    <col min="31" max="31" width="9.03125" customWidth="true"/>
    <col min="32" max="32" width="10.9219" customWidth="true"/>
    <col min="33" max="34" width="7.71094" customWidth="true"/>
  </cols>
  <sheetData>
    <row r="1" spans="1:36" ht="39" customHeight="true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6" t="s"/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6" t="s"/>
      <c r="V1" s="6" t="s"/>
      <c r="W1" s="6" t="s"/>
      <c r="X1" s="6" t="s"/>
      <c r="Y1" s="6" t="s"/>
      <c r="Z1" s="6" t="s"/>
      <c r="AA1" s="6" t="s"/>
      <c r="AB1" s="6" t="s"/>
      <c r="AC1" s="6" t="s"/>
      <c r="AD1" s="6" t="s"/>
      <c r="AE1" s="6" t="s"/>
      <c r="AF1" s="6" t="s"/>
      <c r="AG1" s="6" t="s"/>
      <c r="AH1" s="6" t="s"/>
      <c r="AI1" s="6" t="s"/>
      <c r="AJ1" s="6" t="s"/>
    </row>
    <row r="2" spans="1:36" customHeight="false">
      <c r="A2" s="8" t="s">
        <v>2010</v>
      </c>
      <c r="B2" s="9" t="s"/>
      <c r="C2" s="9" t="s"/>
      <c r="D2" s="9" t="s"/>
      <c r="E2" s="9" t="s"/>
      <c r="F2" s="9" t="s"/>
      <c r="G2" s="9" t="s"/>
      <c r="H2" s="9" t="s"/>
      <c r="I2" s="9" t="s"/>
      <c r="J2" s="11" t="s"/>
      <c r="K2" s="11" t="s"/>
      <c r="L2" s="11" t="s"/>
      <c r="M2" s="11" t="s"/>
      <c r="N2" s="11" t="s"/>
      <c r="O2" s="11" t="s"/>
      <c r="P2" s="11" t="s"/>
      <c r="Q2" s="11" t="s"/>
      <c r="R2" s="11" t="s"/>
      <c r="S2" s="11" t="s"/>
      <c r="T2" s="11" t="s"/>
      <c r="U2" s="9" t="s"/>
      <c r="V2" s="9" t="s"/>
      <c r="W2" s="9" t="s"/>
      <c r="X2" s="9" t="s"/>
      <c r="Y2" s="9" t="s"/>
      <c r="Z2" s="9" t="s"/>
      <c r="AA2" s="9" t="s"/>
      <c r="AB2" s="9" t="s"/>
      <c r="AC2" s="9" t="s"/>
      <c r="AD2" s="9" t="s"/>
      <c r="AE2" s="9" t="s"/>
      <c r="AF2" s="9" t="s"/>
      <c r="AG2" s="9" t="s"/>
      <c r="AH2" s="9" t="s"/>
      <c r="AI2" s="9" t="s"/>
      <c r="AJ2" s="9" t="s"/>
    </row>
    <row r="3" spans="1:36">
      <c r="A3" s="12" t="s">
        <v>3</v>
      </c>
      <c r="B3" s="213" t="s">
        <v>4</v>
      </c>
      <c r="C3" s="214" t="s">
        <v>5</v>
      </c>
      <c r="D3" s="215" t="s">
        <v>6</v>
      </c>
      <c r="E3" s="12" t="s">
        <v>7</v>
      </c>
      <c r="F3" s="12" t="s">
        <v>8</v>
      </c>
      <c r="G3" s="709" t="s">
        <v>9</v>
      </c>
      <c r="H3" s="217" t="s"/>
      <c r="I3" s="215" t="s">
        <v>10</v>
      </c>
      <c r="J3" s="20" t="s">
        <v>11</v>
      </c>
      <c r="K3" s="21" t="s"/>
      <c r="L3" s="21" t="s"/>
      <c r="M3" s="710" t="s">
        <v>576</v>
      </c>
      <c r="N3" s="711" t="s"/>
      <c r="O3" s="710" t="s">
        <v>2011</v>
      </c>
      <c r="P3" s="711" t="s"/>
      <c r="Q3" s="710" t="s">
        <v>2012</v>
      </c>
      <c r="R3" s="711" t="s"/>
      <c r="S3" s="709" t="s">
        <v>575</v>
      </c>
      <c r="T3" s="711" t="s"/>
      <c r="U3" s="22" t="s">
        <v>12</v>
      </c>
      <c r="V3" s="23" t="s"/>
      <c r="W3" s="23" t="s"/>
      <c r="X3" s="23" t="s"/>
      <c r="Y3" s="22" t="s">
        <v>13</v>
      </c>
      <c r="Z3" s="23" t="s"/>
      <c r="AA3" s="23" t="s"/>
      <c r="AB3" s="23" t="s"/>
      <c r="AC3" s="22" t="s">
        <v>14</v>
      </c>
      <c r="AD3" s="23" t="s"/>
      <c r="AE3" s="23" t="s"/>
      <c r="AF3" s="23" t="s"/>
      <c r="AG3" s="22" t="s">
        <v>15</v>
      </c>
      <c r="AH3" s="23" t="s"/>
      <c r="AI3" s="23" t="s"/>
      <c r="AJ3" s="23" t="s"/>
    </row>
    <row r="4" spans="1:36" customHeight="false">
      <c r="A4" s="24" t="s"/>
      <c r="B4" s="220" t="s"/>
      <c r="C4" s="220" t="s"/>
      <c r="D4" s="220" t="s"/>
      <c r="E4" s="220" t="s"/>
      <c r="F4" s="220" t="s"/>
      <c r="G4" s="712" t="s">
        <v>16</v>
      </c>
      <c r="H4" s="712" t="s">
        <v>17</v>
      </c>
      <c r="I4" s="220" t="s"/>
      <c r="J4" s="27" t="s">
        <v>18</v>
      </c>
      <c r="K4" s="27" t="s">
        <v>19</v>
      </c>
      <c r="L4" s="27" t="s">
        <v>20</v>
      </c>
      <c r="M4" s="713" t="s">
        <v>16</v>
      </c>
      <c r="N4" s="713" t="s">
        <v>17</v>
      </c>
      <c r="O4" s="713" t="s">
        <v>16</v>
      </c>
      <c r="P4" s="713" t="s">
        <v>17</v>
      </c>
      <c r="Q4" s="713" t="s">
        <v>16</v>
      </c>
      <c r="R4" s="713" t="s">
        <v>17</v>
      </c>
      <c r="S4" s="712" t="s">
        <v>579</v>
      </c>
      <c r="T4" s="712" t="s">
        <v>2013</v>
      </c>
      <c r="U4" s="17" t="s">
        <v>21</v>
      </c>
      <c r="V4" s="17" t="s">
        <v>22</v>
      </c>
      <c r="W4" s="17" t="s">
        <v>19</v>
      </c>
      <c r="X4" s="17" t="s">
        <v>20</v>
      </c>
      <c r="Y4" s="17" t="s">
        <v>21</v>
      </c>
      <c r="Z4" s="17" t="s">
        <v>22</v>
      </c>
      <c r="AA4" s="17" t="s">
        <v>19</v>
      </c>
      <c r="AB4" s="17" t="s">
        <v>20</v>
      </c>
      <c r="AC4" s="29" t="s">
        <v>21</v>
      </c>
      <c r="AD4" s="30" t="s">
        <v>22</v>
      </c>
      <c r="AE4" s="17" t="s">
        <v>19</v>
      </c>
      <c r="AF4" s="17" t="s">
        <v>20</v>
      </c>
      <c r="AG4" s="17" t="s">
        <v>21</v>
      </c>
      <c r="AH4" s="17" t="s">
        <v>22</v>
      </c>
      <c r="AI4" s="17" t="s">
        <v>19</v>
      </c>
      <c r="AJ4" s="17" t="s">
        <v>20</v>
      </c>
    </row>
    <row r="5" spans="1:36" customHeight="false">
      <c r="A5" s="43" t="s"/>
      <c r="B5" s="714" t="s">
        <v>2014</v>
      </c>
      <c r="C5" s="715" t="s">
        <v>2015</v>
      </c>
      <c r="D5" s="715" t="s">
        <v>2015</v>
      </c>
      <c r="E5" s="16" t="s">
        <v>280</v>
      </c>
      <c r="F5" s="16">
        <v>194</v>
      </c>
      <c r="G5" s="35">
        <f>=H5/F5</f>
        <v>5154.63917525773</v>
      </c>
      <c r="H5" s="91">
        <f>=1000000</f>
        <v>1000000</v>
      </c>
      <c r="I5" s="59">
        <v>194</v>
      </c>
      <c r="J5" s="37">
        <v>0.8</v>
      </c>
      <c r="K5" s="716">
        <f>=T5*J5</f>
        <v>858.536082474227</v>
      </c>
      <c r="L5" s="716">
        <f>=I5*K5</f>
        <v>166556</v>
      </c>
      <c r="M5" s="717">
        <f>=N5/150</f>
        <v>1200</v>
      </c>
      <c r="N5" s="717">
        <f>=180000</f>
        <v>180000</v>
      </c>
      <c r="O5" s="718" t="s">
        <v>907</v>
      </c>
      <c r="P5" s="718" t="s"/>
      <c r="Q5" s="718" t="s">
        <v>907</v>
      </c>
      <c r="R5" s="718" t="s"/>
      <c r="S5" s="358">
        <f>=AVERAGE(W5,AA5,AE5,AI5)</f>
        <v>1121.12113402062</v>
      </c>
      <c r="T5" s="358">
        <f>=MIN(W5,AA5,AE5,AI5)</f>
        <v>1073.17010309278</v>
      </c>
      <c r="U5" s="719" t="s">
        <v>2016</v>
      </c>
      <c r="V5" s="719" t="s">
        <v>2017</v>
      </c>
      <c r="W5" s="719">
        <f>=X5/194</f>
        <v>1073.17010309278</v>
      </c>
      <c r="X5" s="719">
        <f>=208195</f>
        <v>208195</v>
      </c>
      <c r="Y5" s="720" t="s">
        <v>2018</v>
      </c>
      <c r="Z5" s="721" t="s">
        <v>2019</v>
      </c>
      <c r="AA5" s="719">
        <f>=AB5/194</f>
        <v>1169.07216494845</v>
      </c>
      <c r="AB5" s="719">
        <f>=31.5*7200</f>
        <v>226800</v>
      </c>
      <c r="AC5" s="719" t="s">
        <v>2020</v>
      </c>
      <c r="AD5" s="719" t="s">
        <v>2021</v>
      </c>
      <c r="AE5" s="719" t="s"/>
      <c r="AF5" s="719" t="s"/>
      <c r="AG5" s="41" t="s"/>
      <c r="AH5" s="41" t="s"/>
      <c r="AI5" s="42" t="s"/>
      <c r="AJ5" s="42" t="s"/>
    </row>
    <row r="6" spans="1:36" customHeight="false">
      <c r="A6" s="43" t="s"/>
      <c r="B6" s="714" t="s">
        <v>2022</v>
      </c>
      <c r="C6" s="715" t="s">
        <v>2023</v>
      </c>
      <c r="D6" s="715" t="s">
        <v>2023</v>
      </c>
      <c r="E6" s="16" t="s">
        <v>2024</v>
      </c>
      <c r="F6" s="16">
        <v>3</v>
      </c>
      <c r="G6" s="16">
        <f>=H6/F6</f>
        <v>225149.42</v>
      </c>
      <c r="H6" s="91">
        <v>675448.26</v>
      </c>
      <c r="I6" s="59">
        <v>3</v>
      </c>
      <c r="J6" s="37">
        <v>0.9</v>
      </c>
      <c r="K6" s="716">
        <f>=T6*J6</f>
        <v>282047.535</v>
      </c>
      <c r="L6" s="716">
        <f>=I6*K6</f>
        <v>846142.605</v>
      </c>
      <c r="M6" s="722">
        <f>=N6/3</f>
        <v>291666.666666667</v>
      </c>
      <c r="N6" s="723">
        <f>=875000</f>
        <v>875000</v>
      </c>
      <c r="O6" s="724">
        <f>=217738.72/1</f>
        <v>217738.72</v>
      </c>
      <c r="P6" s="724">
        <v>217738.72</v>
      </c>
      <c r="Q6" s="725">
        <f>=R6/3</f>
        <v>131368.913333333</v>
      </c>
      <c r="R6" s="724">
        <v>394106.74</v>
      </c>
      <c r="S6" s="358">
        <f>=AVERAGE(W6,AA6,AE6,AI6)</f>
        <v>326716.85</v>
      </c>
      <c r="T6" s="41">
        <f>=MIN(W6,AA6,AE6,AI6)</f>
        <v>313386.15</v>
      </c>
      <c r="U6" s="719" t="s">
        <v>2025</v>
      </c>
      <c r="V6" s="719" t="s">
        <v>2026</v>
      </c>
      <c r="W6" s="719">
        <f>=X6/I6</f>
        <v>340047.55</v>
      </c>
      <c r="X6" s="719">
        <v>1020142.65</v>
      </c>
      <c r="Y6" s="720" t="s">
        <v>2027</v>
      </c>
      <c r="Z6" s="721" t="s">
        <v>2028</v>
      </c>
      <c r="AA6" s="719">
        <f>=AB6/I6</f>
        <v>313386.15</v>
      </c>
      <c r="AB6" s="719">
        <v>940158.45</v>
      </c>
      <c r="AC6" s="719" t="s">
        <v>2029</v>
      </c>
      <c r="AD6" s="719" t="s">
        <v>2030</v>
      </c>
      <c r="AE6" s="420" t="s"/>
      <c r="AF6" s="420" t="s"/>
      <c r="AG6" s="41" t="s"/>
      <c r="AH6" s="41" t="s"/>
      <c r="AI6" s="42" t="s"/>
      <c r="AJ6" s="42" t="s"/>
    </row>
    <row r="7" spans="1:36" customHeight="false">
      <c r="A7" s="43" t="s"/>
      <c r="B7" s="601" t="s">
        <v>2031</v>
      </c>
      <c r="C7" s="601" t="s">
        <v>2032</v>
      </c>
      <c r="D7" s="726" t="s">
        <v>2032</v>
      </c>
      <c r="E7" s="16" t="s">
        <v>32</v>
      </c>
      <c r="F7" s="16">
        <v>14</v>
      </c>
      <c r="G7" s="35">
        <f>=H7/F7</f>
        <v>50892.7428571429</v>
      </c>
      <c r="H7" s="91">
        <f>=712498.4</f>
        <v>712498.4</v>
      </c>
      <c r="I7" s="59">
        <v>14</v>
      </c>
      <c r="J7" s="37">
        <v>1</v>
      </c>
      <c r="K7" s="716">
        <f>=T7*J7</f>
        <v>72087.6666666667</v>
      </c>
      <c r="L7" s="716">
        <f>=I7*K7</f>
        <v>1009227.33333333</v>
      </c>
      <c r="M7" s="725">
        <f>=N7/14</f>
        <v>101365.714285714</v>
      </c>
      <c r="N7" s="725">
        <f>=1419120</f>
        <v>1419120</v>
      </c>
      <c r="O7" s="725">
        <f>=P7/12</f>
        <v>49055.3425</v>
      </c>
      <c r="P7" s="727">
        <f>=588664.11</f>
        <v>588664.11</v>
      </c>
      <c r="Q7" s="725">
        <f>=R7/10</f>
        <v>100057.6</v>
      </c>
      <c r="R7" s="725">
        <f>=1000576</f>
        <v>1000576</v>
      </c>
      <c r="S7" s="728">
        <f>=AVERAGE(W7,AA7,AE7,AI7)</f>
        <v>76261.8333333334</v>
      </c>
      <c r="T7" s="728">
        <f>=MIN(W7,AA7,AE7,AI7)</f>
        <v>72087.6666666667</v>
      </c>
      <c r="U7" s="721" t="s">
        <v>2033</v>
      </c>
      <c r="V7" s="721" t="s">
        <v>2034</v>
      </c>
      <c r="W7" s="729">
        <f>=X7/12</f>
        <v>80436</v>
      </c>
      <c r="X7" s="729">
        <f>=965232</f>
        <v>965232</v>
      </c>
      <c r="Y7" s="721" t="s">
        <v>2035</v>
      </c>
      <c r="Z7" s="721" t="s">
        <v>2036</v>
      </c>
      <c r="AA7" s="730">
        <f>=AB7/12</f>
        <v>72087.6666666667</v>
      </c>
      <c r="AB7" s="729">
        <f>=865052</f>
        <v>865052</v>
      </c>
      <c r="AC7" s="721" t="s">
        <v>2037</v>
      </c>
      <c r="AD7" s="721" t="s">
        <v>2038</v>
      </c>
      <c r="AE7" s="721" t="s"/>
      <c r="AF7" s="721" t="s"/>
      <c r="AG7" s="42" t="s"/>
      <c r="AH7" s="42" t="s"/>
      <c r="AI7" s="42" t="s"/>
      <c r="AJ7" s="42" t="s"/>
    </row>
    <row r="8" spans="1:36" customHeight="false">
      <c r="A8" s="583" t="s"/>
      <c r="B8" s="601" t="s">
        <v>1124</v>
      </c>
      <c r="C8" s="601" t="s">
        <v>2039</v>
      </c>
      <c r="D8" s="601" t="s">
        <v>2039</v>
      </c>
      <c r="E8" s="16" t="s">
        <v>32</v>
      </c>
      <c r="F8" s="16">
        <v>69</v>
      </c>
      <c r="G8" s="35">
        <f>=H8/F8</f>
        <v>76617.6746376812</v>
      </c>
      <c r="H8" s="482">
        <v>5286619.55</v>
      </c>
      <c r="I8" s="82">
        <v>69</v>
      </c>
      <c r="J8" s="83">
        <v>1</v>
      </c>
      <c r="K8" s="731">
        <f>=T8*J8</f>
        <v>58355.7671232877</v>
      </c>
      <c r="L8" s="731">
        <f>=I8*K8</f>
        <v>4026547.93150685</v>
      </c>
      <c r="M8" s="725">
        <f>=N8/150</f>
        <v>61126.6666666667</v>
      </c>
      <c r="N8" s="725">
        <f>=9169000</f>
        <v>9169000</v>
      </c>
      <c r="O8" s="725">
        <f>=P8/63</f>
        <v>51633.2095238095</v>
      </c>
      <c r="P8" s="725">
        <f>=3252892.2</f>
        <v>3252892.2</v>
      </c>
      <c r="Q8" s="725">
        <f>=R8/73</f>
        <v>80688.3287671233</v>
      </c>
      <c r="R8" s="725">
        <f>=5890248</f>
        <v>5890248</v>
      </c>
      <c r="S8" s="728">
        <f>=AVERAGE(W8,AA8,AE8,AI8)</f>
        <v>64487.1226920786</v>
      </c>
      <c r="T8" s="728">
        <f>=MIN(W8,AA8,AE8,AI8)</f>
        <v>58355.7671232877</v>
      </c>
      <c r="U8" s="721" t="s">
        <v>2033</v>
      </c>
      <c r="V8" s="721" t="s">
        <v>2034</v>
      </c>
      <c r="W8" s="732">
        <f>=X8/73</f>
        <v>58355.7671232877</v>
      </c>
      <c r="X8" s="720">
        <v>4259971</v>
      </c>
      <c r="Y8" s="721" t="s">
        <v>2035</v>
      </c>
      <c r="Z8" s="721" t="s">
        <v>2036</v>
      </c>
      <c r="AA8" s="730">
        <f>=AB8/69</f>
        <v>70618.4782608696</v>
      </c>
      <c r="AB8" s="721">
        <f>=4872675</f>
        <v>4872675</v>
      </c>
      <c r="AC8" s="721" t="s">
        <v>2037</v>
      </c>
      <c r="AD8" s="721" t="s">
        <v>2038</v>
      </c>
      <c r="AE8" s="622" t="s"/>
      <c r="AF8" s="622" t="s"/>
      <c r="AG8" s="41" t="s"/>
      <c r="AH8" s="41" t="s"/>
      <c r="AI8" s="42" t="s"/>
      <c r="AJ8" s="42" t="s"/>
    </row>
    <row r="9" spans="1:36" customHeight="false">
      <c r="A9" s="16" t="s"/>
      <c r="B9" s="601" t="s">
        <v>2040</v>
      </c>
      <c r="C9" s="601" t="s">
        <v>2041</v>
      </c>
      <c r="D9" s="601" t="s">
        <v>2042</v>
      </c>
      <c r="E9" s="16" t="s">
        <v>32</v>
      </c>
      <c r="F9" s="16">
        <v>2</v>
      </c>
      <c r="G9" s="35">
        <f>=H9/F9</f>
        <v>218384.01</v>
      </c>
      <c r="H9" s="91">
        <v>436768.02</v>
      </c>
      <c r="I9" s="59">
        <v>2</v>
      </c>
      <c r="J9" s="37">
        <v>0.8</v>
      </c>
      <c r="K9" s="716">
        <f>=T9*J9</f>
        <v>318400</v>
      </c>
      <c r="L9" s="716">
        <f>=I9*K9</f>
        <v>636800</v>
      </c>
      <c r="M9" s="725">
        <f>=N9/4</f>
        <v>200000</v>
      </c>
      <c r="N9" s="725">
        <f>=800000</f>
        <v>800000</v>
      </c>
      <c r="O9" s="725">
        <f>=P9/2</f>
        <v>236283</v>
      </c>
      <c r="P9" s="727">
        <f>=472566</f>
        <v>472566</v>
      </c>
      <c r="Q9" s="725">
        <f>=R9/3</f>
        <v>218900</v>
      </c>
      <c r="R9" s="725">
        <f>=656700</f>
        <v>656700</v>
      </c>
      <c r="S9" s="358">
        <f>=AVERAGE(W9,AA9,AE9,AI9)</f>
        <v>399000</v>
      </c>
      <c r="T9" s="358">
        <f>=MIN(W9,AA9,AE9,AI9)</f>
        <v>398000</v>
      </c>
      <c r="U9" s="721" t="s">
        <v>2043</v>
      </c>
      <c r="V9" s="721" t="s">
        <v>2044</v>
      </c>
      <c r="W9" s="732">
        <f>=X9/2</f>
        <v>398000</v>
      </c>
      <c r="X9" s="732">
        <f>=796000</f>
        <v>796000</v>
      </c>
      <c r="Y9" s="721" t="s">
        <v>2045</v>
      </c>
      <c r="Z9" s="721" t="s">
        <v>2046</v>
      </c>
      <c r="AA9" s="730">
        <f>=AB9/2</f>
        <v>400000</v>
      </c>
      <c r="AB9" s="729">
        <f>=800000</f>
        <v>800000</v>
      </c>
      <c r="AC9" s="721" t="s">
        <v>2047</v>
      </c>
      <c r="AD9" s="721" t="s">
        <v>2048</v>
      </c>
      <c r="AE9" s="721" t="s"/>
      <c r="AF9" s="721" t="s"/>
      <c r="AG9" s="41" t="s"/>
      <c r="AH9" s="41" t="s"/>
      <c r="AI9" s="42" t="s"/>
      <c r="AJ9" s="42" t="s"/>
    </row>
    <row r="10" spans="1:36" customHeight="false">
      <c r="A10" s="16" t="s"/>
      <c r="B10" s="601" t="s">
        <v>2049</v>
      </c>
      <c r="C10" s="601" t="s">
        <v>2050</v>
      </c>
      <c r="D10" s="601" t="s">
        <v>2050</v>
      </c>
      <c r="E10" s="16" t="s">
        <v>32</v>
      </c>
      <c r="F10" s="16">
        <v>1</v>
      </c>
      <c r="G10" s="35">
        <f>=H10/F10</f>
        <v>1250342.82</v>
      </c>
      <c r="H10" s="91">
        <f>=1250342.82</f>
        <v>1250342.82</v>
      </c>
      <c r="I10" s="59">
        <v>1</v>
      </c>
      <c r="J10" s="37">
        <v>0.9</v>
      </c>
      <c r="K10" s="716">
        <f>=T10*J10</f>
        <v>1575000</v>
      </c>
      <c r="L10" s="716">
        <f>=I10*K10</f>
        <v>1575000</v>
      </c>
      <c r="M10" s="725">
        <f>=N10/1</f>
        <v>800000</v>
      </c>
      <c r="N10" s="725">
        <f>=800000</f>
        <v>800000</v>
      </c>
      <c r="O10" s="725">
        <f>=P10/1</f>
        <v>998920</v>
      </c>
      <c r="P10" s="727">
        <f>=998920</f>
        <v>998920</v>
      </c>
      <c r="Q10" s="724" t="s">
        <v>907</v>
      </c>
      <c r="R10" s="727" t="s"/>
      <c r="S10" s="728">
        <f>=AVERAGE(W10,AA10,AE10,AI10)</f>
        <v>2170940.66666667</v>
      </c>
      <c r="T10" s="728">
        <f>=MIN(W10,AA10,AE10,AI10)</f>
        <v>1750000</v>
      </c>
      <c r="U10" s="721" t="s">
        <v>2051</v>
      </c>
      <c r="V10" s="721" t="s">
        <v>2052</v>
      </c>
      <c r="W10" s="730">
        <f>=X10/1</f>
        <v>2580000</v>
      </c>
      <c r="X10" s="729">
        <f>=2580000</f>
        <v>2580000</v>
      </c>
      <c r="Y10" s="721" t="s">
        <v>2053</v>
      </c>
      <c r="Z10" s="721" t="s">
        <v>2054</v>
      </c>
      <c r="AA10" s="730">
        <f>=AB10/1</f>
        <v>1750000</v>
      </c>
      <c r="AB10" s="729">
        <f>=1750000</f>
        <v>1750000</v>
      </c>
      <c r="AC10" s="721" t="s">
        <v>2055</v>
      </c>
      <c r="AD10" s="721" t="s">
        <v>2056</v>
      </c>
      <c r="AE10" s="730">
        <f>=AF10/1</f>
        <v>2182822</v>
      </c>
      <c r="AF10" s="729">
        <f>=2182822</f>
        <v>2182822</v>
      </c>
      <c r="AG10" s="41" t="s"/>
      <c r="AH10" s="41" t="s"/>
      <c r="AI10" s="42" t="s"/>
      <c r="AJ10" s="42" t="s"/>
    </row>
    <row r="11" spans="1:36" ht="23.25" customHeight="true">
      <c r="A11" s="16" t="s"/>
      <c r="B11" s="42" t="s"/>
      <c r="C11" s="42" t="s"/>
      <c r="D11" s="42" t="s"/>
      <c r="E11" s="16" t="s"/>
      <c r="F11" s="16" t="s"/>
      <c r="G11" s="16" t="s"/>
      <c r="H11" s="91" t="s"/>
      <c r="I11" s="59" t="s"/>
      <c r="J11" s="37" t="s"/>
      <c r="K11" s="37" t="s"/>
      <c r="L11" s="37" t="s"/>
      <c r="M11" s="469" t="s"/>
      <c r="N11" s="469" t="s"/>
      <c r="O11" s="469" t="s"/>
      <c r="P11" s="469" t="s"/>
      <c r="Q11" s="469" t="s"/>
      <c r="R11" s="469" t="s"/>
      <c r="S11" s="469" t="s"/>
      <c r="T11" s="469" t="s"/>
      <c r="U11" s="41" t="s"/>
      <c r="V11" s="41" t="s"/>
      <c r="W11" s="16" t="s"/>
      <c r="X11" s="16" t="s"/>
      <c r="Y11" s="41" t="s"/>
      <c r="Z11" s="41" t="s"/>
      <c r="AA11" s="42" t="s"/>
      <c r="AB11" s="42" t="s"/>
      <c r="AC11" s="41" t="s"/>
      <c r="AD11" s="41" t="s"/>
      <c r="AE11" s="9" t="s"/>
      <c r="AF11" s="9" t="s"/>
      <c r="AG11" s="41" t="s"/>
      <c r="AH11" s="41" t="s"/>
      <c r="AI11" s="42" t="s"/>
      <c r="AJ11" s="42" t="s"/>
    </row>
    <row r="12" spans="1:36" ht="23.25" customHeight="true">
      <c r="A12" s="16" t="s"/>
      <c r="B12" s="42" t="s"/>
      <c r="C12" s="42" t="s"/>
      <c r="D12" s="42" t="s"/>
      <c r="E12" s="16" t="s"/>
      <c r="F12" s="16" t="s"/>
      <c r="G12" s="16" t="s"/>
      <c r="H12" s="91" t="s"/>
      <c r="I12" s="59" t="s"/>
      <c r="J12" s="37" t="s"/>
      <c r="K12" s="37" t="s"/>
      <c r="L12" s="37" t="s"/>
      <c r="M12" s="469" t="s"/>
      <c r="N12" s="469" t="s"/>
      <c r="O12" s="469" t="s"/>
      <c r="P12" s="469" t="s"/>
      <c r="Q12" s="469" t="s"/>
      <c r="R12" s="469" t="s"/>
      <c r="S12" s="469" t="s"/>
      <c r="T12" s="469" t="s"/>
      <c r="U12" s="41" t="s"/>
      <c r="V12" s="41" t="s"/>
      <c r="W12" s="16" t="s"/>
      <c r="X12" s="42" t="s"/>
      <c r="Y12" s="41" t="s"/>
      <c r="Z12" s="41" t="s"/>
      <c r="AA12" s="42" t="s"/>
      <c r="AB12" s="41" t="s"/>
      <c r="AC12" s="41" t="s"/>
      <c r="AD12" s="41" t="s"/>
      <c r="AE12" s="9" t="s"/>
      <c r="AF12" s="9" t="s"/>
      <c r="AG12" s="41" t="s"/>
      <c r="AH12" s="41" t="s"/>
      <c r="AI12" s="42" t="s"/>
      <c r="AJ12" s="42" t="s"/>
    </row>
    <row r="13" spans="1:36" ht="23.25" customHeight="true">
      <c r="A13" s="16" t="s"/>
      <c r="B13" s="42" t="s"/>
      <c r="C13" s="42" t="s"/>
      <c r="D13" s="42" t="s"/>
      <c r="E13" s="16" t="s"/>
      <c r="F13" s="16" t="s"/>
      <c r="G13" s="16" t="s"/>
      <c r="H13" s="91" t="s"/>
      <c r="I13" s="59" t="s"/>
      <c r="J13" s="37" t="s"/>
      <c r="K13" s="37" t="s"/>
      <c r="L13" s="37" t="s"/>
      <c r="M13" s="469" t="s"/>
      <c r="N13" s="469" t="s"/>
      <c r="O13" s="469" t="s"/>
      <c r="P13" s="469" t="s"/>
      <c r="Q13" s="469" t="s"/>
      <c r="R13" s="469" t="s"/>
      <c r="S13" s="469" t="s"/>
      <c r="T13" s="469" t="s"/>
      <c r="U13" s="41" t="s"/>
      <c r="V13" s="41" t="s"/>
      <c r="W13" s="16" t="s"/>
      <c r="X13" s="42" t="s"/>
      <c r="Y13" s="41" t="s"/>
      <c r="Z13" s="41" t="s"/>
      <c r="AA13" s="42" t="s"/>
      <c r="AB13" s="41" t="s"/>
      <c r="AC13" s="41" t="s"/>
      <c r="AD13" s="41" t="s"/>
      <c r="AE13" s="9" t="s"/>
      <c r="AF13" s="9" t="s"/>
      <c r="AG13" s="41" t="s"/>
      <c r="AH13" s="41" t="s"/>
      <c r="AI13" s="42" t="s"/>
      <c r="AJ13" s="42" t="s"/>
    </row>
    <row r="14" spans="1:36" ht="23.25" customHeight="true">
      <c r="A14" s="16" t="s"/>
      <c r="B14" s="42" t="s"/>
      <c r="C14" s="42" t="s"/>
      <c r="D14" s="42" t="s"/>
      <c r="E14" s="16" t="s"/>
      <c r="F14" s="16" t="s"/>
      <c r="G14" s="16" t="s"/>
      <c r="H14" s="91" t="s"/>
      <c r="I14" s="59" t="s"/>
      <c r="J14" s="37" t="s"/>
      <c r="K14" s="37" t="s"/>
      <c r="L14" s="37" t="s"/>
      <c r="M14" s="469" t="s"/>
      <c r="N14" s="469" t="s"/>
      <c r="O14" s="469" t="s"/>
      <c r="P14" s="469" t="s"/>
      <c r="Q14" s="469" t="s"/>
      <c r="R14" s="469" t="s"/>
      <c r="S14" s="469" t="s"/>
      <c r="T14" s="469" t="s"/>
      <c r="U14" s="41" t="s"/>
      <c r="V14" s="41" t="s"/>
      <c r="W14" s="16" t="s"/>
      <c r="X14" s="42" t="s"/>
      <c r="Y14" s="41" t="s"/>
      <c r="Z14" s="41" t="s"/>
      <c r="AA14" s="42" t="s"/>
      <c r="AB14" s="42" t="s"/>
      <c r="AC14" s="41" t="s"/>
      <c r="AD14" s="41" t="s"/>
      <c r="AE14" s="9" t="s"/>
      <c r="AF14" s="9" t="s"/>
      <c r="AG14" s="41" t="s"/>
      <c r="AH14" s="41" t="s"/>
      <c r="AI14" s="42" t="s"/>
      <c r="AJ14" s="42" t="s"/>
    </row>
    <row r="15" spans="1:36" ht="23.25" customHeight="true">
      <c r="A15" s="16" t="s"/>
      <c r="B15" s="42" t="s"/>
      <c r="C15" s="42" t="s"/>
      <c r="D15" s="42" t="s"/>
      <c r="E15" s="16" t="s"/>
      <c r="F15" s="16" t="s"/>
      <c r="G15" s="16" t="s"/>
      <c r="H15" s="91" t="s"/>
      <c r="I15" s="59" t="s"/>
      <c r="J15" s="37" t="s"/>
      <c r="K15" s="37" t="s"/>
      <c r="L15" s="37" t="s"/>
      <c r="M15" s="469" t="s"/>
      <c r="N15" s="469" t="s"/>
      <c r="O15" s="469" t="s"/>
      <c r="P15" s="469" t="s"/>
      <c r="Q15" s="469" t="s"/>
      <c r="R15" s="469" t="s"/>
      <c r="S15" s="469" t="s"/>
      <c r="T15" s="469" t="s"/>
      <c r="U15" s="41" t="s"/>
      <c r="V15" s="41" t="s"/>
      <c r="W15" s="16" t="s"/>
      <c r="X15" s="42" t="s"/>
      <c r="Y15" s="41" t="s"/>
      <c r="Z15" s="41" t="s"/>
      <c r="AA15" s="42" t="s"/>
      <c r="AB15" s="42" t="s"/>
      <c r="AC15" s="41" t="s"/>
      <c r="AD15" s="41" t="s"/>
      <c r="AE15" s="9" t="s"/>
      <c r="AF15" s="9" t="s"/>
      <c r="AG15" s="41" t="s"/>
      <c r="AH15" s="41" t="s"/>
      <c r="AI15" s="42" t="s"/>
      <c r="AJ15" s="42" t="s"/>
    </row>
    <row r="16" spans="1:36" ht="23.25" customHeight="true">
      <c r="A16" s="16" t="s"/>
      <c r="B16" s="42" t="s"/>
      <c r="C16" s="42" t="s"/>
      <c r="D16" s="42" t="s"/>
      <c r="E16" s="16" t="s"/>
      <c r="F16" s="16" t="s"/>
      <c r="G16" s="16" t="s"/>
      <c r="H16" s="91" t="s"/>
      <c r="I16" s="59" t="s"/>
      <c r="J16" s="37" t="s"/>
      <c r="K16" s="37" t="s"/>
      <c r="L16" s="37" t="s"/>
      <c r="M16" s="469" t="s"/>
      <c r="N16" s="469" t="s"/>
      <c r="O16" s="469" t="s"/>
      <c r="P16" s="469" t="s"/>
      <c r="Q16" s="469" t="s"/>
      <c r="R16" s="469" t="s"/>
      <c r="S16" s="469" t="s"/>
      <c r="T16" s="469" t="s"/>
      <c r="U16" s="41" t="s"/>
      <c r="V16" s="41" t="s"/>
      <c r="W16" s="16" t="s"/>
      <c r="X16" s="42" t="s"/>
      <c r="Y16" s="41" t="s"/>
      <c r="Z16" s="41" t="s"/>
      <c r="AA16" s="42" t="s"/>
      <c r="AB16" s="42" t="s"/>
      <c r="AC16" s="41" t="s"/>
      <c r="AD16" s="41" t="s"/>
      <c r="AE16" s="9" t="s"/>
      <c r="AF16" s="9" t="s"/>
      <c r="AG16" s="41" t="s"/>
      <c r="AH16" s="41" t="s"/>
      <c r="AI16" s="42" t="s"/>
      <c r="AJ16" s="42" t="s"/>
    </row>
    <row r="17" spans="1:36" ht="23.25" customHeight="true">
      <c r="A17" s="16" t="s"/>
      <c r="B17" s="42" t="s"/>
      <c r="C17" s="42" t="s"/>
      <c r="D17" s="42" t="s"/>
      <c r="E17" s="16" t="s"/>
      <c r="F17" s="16" t="s"/>
      <c r="G17" s="16" t="s"/>
      <c r="H17" s="91" t="s"/>
      <c r="I17" s="59" t="s"/>
      <c r="J17" s="37" t="s"/>
      <c r="K17" s="37" t="s"/>
      <c r="L17" s="37" t="s"/>
      <c r="M17" s="469" t="s"/>
      <c r="N17" s="469" t="s"/>
      <c r="O17" s="469" t="s"/>
      <c r="P17" s="469" t="s"/>
      <c r="Q17" s="469" t="s"/>
      <c r="R17" s="469" t="s"/>
      <c r="S17" s="469" t="s"/>
      <c r="T17" s="469" t="s"/>
      <c r="U17" s="41" t="s"/>
      <c r="V17" s="41" t="s"/>
      <c r="W17" s="16" t="s"/>
      <c r="X17" s="42" t="s"/>
      <c r="Y17" s="41" t="s"/>
      <c r="Z17" s="41" t="s"/>
      <c r="AA17" s="42" t="s"/>
      <c r="AB17" s="42" t="s"/>
      <c r="AC17" s="41" t="s"/>
      <c r="AD17" s="41" t="s"/>
      <c r="AE17" s="9" t="s"/>
      <c r="AF17" s="9" t="s"/>
      <c r="AG17" s="41" t="s"/>
      <c r="AH17" s="41" t="s"/>
      <c r="AI17" s="42" t="s"/>
      <c r="AJ17" s="42" t="s"/>
    </row>
    <row r="18" spans="1:36" ht="23.25" customHeight="true">
      <c r="A18" s="16" t="s"/>
      <c r="B18" s="42" t="s"/>
      <c r="C18" s="42" t="s"/>
      <c r="D18" s="42" t="s"/>
      <c r="E18" s="16" t="s"/>
      <c r="F18" s="16" t="s"/>
      <c r="G18" s="16" t="s"/>
      <c r="H18" s="91" t="s"/>
      <c r="I18" s="59" t="s"/>
      <c r="J18" s="37" t="s"/>
      <c r="K18" s="37" t="s"/>
      <c r="L18" s="37" t="s"/>
      <c r="M18" s="469" t="s"/>
      <c r="N18" s="469" t="s"/>
      <c r="O18" s="469" t="s"/>
      <c r="P18" s="469" t="s"/>
      <c r="Q18" s="469" t="s"/>
      <c r="R18" s="469" t="s"/>
      <c r="S18" s="469" t="s"/>
      <c r="T18" s="469" t="s"/>
      <c r="U18" s="41" t="s"/>
      <c r="V18" s="41" t="s"/>
      <c r="W18" s="16" t="s"/>
      <c r="X18" s="42" t="s"/>
      <c r="Y18" s="41" t="s"/>
      <c r="Z18" s="41" t="s"/>
      <c r="AA18" s="42" t="s"/>
      <c r="AB18" s="42" t="s"/>
      <c r="AC18" s="41" t="s"/>
      <c r="AD18" s="41" t="s"/>
      <c r="AE18" s="9" t="s"/>
      <c r="AF18" s="9" t="s"/>
      <c r="AG18" s="41" t="s"/>
      <c r="AH18" s="41" t="s"/>
      <c r="AI18" s="42" t="s"/>
      <c r="AJ18" s="42" t="s"/>
    </row>
    <row r="19" spans="1:36" ht="23.25" customHeight="true">
      <c r="A19" s="16" t="s"/>
      <c r="B19" s="42" t="s"/>
      <c r="C19" s="42" t="s"/>
      <c r="D19" s="42" t="s"/>
      <c r="E19" s="16" t="s"/>
      <c r="F19" s="16" t="s"/>
      <c r="G19" s="16" t="s"/>
      <c r="H19" s="91" t="s"/>
      <c r="I19" s="59" t="s"/>
      <c r="J19" s="37" t="s"/>
      <c r="K19" s="37" t="s"/>
      <c r="L19" s="37" t="s"/>
      <c r="M19" s="469" t="s"/>
      <c r="N19" s="469" t="s"/>
      <c r="O19" s="469" t="s"/>
      <c r="P19" s="469" t="s"/>
      <c r="Q19" s="469" t="s"/>
      <c r="R19" s="469" t="s"/>
      <c r="S19" s="469" t="s"/>
      <c r="T19" s="469" t="s"/>
      <c r="U19" s="41" t="s"/>
      <c r="V19" s="41" t="s"/>
      <c r="W19" s="16" t="s"/>
      <c r="X19" s="42" t="s"/>
      <c r="Y19" s="41" t="s"/>
      <c r="Z19" s="41" t="s"/>
      <c r="AA19" s="42" t="s"/>
      <c r="AB19" s="42" t="s"/>
      <c r="AC19" s="41" t="s"/>
      <c r="AD19" s="41" t="s"/>
      <c r="AE19" s="9" t="s"/>
      <c r="AF19" s="9" t="s"/>
      <c r="AG19" s="41" t="s"/>
      <c r="AH19" s="41" t="s"/>
      <c r="AI19" s="42" t="s"/>
      <c r="AJ19" s="42" t="s"/>
    </row>
    <row r="20" spans="1:36" ht="23.25" customHeight="true">
      <c r="A20" s="16" t="s"/>
      <c r="B20" s="42" t="s"/>
      <c r="C20" s="42" t="s"/>
      <c r="D20" s="42" t="s"/>
      <c r="E20" s="16" t="s"/>
      <c r="F20" s="16" t="s"/>
      <c r="G20" s="16" t="s"/>
      <c r="H20" s="91" t="s"/>
      <c r="I20" s="59" t="s"/>
      <c r="J20" s="37" t="s"/>
      <c r="K20" s="37" t="s"/>
      <c r="L20" s="37" t="s"/>
      <c r="M20" s="469" t="s"/>
      <c r="N20" s="469" t="s"/>
      <c r="O20" s="469" t="s"/>
      <c r="P20" s="469" t="s"/>
      <c r="Q20" s="469" t="s"/>
      <c r="R20" s="469" t="s"/>
      <c r="S20" s="469" t="s"/>
      <c r="T20" s="469" t="s"/>
      <c r="U20" s="41" t="s"/>
      <c r="V20" s="41" t="s"/>
      <c r="W20" s="16" t="s"/>
      <c r="X20" s="42" t="s"/>
      <c r="Y20" s="41" t="s"/>
      <c r="Z20" s="41" t="s"/>
      <c r="AA20" s="42" t="s"/>
      <c r="AB20" s="42" t="s"/>
      <c r="AC20" s="41" t="s"/>
      <c r="AD20" s="41" t="s"/>
      <c r="AE20" s="9" t="s"/>
      <c r="AF20" s="9" t="s"/>
      <c r="AG20" s="41" t="s"/>
      <c r="AH20" s="41" t="s"/>
      <c r="AI20" s="42" t="s"/>
      <c r="AJ20" s="42" t="s"/>
    </row>
    <row r="21" spans="1:36" customHeight="false">
      <c r="A21" s="16" t="s"/>
      <c r="B21" s="42" t="s"/>
      <c r="C21" s="42" t="s"/>
      <c r="D21" s="42" t="s"/>
      <c r="E21" s="16" t="s"/>
      <c r="F21" s="16" t="s"/>
      <c r="G21" s="16" t="s"/>
      <c r="H21" s="91" t="s"/>
      <c r="I21" s="59" t="s"/>
      <c r="J21" s="37" t="s"/>
      <c r="K21" s="37" t="s"/>
      <c r="L21" s="37" t="s"/>
      <c r="M21" s="469" t="s"/>
      <c r="N21" s="469" t="s"/>
      <c r="O21" s="469" t="s"/>
      <c r="P21" s="469" t="s"/>
      <c r="Q21" s="469" t="s"/>
      <c r="R21" s="469" t="s"/>
      <c r="S21" s="469" t="s"/>
      <c r="T21" s="469" t="s"/>
      <c r="U21" s="41" t="s"/>
      <c r="V21" s="41" t="s"/>
      <c r="W21" s="16" t="s"/>
      <c r="X21" s="42" t="s"/>
      <c r="Y21" s="41" t="s"/>
      <c r="Z21" s="41" t="s"/>
      <c r="AA21" s="42" t="s"/>
      <c r="AB21" s="42" t="s"/>
      <c r="AC21" s="41" t="s"/>
      <c r="AD21" s="41" t="s"/>
      <c r="AE21" s="9" t="s"/>
      <c r="AF21" s="9" t="s"/>
      <c r="AG21" s="41" t="s"/>
      <c r="AH21" s="41" t="s"/>
      <c r="AI21" s="42" t="s"/>
      <c r="AJ21" s="42" t="s"/>
    </row>
    <row r="22" spans="1:36" customHeight="false">
      <c r="A22" s="16" t="s"/>
      <c r="B22" s="42" t="s"/>
      <c r="C22" s="42" t="s"/>
      <c r="D22" s="42" t="s"/>
      <c r="E22" s="16" t="s"/>
      <c r="F22" s="16" t="s"/>
      <c r="G22" s="16" t="s"/>
      <c r="H22" s="91" t="s"/>
      <c r="I22" s="59" t="s"/>
      <c r="J22" s="37" t="s"/>
      <c r="K22" s="37" t="s"/>
      <c r="L22" s="37" t="s"/>
      <c r="M22" s="469" t="s"/>
      <c r="N22" s="469" t="s"/>
      <c r="O22" s="469" t="s"/>
      <c r="P22" s="469" t="s"/>
      <c r="Q22" s="469" t="s"/>
      <c r="R22" s="469" t="s"/>
      <c r="S22" s="469" t="s"/>
      <c r="T22" s="469" t="s"/>
      <c r="U22" s="41" t="s"/>
      <c r="V22" s="41" t="s"/>
      <c r="W22" s="16" t="s"/>
      <c r="X22" s="42" t="s"/>
      <c r="Y22" s="41" t="s"/>
      <c r="Z22" s="41" t="s"/>
      <c r="AA22" s="42" t="s"/>
      <c r="AB22" s="42" t="s"/>
      <c r="AC22" s="41" t="s"/>
      <c r="AD22" s="41" t="s"/>
      <c r="AE22" s="9" t="s"/>
      <c r="AF22" s="9" t="s"/>
      <c r="AG22" s="41" t="s"/>
      <c r="AH22" s="41" t="s"/>
      <c r="AI22" s="42" t="s"/>
      <c r="AJ22" s="42" t="s"/>
    </row>
    <row r="23" spans="1:36" customHeight="false">
      <c r="A23" s="16" t="s"/>
      <c r="B23" s="42" t="s"/>
      <c r="C23" s="42" t="s"/>
      <c r="D23" s="42" t="s"/>
      <c r="E23" s="16" t="s"/>
      <c r="F23" s="16" t="s"/>
      <c r="G23" s="16" t="s"/>
      <c r="H23" s="91" t="s"/>
      <c r="I23" s="59" t="s"/>
      <c r="J23" s="37" t="s"/>
      <c r="K23" s="37" t="s"/>
      <c r="L23" s="37" t="s"/>
      <c r="M23" s="469" t="s"/>
      <c r="N23" s="469" t="s"/>
      <c r="O23" s="469" t="s"/>
      <c r="P23" s="469" t="s"/>
      <c r="Q23" s="469" t="s"/>
      <c r="R23" s="469" t="s"/>
      <c r="S23" s="469" t="s"/>
      <c r="T23" s="469" t="s"/>
      <c r="U23" s="41" t="s"/>
      <c r="V23" s="41" t="s"/>
      <c r="W23" s="16" t="s"/>
      <c r="X23" s="42" t="s"/>
      <c r="Y23" s="41" t="s"/>
      <c r="Z23" s="41" t="s"/>
      <c r="AA23" s="42" t="s"/>
      <c r="AB23" s="42" t="s"/>
      <c r="AC23" s="41" t="s"/>
      <c r="AD23" s="41" t="s"/>
      <c r="AE23" s="9" t="s"/>
      <c r="AF23" s="9" t="s"/>
      <c r="AG23" s="41" t="s"/>
      <c r="AH23" s="41" t="s"/>
      <c r="AI23" s="42" t="s"/>
      <c r="AJ23" s="42" t="s"/>
    </row>
    <row r="24" spans="1:36" customHeight="false">
      <c r="A24" s="16" t="s"/>
      <c r="B24" s="42" t="s"/>
      <c r="C24" s="42" t="s"/>
      <c r="D24" s="42" t="s"/>
      <c r="E24" s="16" t="s"/>
      <c r="F24" s="16" t="s"/>
      <c r="G24" s="16" t="s"/>
      <c r="H24" s="91" t="s"/>
      <c r="I24" s="59" t="s"/>
      <c r="J24" s="37" t="s"/>
      <c r="K24" s="37" t="s"/>
      <c r="L24" s="37" t="s"/>
      <c r="M24" s="469" t="s"/>
      <c r="N24" s="469" t="s"/>
      <c r="O24" s="469" t="s"/>
      <c r="P24" s="469" t="s"/>
      <c r="Q24" s="469" t="s"/>
      <c r="R24" s="469" t="s"/>
      <c r="S24" s="469" t="s"/>
      <c r="T24" s="469" t="s"/>
      <c r="U24" s="41" t="s"/>
      <c r="V24" s="41" t="s"/>
      <c r="W24" s="16" t="s"/>
      <c r="X24" s="42" t="s"/>
      <c r="Y24" s="41" t="s"/>
      <c r="Z24" s="41" t="s"/>
      <c r="AA24" s="42" t="s"/>
      <c r="AB24" s="42" t="s"/>
      <c r="AC24" s="41" t="s"/>
      <c r="AD24" s="41" t="s"/>
      <c r="AE24" s="9" t="s"/>
      <c r="AF24" s="9" t="s"/>
      <c r="AG24" s="41" t="s"/>
      <c r="AH24" s="41" t="s"/>
      <c r="AI24" s="42" t="s"/>
      <c r="AJ24" s="42" t="s"/>
    </row>
    <row r="25" spans="1:36" customHeight="false">
      <c r="A25" s="16" t="s"/>
      <c r="B25" s="42" t="s"/>
      <c r="C25" s="42" t="s"/>
      <c r="D25" s="42" t="s"/>
      <c r="E25" s="16" t="s"/>
      <c r="F25" s="16" t="s"/>
      <c r="G25" s="16" t="s"/>
      <c r="H25" s="91" t="s"/>
      <c r="I25" s="59" t="s"/>
      <c r="J25" s="37" t="s"/>
      <c r="K25" s="37" t="s"/>
      <c r="L25" s="37" t="s"/>
      <c r="M25" s="469" t="s"/>
      <c r="N25" s="469" t="s"/>
      <c r="O25" s="469" t="s"/>
      <c r="P25" s="469" t="s"/>
      <c r="Q25" s="469" t="s"/>
      <c r="R25" s="469" t="s"/>
      <c r="S25" s="469" t="s"/>
      <c r="T25" s="469" t="s"/>
      <c r="U25" s="41" t="s"/>
      <c r="V25" s="41" t="s"/>
      <c r="W25" s="16" t="s"/>
      <c r="X25" s="42" t="s"/>
      <c r="Y25" s="41" t="s"/>
      <c r="Z25" s="41" t="s"/>
      <c r="AA25" s="42" t="s"/>
      <c r="AB25" s="42" t="s"/>
      <c r="AC25" s="41" t="s"/>
      <c r="AD25" s="41" t="s"/>
      <c r="AE25" s="9" t="s"/>
      <c r="AF25" s="9" t="s"/>
      <c r="AG25" s="41" t="s"/>
      <c r="AH25" s="41" t="s"/>
      <c r="AI25" s="42" t="s"/>
      <c r="AJ25" s="42" t="s"/>
    </row>
    <row r="26" spans="1:36" customHeight="false">
      <c r="A26" s="16" t="s"/>
      <c r="B26" s="42" t="s"/>
      <c r="C26" s="42" t="s"/>
      <c r="D26" s="42" t="s"/>
      <c r="E26" s="16" t="s"/>
      <c r="F26" s="16" t="s"/>
      <c r="G26" s="16" t="s"/>
      <c r="H26" s="91" t="s"/>
      <c r="I26" s="59" t="s"/>
      <c r="J26" s="37" t="s"/>
      <c r="K26" s="37" t="s"/>
      <c r="L26" s="37" t="s"/>
      <c r="M26" s="469" t="s"/>
      <c r="N26" s="469" t="s"/>
      <c r="O26" s="469" t="s"/>
      <c r="P26" s="469" t="s"/>
      <c r="Q26" s="469" t="s"/>
      <c r="R26" s="469" t="s"/>
      <c r="S26" s="469" t="s"/>
      <c r="T26" s="469" t="s"/>
      <c r="U26" s="41" t="s"/>
      <c r="V26" s="41" t="s"/>
      <c r="W26" s="16" t="s"/>
      <c r="X26" s="42" t="s"/>
      <c r="Y26" s="41" t="s"/>
      <c r="Z26" s="41" t="s"/>
      <c r="AA26" s="42" t="s"/>
      <c r="AB26" s="42" t="s"/>
      <c r="AC26" s="41" t="s"/>
      <c r="AD26" s="41" t="s"/>
      <c r="AE26" s="9" t="s"/>
      <c r="AF26" s="9" t="s"/>
      <c r="AG26" s="41" t="s"/>
      <c r="AH26" s="41" t="s"/>
      <c r="AI26" s="42" t="s"/>
      <c r="AJ26" s="42" t="s"/>
    </row>
    <row r="27" spans="1:36" customHeight="false">
      <c r="A27" s="16" t="s"/>
      <c r="B27" s="42" t="s"/>
      <c r="C27" s="42" t="s"/>
      <c r="D27" s="42" t="s"/>
      <c r="E27" s="16" t="s"/>
      <c r="F27" s="16" t="s"/>
      <c r="G27" s="16" t="s"/>
      <c r="H27" s="91" t="s"/>
      <c r="I27" s="59" t="s"/>
      <c r="J27" s="37" t="s"/>
      <c r="K27" s="37" t="s"/>
      <c r="L27" s="37" t="s"/>
      <c r="M27" s="469" t="s"/>
      <c r="N27" s="469" t="s"/>
      <c r="O27" s="469" t="s"/>
      <c r="P27" s="469" t="s"/>
      <c r="Q27" s="469" t="s"/>
      <c r="R27" s="469" t="s"/>
      <c r="S27" s="469" t="s"/>
      <c r="T27" s="469" t="s"/>
      <c r="U27" s="41" t="s"/>
      <c r="V27" s="41" t="s"/>
      <c r="W27" s="16" t="s"/>
      <c r="X27" s="42" t="s"/>
      <c r="Y27" s="41" t="s"/>
      <c r="Z27" s="41" t="s"/>
      <c r="AA27" s="42" t="s"/>
      <c r="AB27" s="42" t="s"/>
      <c r="AC27" s="41" t="s"/>
      <c r="AD27" s="41" t="s"/>
      <c r="AE27" s="9" t="s"/>
      <c r="AF27" s="9" t="s"/>
      <c r="AG27" s="41" t="s"/>
      <c r="AH27" s="41" t="s"/>
      <c r="AI27" s="42" t="s"/>
      <c r="AJ27" s="42" t="s"/>
    </row>
    <row r="28" spans="1:36" customHeight="false">
      <c r="A28" s="16" t="s"/>
      <c r="B28" s="42" t="s"/>
      <c r="C28" s="42" t="s"/>
      <c r="D28" s="250" t="s"/>
      <c r="E28" s="16" t="s"/>
      <c r="F28" s="16" t="s"/>
      <c r="G28" s="16" t="s"/>
      <c r="H28" s="91" t="s"/>
      <c r="I28" s="59" t="s"/>
      <c r="J28" s="37" t="s"/>
      <c r="K28" s="37" t="s"/>
      <c r="L28" s="37" t="s"/>
      <c r="M28" s="469" t="s"/>
      <c r="N28" s="469" t="s"/>
      <c r="O28" s="469" t="s"/>
      <c r="P28" s="469" t="s"/>
      <c r="Q28" s="469" t="s"/>
      <c r="R28" s="469" t="s"/>
      <c r="S28" s="469" t="s"/>
      <c r="T28" s="469" t="s"/>
      <c r="U28" s="41" t="s"/>
      <c r="V28" s="41" t="s"/>
      <c r="W28" s="42" t="s"/>
      <c r="X28" s="42" t="s"/>
      <c r="Y28" s="41" t="s"/>
      <c r="Z28" s="41" t="s"/>
      <c r="AA28" s="41" t="s"/>
      <c r="AB28" s="41" t="s"/>
      <c r="AC28" s="41" t="s"/>
      <c r="AD28" s="41" t="s"/>
      <c r="AE28" s="9" t="s"/>
      <c r="AF28" s="9" t="s"/>
      <c r="AG28" s="41" t="s"/>
      <c r="AH28" s="41" t="s"/>
      <c r="AI28" s="42" t="s"/>
      <c r="AJ28" s="42" t="s"/>
    </row>
    <row r="29" spans="1:36" customHeight="false">
      <c r="A29" s="16" t="s"/>
      <c r="B29" s="42" t="s"/>
      <c r="C29" s="42" t="s"/>
      <c r="D29" s="42" t="s"/>
      <c r="E29" s="16" t="s"/>
      <c r="F29" s="16" t="s"/>
      <c r="G29" s="16" t="s"/>
      <c r="H29" s="91" t="s"/>
      <c r="I29" s="16" t="s"/>
      <c r="J29" s="80" t="s"/>
      <c r="K29" s="80" t="s"/>
      <c r="L29" s="80" t="s"/>
      <c r="M29" s="41" t="s"/>
      <c r="N29" s="41" t="s"/>
      <c r="O29" s="41" t="s"/>
      <c r="P29" s="41" t="s"/>
      <c r="Q29" s="41" t="s"/>
      <c r="R29" s="41" t="s"/>
      <c r="S29" s="41" t="s"/>
      <c r="T29" s="41" t="s"/>
      <c r="U29" s="41" t="s"/>
      <c r="V29" s="41" t="s"/>
      <c r="W29" s="16" t="s"/>
      <c r="X29" s="16" t="s"/>
      <c r="Y29" s="41" t="s"/>
      <c r="Z29" s="41" t="s"/>
      <c r="AA29" s="16" t="s"/>
      <c r="AB29" s="16" t="s"/>
      <c r="AC29" s="41" t="s"/>
      <c r="AD29" s="41" t="s"/>
      <c r="AE29" s="9" t="s"/>
      <c r="AF29" s="9" t="s"/>
      <c r="AG29" s="41" t="s"/>
      <c r="AH29" s="41" t="s"/>
      <c r="AI29" s="42" t="s"/>
      <c r="AJ29" s="42" t="s"/>
    </row>
    <row r="30" spans="1:36" customHeight="false">
      <c r="A30" s="16" t="s"/>
      <c r="B30" s="42" t="s"/>
      <c r="C30" s="42" t="s"/>
      <c r="D30" s="42" t="s"/>
      <c r="E30" s="16" t="s"/>
      <c r="F30" s="16" t="s"/>
      <c r="G30" s="16" t="s"/>
      <c r="H30" s="91" t="s"/>
      <c r="I30" s="59" t="s"/>
      <c r="J30" s="37" t="s"/>
      <c r="K30" s="37" t="s"/>
      <c r="L30" s="37" t="s"/>
      <c r="M30" s="469" t="s"/>
      <c r="N30" s="469" t="s"/>
      <c r="O30" s="469" t="s"/>
      <c r="P30" s="469" t="s"/>
      <c r="Q30" s="469" t="s"/>
      <c r="R30" s="469" t="s"/>
      <c r="S30" s="469" t="s"/>
      <c r="T30" s="469" t="s"/>
      <c r="U30" s="41" t="s"/>
      <c r="V30" s="41" t="s"/>
      <c r="W30" s="16" t="s"/>
      <c r="X30" s="42" t="s"/>
      <c r="Y30" s="41" t="s"/>
      <c r="Z30" s="41" t="s"/>
      <c r="AA30" s="16" t="s"/>
      <c r="AB30" s="16" t="s"/>
      <c r="AC30" s="41" t="s"/>
      <c r="AD30" s="41" t="s"/>
      <c r="AE30" s="9" t="s"/>
      <c r="AF30" s="9" t="s"/>
      <c r="AG30" s="41" t="s"/>
      <c r="AH30" s="41" t="s"/>
      <c r="AI30" s="42" t="s"/>
      <c r="AJ30" s="42" t="s"/>
    </row>
    <row r="31" spans="1:36" customHeight="false">
      <c r="A31" s="16" t="s"/>
      <c r="B31" s="42" t="s"/>
      <c r="C31" s="42" t="s"/>
      <c r="D31" s="250" t="s"/>
      <c r="E31" s="16" t="s"/>
      <c r="F31" s="16" t="s"/>
      <c r="G31" s="16" t="s"/>
      <c r="H31" s="91" t="s"/>
      <c r="I31" s="59" t="s"/>
      <c r="J31" s="37" t="s"/>
      <c r="K31" s="37" t="s"/>
      <c r="L31" s="37" t="s"/>
      <c r="M31" s="469" t="s"/>
      <c r="N31" s="469" t="s"/>
      <c r="O31" s="469" t="s"/>
      <c r="P31" s="469" t="s"/>
      <c r="Q31" s="469" t="s"/>
      <c r="R31" s="469" t="s"/>
      <c r="S31" s="469" t="s"/>
      <c r="T31" s="469" t="s"/>
      <c r="U31" s="41" t="s"/>
      <c r="V31" s="41" t="s"/>
      <c r="W31" s="42" t="s"/>
      <c r="X31" s="42" t="s"/>
      <c r="Y31" s="41" t="s"/>
      <c r="Z31" s="41" t="s"/>
      <c r="AA31" s="41" t="s"/>
      <c r="AB31" s="41" t="s"/>
      <c r="AC31" s="41" t="s"/>
      <c r="AD31" s="41" t="s"/>
      <c r="AE31" s="9" t="s"/>
      <c r="AF31" s="9" t="s"/>
      <c r="AG31" s="41" t="s"/>
      <c r="AH31" s="41" t="s"/>
      <c r="AI31" s="42" t="s"/>
      <c r="AJ31" s="42" t="s"/>
    </row>
    <row r="32" spans="1:36" customHeight="false">
      <c r="A32" s="16" t="s"/>
      <c r="B32" s="42" t="s"/>
      <c r="C32" s="42" t="s"/>
      <c r="D32" s="42" t="s"/>
      <c r="E32" s="16" t="s"/>
      <c r="F32" s="16" t="s"/>
      <c r="G32" s="16" t="s"/>
      <c r="H32" s="91" t="s"/>
      <c r="I32" s="59" t="s"/>
      <c r="J32" s="37" t="s"/>
      <c r="K32" s="37" t="s"/>
      <c r="L32" s="37" t="s"/>
      <c r="M32" s="469" t="s"/>
      <c r="N32" s="469" t="s"/>
      <c r="O32" s="469" t="s"/>
      <c r="P32" s="469" t="s"/>
      <c r="Q32" s="469" t="s"/>
      <c r="R32" s="469" t="s"/>
      <c r="S32" s="469" t="s"/>
      <c r="T32" s="469" t="s"/>
      <c r="U32" s="41" t="s"/>
      <c r="V32" s="41" t="s"/>
      <c r="W32" s="59" t="s"/>
      <c r="X32" s="42" t="s"/>
      <c r="Y32" s="41" t="s"/>
      <c r="Z32" s="41" t="s"/>
      <c r="AA32" s="16" t="s"/>
      <c r="AB32" s="16" t="s"/>
      <c r="AC32" s="41" t="s"/>
      <c r="AD32" s="41" t="s"/>
      <c r="AE32" s="9" t="s"/>
      <c r="AF32" s="9" t="s"/>
      <c r="AG32" s="41" t="s"/>
      <c r="AH32" s="41" t="s"/>
      <c r="AI32" s="42" t="s"/>
      <c r="AJ32" s="42" t="s"/>
    </row>
    <row r="33" spans="1:36" customHeight="false">
      <c r="A33" s="16" t="s"/>
      <c r="B33" s="42" t="s"/>
      <c r="C33" s="42" t="s"/>
      <c r="D33" s="42" t="s"/>
      <c r="E33" s="16" t="s"/>
      <c r="F33" s="16" t="s"/>
      <c r="G33" s="16" t="s"/>
      <c r="H33" s="91" t="s"/>
      <c r="I33" s="59" t="s"/>
      <c r="J33" s="37" t="s"/>
      <c r="K33" s="37" t="s"/>
      <c r="L33" s="37" t="s"/>
      <c r="M33" s="469" t="s"/>
      <c r="N33" s="469" t="s"/>
      <c r="O33" s="469" t="s"/>
      <c r="P33" s="469" t="s"/>
      <c r="Q33" s="469" t="s"/>
      <c r="R33" s="469" t="s"/>
      <c r="S33" s="469" t="s"/>
      <c r="T33" s="469" t="s"/>
      <c r="U33" s="41" t="s"/>
      <c r="V33" s="41" t="s"/>
      <c r="W33" s="59" t="s"/>
      <c r="X33" s="42" t="s"/>
      <c r="Y33" s="41" t="s"/>
      <c r="Z33" s="41" t="s"/>
      <c r="AA33" s="16" t="s"/>
      <c r="AB33" s="16" t="s"/>
      <c r="AC33" s="41" t="s"/>
      <c r="AD33" s="41" t="s"/>
      <c r="AE33" s="9" t="s"/>
      <c r="AF33" s="9" t="s"/>
      <c r="AG33" s="41" t="s"/>
      <c r="AH33" s="41" t="s"/>
      <c r="AI33" s="42" t="s"/>
      <c r="AJ33" s="42" t="s"/>
    </row>
    <row r="34" spans="1:36" customHeight="false">
      <c r="A34" s="16" t="s"/>
      <c r="B34" s="42" t="s"/>
      <c r="C34" s="42" t="s"/>
      <c r="D34" s="42" t="s"/>
      <c r="E34" s="16" t="s"/>
      <c r="F34" s="16" t="s"/>
      <c r="G34" s="16" t="s"/>
      <c r="H34" s="91" t="s"/>
      <c r="I34" s="59" t="s"/>
      <c r="J34" s="37" t="s"/>
      <c r="K34" s="37" t="s"/>
      <c r="L34" s="37" t="s"/>
      <c r="M34" s="469" t="s"/>
      <c r="N34" s="469" t="s"/>
      <c r="O34" s="469" t="s"/>
      <c r="P34" s="469" t="s"/>
      <c r="Q34" s="469" t="s"/>
      <c r="R34" s="469" t="s"/>
      <c r="S34" s="469" t="s"/>
      <c r="T34" s="469" t="s"/>
      <c r="U34" s="41" t="s"/>
      <c r="V34" s="41" t="s"/>
      <c r="W34" s="59" t="s"/>
      <c r="X34" s="42" t="s"/>
      <c r="Y34" s="41" t="s"/>
      <c r="Z34" s="41" t="s"/>
      <c r="AA34" s="16" t="s"/>
      <c r="AB34" s="16" t="s"/>
      <c r="AC34" s="41" t="s"/>
      <c r="AD34" s="41" t="s"/>
      <c r="AE34" s="9" t="s"/>
      <c r="AF34" s="9" t="s"/>
      <c r="AG34" s="41" t="s"/>
      <c r="AH34" s="41" t="s"/>
      <c r="AI34" s="42" t="s"/>
      <c r="AJ34" s="42" t="s"/>
    </row>
    <row r="35" spans="1:36" customHeight="false">
      <c r="A35" s="16" t="s"/>
      <c r="B35" s="42" t="s"/>
      <c r="C35" s="42" t="s"/>
      <c r="D35" s="42" t="s"/>
      <c r="E35" s="16" t="s"/>
      <c r="F35" s="16" t="s"/>
      <c r="G35" s="16" t="s"/>
      <c r="H35" s="91" t="s"/>
      <c r="I35" s="16" t="s"/>
      <c r="J35" s="80" t="s"/>
      <c r="K35" s="80" t="s"/>
      <c r="L35" s="80" t="s"/>
      <c r="M35" s="41" t="s"/>
      <c r="N35" s="41" t="s"/>
      <c r="O35" s="41" t="s"/>
      <c r="P35" s="41" t="s"/>
      <c r="Q35" s="41" t="s"/>
      <c r="R35" s="41" t="s"/>
      <c r="S35" s="41" t="s"/>
      <c r="T35" s="41" t="s"/>
      <c r="U35" s="41" t="s"/>
      <c r="V35" s="41" t="s"/>
      <c r="W35" s="59" t="s"/>
      <c r="X35" s="42" t="s"/>
      <c r="Y35" s="41" t="s"/>
      <c r="Z35" s="41" t="s"/>
      <c r="AA35" s="16" t="s"/>
      <c r="AB35" s="16" t="s"/>
      <c r="AC35" s="41" t="s"/>
      <c r="AD35" s="41" t="s"/>
      <c r="AE35" s="9" t="s"/>
      <c r="AF35" s="9" t="s"/>
      <c r="AG35" s="41" t="s"/>
      <c r="AH35" s="41" t="s"/>
      <c r="AI35" s="42" t="s"/>
      <c r="AJ35" s="42" t="s"/>
    </row>
    <row r="36" spans="1:36" customHeight="false">
      <c r="A36" s="16" t="s"/>
      <c r="B36" s="42" t="s"/>
      <c r="C36" s="42" t="s"/>
      <c r="D36" s="42" t="s"/>
      <c r="E36" s="16" t="s"/>
      <c r="F36" s="16" t="s"/>
      <c r="G36" s="16" t="s"/>
      <c r="H36" s="91" t="s"/>
      <c r="I36" s="16" t="s"/>
      <c r="J36" s="80" t="s"/>
      <c r="K36" s="80" t="s"/>
      <c r="L36" s="80" t="s"/>
      <c r="M36" s="41" t="s"/>
      <c r="N36" s="41" t="s"/>
      <c r="O36" s="41" t="s"/>
      <c r="P36" s="41" t="s"/>
      <c r="Q36" s="41" t="s"/>
      <c r="R36" s="41" t="s"/>
      <c r="S36" s="41" t="s"/>
      <c r="T36" s="41" t="s"/>
      <c r="U36" s="41" t="s"/>
      <c r="V36" s="41" t="s"/>
      <c r="W36" s="59" t="s"/>
      <c r="X36" s="42" t="s"/>
      <c r="Y36" s="41" t="s"/>
      <c r="Z36" s="41" t="s"/>
      <c r="AA36" s="16" t="s"/>
      <c r="AB36" s="16" t="s"/>
      <c r="AC36" s="41" t="s"/>
      <c r="AD36" s="41" t="s"/>
      <c r="AE36" s="9" t="s"/>
      <c r="AF36" s="9" t="s"/>
      <c r="AG36" s="41" t="s"/>
      <c r="AH36" s="41" t="s"/>
      <c r="AI36" s="42" t="s"/>
      <c r="AJ36" s="42" t="s"/>
    </row>
    <row r="37" spans="1:36" customHeight="false">
      <c r="A37" s="16" t="s"/>
      <c r="B37" s="42" t="s"/>
      <c r="C37" s="42" t="s"/>
      <c r="D37" s="42" t="s"/>
      <c r="E37" s="16" t="s"/>
      <c r="F37" s="16" t="s"/>
      <c r="G37" s="16" t="s"/>
      <c r="H37" s="91" t="s"/>
      <c r="I37" s="16" t="s"/>
      <c r="J37" s="80" t="s"/>
      <c r="K37" s="80" t="s"/>
      <c r="L37" s="80" t="s"/>
      <c r="M37" s="41" t="s"/>
      <c r="N37" s="41" t="s"/>
      <c r="O37" s="41" t="s"/>
      <c r="P37" s="41" t="s"/>
      <c r="Q37" s="41" t="s"/>
      <c r="R37" s="41" t="s"/>
      <c r="S37" s="41" t="s"/>
      <c r="T37" s="41" t="s"/>
      <c r="U37" s="41" t="s"/>
      <c r="V37" s="41" t="s"/>
      <c r="W37" s="59" t="s"/>
      <c r="X37" s="42" t="s"/>
      <c r="Y37" s="41" t="s"/>
      <c r="Z37" s="41" t="s"/>
      <c r="AA37" s="16" t="s"/>
      <c r="AB37" s="16" t="s"/>
      <c r="AC37" s="41" t="s"/>
      <c r="AD37" s="41" t="s"/>
      <c r="AE37" s="9" t="s"/>
      <c r="AF37" s="9" t="s"/>
      <c r="AG37" s="41" t="s"/>
      <c r="AH37" s="41" t="s"/>
      <c r="AI37" s="42" t="s"/>
      <c r="AJ37" s="42" t="s"/>
    </row>
    <row r="38" spans="1:36" customHeight="false">
      <c r="A38" s="16" t="s"/>
      <c r="B38" s="42" t="s"/>
      <c r="C38" s="42" t="s"/>
      <c r="D38" s="42" t="s"/>
      <c r="E38" s="16" t="s"/>
      <c r="F38" s="16" t="s"/>
      <c r="G38" s="16" t="s"/>
      <c r="H38" s="91" t="s"/>
      <c r="I38" s="16" t="s"/>
      <c r="J38" s="80" t="s"/>
      <c r="K38" s="80" t="s"/>
      <c r="L38" s="80" t="s"/>
      <c r="M38" s="41" t="s"/>
      <c r="N38" s="41" t="s"/>
      <c r="O38" s="41" t="s"/>
      <c r="P38" s="41" t="s"/>
      <c r="Q38" s="41" t="s"/>
      <c r="R38" s="41" t="s"/>
      <c r="S38" s="41" t="s"/>
      <c r="T38" s="41" t="s"/>
      <c r="U38" s="41" t="s"/>
      <c r="V38" s="41" t="s"/>
      <c r="W38" s="59" t="s"/>
      <c r="X38" s="42" t="s"/>
      <c r="Y38" s="41" t="s"/>
      <c r="Z38" s="41" t="s"/>
      <c r="AA38" s="16" t="s"/>
      <c r="AB38" s="16" t="s"/>
      <c r="AC38" s="41" t="s"/>
      <c r="AD38" s="41" t="s"/>
      <c r="AE38" s="9" t="s"/>
      <c r="AF38" s="9" t="s"/>
      <c r="AG38" s="41" t="s"/>
      <c r="AH38" s="41" t="s"/>
      <c r="AI38" s="42" t="s"/>
      <c r="AJ38" s="42" t="s"/>
    </row>
    <row r="39" spans="1:36" customHeight="false">
      <c r="A39" s="16" t="s"/>
      <c r="B39" s="42" t="s"/>
      <c r="C39" s="42" t="s"/>
      <c r="D39" s="42" t="s"/>
      <c r="E39" s="16" t="s"/>
      <c r="F39" s="16" t="s"/>
      <c r="G39" s="16" t="s"/>
      <c r="H39" s="91" t="s"/>
      <c r="I39" s="16" t="s"/>
      <c r="J39" s="80" t="s"/>
      <c r="K39" s="80" t="s"/>
      <c r="L39" s="80" t="s"/>
      <c r="M39" s="41" t="s"/>
      <c r="N39" s="41" t="s"/>
      <c r="O39" s="41" t="s"/>
      <c r="P39" s="41" t="s"/>
      <c r="Q39" s="41" t="s"/>
      <c r="R39" s="41" t="s"/>
      <c r="S39" s="41" t="s"/>
      <c r="T39" s="41" t="s"/>
      <c r="U39" s="41" t="s"/>
      <c r="V39" s="41" t="s"/>
      <c r="W39" s="59" t="s"/>
      <c r="X39" s="42" t="s"/>
      <c r="Y39" s="41" t="s"/>
      <c r="Z39" s="41" t="s"/>
      <c r="AA39" s="16" t="s"/>
      <c r="AB39" s="16" t="s"/>
      <c r="AC39" s="41" t="s"/>
      <c r="AD39" s="41" t="s"/>
      <c r="AE39" s="9" t="s"/>
      <c r="AF39" s="9" t="s"/>
      <c r="AG39" s="41" t="s"/>
      <c r="AH39" s="41" t="s"/>
      <c r="AI39" s="42" t="s"/>
      <c r="AJ39" s="42" t="s"/>
    </row>
    <row r="40" spans="1:36" customHeight="false">
      <c r="A40" s="16" t="s"/>
      <c r="B40" s="42" t="s"/>
      <c r="C40" s="42" t="s"/>
      <c r="D40" s="42" t="s"/>
      <c r="E40" s="16" t="s"/>
      <c r="F40" s="16" t="s"/>
      <c r="G40" s="16" t="s"/>
      <c r="H40" s="91" t="s"/>
      <c r="I40" s="16" t="s"/>
      <c r="J40" s="80" t="s"/>
      <c r="K40" s="80" t="s"/>
      <c r="L40" s="80" t="s"/>
      <c r="M40" s="41" t="s"/>
      <c r="N40" s="41" t="s"/>
      <c r="O40" s="41" t="s"/>
      <c r="P40" s="41" t="s"/>
      <c r="Q40" s="41" t="s"/>
      <c r="R40" s="41" t="s"/>
      <c r="S40" s="41" t="s"/>
      <c r="T40" s="41" t="s"/>
      <c r="U40" s="41" t="s"/>
      <c r="V40" s="41" t="s"/>
      <c r="W40" s="59" t="s"/>
      <c r="X40" s="42" t="s"/>
      <c r="Y40" s="41" t="s"/>
      <c r="Z40" s="41" t="s"/>
      <c r="AA40" s="16" t="s"/>
      <c r="AB40" s="16" t="s"/>
      <c r="AC40" s="41" t="s"/>
      <c r="AD40" s="41" t="s"/>
      <c r="AE40" s="9" t="s"/>
      <c r="AF40" s="9" t="s"/>
      <c r="AG40" s="41" t="s"/>
      <c r="AH40" s="41" t="s"/>
      <c r="AI40" s="42" t="s"/>
      <c r="AJ40" s="42" t="s"/>
    </row>
    <row r="41" spans="1:36" customHeight="false">
      <c r="A41" s="16" t="s"/>
      <c r="B41" s="42" t="s"/>
      <c r="C41" s="42" t="s"/>
      <c r="D41" s="42" t="s"/>
      <c r="E41" s="16" t="s"/>
      <c r="F41" s="16" t="s"/>
      <c r="G41" s="16" t="s"/>
      <c r="H41" s="91" t="s"/>
      <c r="I41" s="16" t="s"/>
      <c r="J41" s="80" t="s"/>
      <c r="K41" s="80" t="s"/>
      <c r="L41" s="80" t="s"/>
      <c r="M41" s="41" t="s"/>
      <c r="N41" s="41" t="s"/>
      <c r="O41" s="41" t="s"/>
      <c r="P41" s="41" t="s"/>
      <c r="Q41" s="41" t="s"/>
      <c r="R41" s="41" t="s"/>
      <c r="S41" s="41" t="s"/>
      <c r="T41" s="41" t="s"/>
      <c r="U41" s="41" t="s"/>
      <c r="V41" s="41" t="s"/>
      <c r="W41" s="59" t="s"/>
      <c r="X41" s="42" t="s"/>
      <c r="Y41" s="41" t="s"/>
      <c r="Z41" s="41" t="s"/>
      <c r="AA41" s="16" t="s"/>
      <c r="AB41" s="16" t="s"/>
      <c r="AC41" s="41" t="s"/>
      <c r="AD41" s="41" t="s"/>
      <c r="AE41" s="9" t="s"/>
      <c r="AF41" s="9" t="s"/>
      <c r="AG41" s="41" t="s"/>
      <c r="AH41" s="41" t="s"/>
      <c r="AI41" s="42" t="s"/>
      <c r="AJ41" s="42" t="s"/>
    </row>
    <row r="42" spans="1:36" customHeight="false">
      <c r="A42" s="16" t="s"/>
      <c r="B42" s="42" t="s"/>
      <c r="C42" s="42" t="s"/>
      <c r="D42" s="250" t="s"/>
      <c r="E42" s="16" t="s"/>
      <c r="F42" s="16" t="s"/>
      <c r="G42" s="16" t="s"/>
      <c r="H42" s="91" t="s"/>
      <c r="I42" s="59" t="s"/>
      <c r="J42" s="37" t="s"/>
      <c r="K42" s="37" t="s"/>
      <c r="L42" s="37" t="s"/>
      <c r="M42" s="469" t="s"/>
      <c r="N42" s="469" t="s"/>
      <c r="O42" s="469" t="s"/>
      <c r="P42" s="469" t="s"/>
      <c r="Q42" s="469" t="s"/>
      <c r="R42" s="469" t="s"/>
      <c r="S42" s="469" t="s"/>
      <c r="T42" s="469" t="s"/>
      <c r="U42" s="41" t="s"/>
      <c r="V42" s="41" t="s"/>
      <c r="W42" s="42" t="s"/>
      <c r="X42" s="42" t="s"/>
      <c r="Y42" s="41" t="s"/>
      <c r="Z42" s="41" t="s"/>
      <c r="AA42" s="41" t="s"/>
      <c r="AB42" s="41" t="s"/>
      <c r="AC42" s="41" t="s"/>
      <c r="AD42" s="41" t="s"/>
      <c r="AE42" s="9" t="s"/>
      <c r="AF42" s="9" t="s"/>
      <c r="AG42" s="41" t="s"/>
      <c r="AH42" s="41" t="s"/>
      <c r="AI42" s="42" t="s"/>
      <c r="AJ42" s="42" t="s"/>
    </row>
    <row r="43" spans="1:36" customHeight="false">
      <c r="A43" s="16" t="s"/>
      <c r="B43" s="42" t="s"/>
      <c r="C43" s="42" t="s"/>
      <c r="D43" s="42" t="s"/>
      <c r="E43" s="16" t="s"/>
      <c r="F43" s="16" t="s"/>
      <c r="G43" s="16" t="s"/>
      <c r="H43" s="91" t="s"/>
      <c r="I43" s="16" t="s"/>
      <c r="J43" s="80" t="s"/>
      <c r="K43" s="80" t="s"/>
      <c r="L43" s="80" t="s"/>
      <c r="M43" s="41" t="s"/>
      <c r="N43" s="41" t="s"/>
      <c r="O43" s="41" t="s"/>
      <c r="P43" s="41" t="s"/>
      <c r="Q43" s="41" t="s"/>
      <c r="R43" s="41" t="s"/>
      <c r="S43" s="41" t="s"/>
      <c r="T43" s="41" t="s"/>
      <c r="U43" s="41" t="s"/>
      <c r="V43" s="41" t="s"/>
      <c r="W43" s="59" t="s"/>
      <c r="X43" s="42" t="s"/>
      <c r="Y43" s="41" t="s"/>
      <c r="Z43" s="41" t="s"/>
      <c r="AA43" s="16" t="s"/>
      <c r="AB43" s="16" t="s"/>
      <c r="AC43" s="41" t="s"/>
      <c r="AD43" s="41" t="s"/>
      <c r="AE43" s="9" t="s"/>
      <c r="AF43" s="9" t="s"/>
      <c r="AG43" s="41" t="s"/>
      <c r="AH43" s="41" t="s"/>
      <c r="AI43" s="42" t="s"/>
      <c r="AJ43" s="42" t="s"/>
    </row>
    <row r="44" spans="1:36" customHeight="false">
      <c r="A44" s="16" t="s"/>
      <c r="B44" s="42" t="s"/>
      <c r="C44" s="42" t="s"/>
      <c r="D44" s="42" t="s"/>
      <c r="E44" s="16" t="s"/>
      <c r="F44" s="16" t="s"/>
      <c r="G44" s="16" t="s"/>
      <c r="H44" s="91" t="s"/>
      <c r="I44" s="16" t="s"/>
      <c r="J44" s="80" t="s"/>
      <c r="K44" s="80" t="s"/>
      <c r="L44" s="80" t="s"/>
      <c r="M44" s="41" t="s"/>
      <c r="N44" s="41" t="s"/>
      <c r="O44" s="41" t="s"/>
      <c r="P44" s="41" t="s"/>
      <c r="Q44" s="41" t="s"/>
      <c r="R44" s="41" t="s"/>
      <c r="S44" s="41" t="s"/>
      <c r="T44" s="41" t="s"/>
      <c r="U44" s="41" t="s"/>
      <c r="V44" s="41" t="s"/>
      <c r="W44" s="59" t="s"/>
      <c r="X44" s="42" t="s"/>
      <c r="Y44" s="41" t="s"/>
      <c r="Z44" s="41" t="s"/>
      <c r="AA44" s="16" t="s"/>
      <c r="AB44" s="16" t="s"/>
      <c r="AC44" s="41" t="s"/>
      <c r="AD44" s="41" t="s"/>
      <c r="AE44" s="9" t="s"/>
      <c r="AF44" s="9" t="s"/>
      <c r="AG44" s="41" t="s"/>
      <c r="AH44" s="41" t="s"/>
      <c r="AI44" s="42" t="s"/>
      <c r="AJ44" s="42" t="s"/>
    </row>
    <row r="45" spans="1:36" customHeight="false">
      <c r="A45" s="16" t="s"/>
      <c r="B45" s="42" t="s"/>
      <c r="C45" s="42" t="s"/>
      <c r="D45" s="250" t="s"/>
      <c r="E45" s="16" t="s"/>
      <c r="F45" s="16" t="s"/>
      <c r="G45" s="16" t="s"/>
      <c r="H45" s="91" t="s"/>
      <c r="I45" s="59" t="s"/>
      <c r="J45" s="37" t="s"/>
      <c r="K45" s="37" t="s"/>
      <c r="L45" s="37" t="s"/>
      <c r="M45" s="469" t="s"/>
      <c r="N45" s="469" t="s"/>
      <c r="O45" s="469" t="s"/>
      <c r="P45" s="469" t="s"/>
      <c r="Q45" s="469" t="s"/>
      <c r="R45" s="469" t="s"/>
      <c r="S45" s="469" t="s"/>
      <c r="T45" s="469" t="s"/>
      <c r="U45" s="41" t="s"/>
      <c r="V45" s="41" t="s"/>
      <c r="W45" s="42" t="s"/>
      <c r="X45" s="42" t="s"/>
      <c r="Y45" s="41" t="s"/>
      <c r="Z45" s="41" t="s"/>
      <c r="AA45" s="41" t="s"/>
      <c r="AB45" s="41" t="s"/>
      <c r="AC45" s="41" t="s"/>
      <c r="AD45" s="41" t="s"/>
      <c r="AE45" s="9" t="s"/>
      <c r="AF45" s="9" t="s"/>
      <c r="AG45" s="41" t="s"/>
      <c r="AH45" s="41" t="s"/>
      <c r="AI45" s="42" t="s"/>
      <c r="AJ45" s="42" t="s"/>
    </row>
    <row r="46" spans="1:36" customHeight="false">
      <c r="A46" s="16" t="s"/>
      <c r="B46" s="42" t="s"/>
      <c r="C46" s="42" t="s"/>
      <c r="D46" s="250" t="s"/>
      <c r="E46" s="16" t="s"/>
      <c r="F46" s="16" t="s"/>
      <c r="G46" s="16" t="s"/>
      <c r="H46" s="91" t="s"/>
      <c r="I46" s="16" t="s"/>
      <c r="J46" s="80" t="s"/>
      <c r="K46" s="80" t="s"/>
      <c r="L46" s="80" t="s"/>
      <c r="M46" s="41" t="s"/>
      <c r="N46" s="41" t="s"/>
      <c r="O46" s="41" t="s"/>
      <c r="P46" s="41" t="s"/>
      <c r="Q46" s="41" t="s"/>
      <c r="R46" s="41" t="s"/>
      <c r="S46" s="41" t="s"/>
      <c r="T46" s="41" t="s"/>
      <c r="U46" s="41" t="s"/>
      <c r="V46" s="41" t="s"/>
      <c r="W46" s="42" t="s"/>
      <c r="X46" s="42" t="s"/>
      <c r="Y46" s="41" t="s"/>
      <c r="Z46" s="41" t="s"/>
      <c r="AA46" s="41" t="s"/>
      <c r="AB46" s="41" t="s"/>
      <c r="AC46" s="41" t="s"/>
      <c r="AD46" s="41" t="s"/>
      <c r="AE46" s="9" t="s"/>
      <c r="AF46" s="9" t="s"/>
      <c r="AG46" s="41" t="s"/>
      <c r="AH46" s="41" t="s"/>
      <c r="AI46" s="42" t="s"/>
      <c r="AJ46" s="42" t="s"/>
    </row>
    <row r="47" spans="1:36" customHeight="false">
      <c r="A47" s="16" t="s"/>
      <c r="B47" s="42" t="s"/>
      <c r="C47" s="42" t="s"/>
      <c r="D47" s="41" t="s"/>
      <c r="E47" s="16" t="s"/>
      <c r="F47" s="16" t="s"/>
      <c r="G47" s="16" t="s"/>
      <c r="H47" s="91" t="s"/>
      <c r="I47" s="16" t="s"/>
      <c r="J47" s="80" t="s"/>
      <c r="K47" s="80" t="s"/>
      <c r="L47" s="80" t="s"/>
      <c r="M47" s="41" t="s"/>
      <c r="N47" s="41" t="s"/>
      <c r="O47" s="41" t="s"/>
      <c r="P47" s="41" t="s"/>
      <c r="Q47" s="41" t="s"/>
      <c r="R47" s="41" t="s"/>
      <c r="S47" s="41" t="s"/>
      <c r="T47" s="41" t="s"/>
      <c r="U47" s="41" t="s"/>
      <c r="V47" s="41" t="s"/>
      <c r="W47" s="16" t="s"/>
      <c r="X47" s="42" t="s"/>
      <c r="Y47" s="41" t="s"/>
      <c r="Z47" s="41" t="s"/>
      <c r="AA47" s="41" t="s"/>
      <c r="AB47" s="41" t="s"/>
      <c r="AC47" s="41" t="s"/>
      <c r="AD47" s="41" t="s"/>
      <c r="AE47" s="9" t="s"/>
      <c r="AF47" s="9" t="s"/>
      <c r="AG47" s="41" t="s"/>
      <c r="AH47" s="41" t="s"/>
      <c r="AI47" s="42" t="s"/>
      <c r="AJ47" s="42" t="s"/>
    </row>
    <row r="48" spans="1:36" customHeight="false">
      <c r="A48" s="16" t="s"/>
      <c r="B48" s="42" t="s"/>
      <c r="C48" s="42" t="s"/>
      <c r="D48" s="250" t="s"/>
      <c r="E48" s="16" t="s"/>
      <c r="F48" s="16" t="s"/>
      <c r="G48" s="16" t="s"/>
      <c r="H48" s="91" t="s"/>
      <c r="I48" s="59" t="s"/>
      <c r="J48" s="37" t="s"/>
      <c r="K48" s="37" t="s"/>
      <c r="L48" s="37" t="s"/>
      <c r="M48" s="469" t="s"/>
      <c r="N48" s="469" t="s"/>
      <c r="O48" s="469" t="s"/>
      <c r="P48" s="469" t="s"/>
      <c r="Q48" s="469" t="s"/>
      <c r="R48" s="469" t="s"/>
      <c r="S48" s="469" t="s"/>
      <c r="T48" s="469" t="s"/>
      <c r="U48" s="41" t="s"/>
      <c r="V48" s="41" t="s"/>
      <c r="W48" s="42" t="s"/>
      <c r="X48" s="42" t="s"/>
      <c r="Y48" s="41" t="s"/>
      <c r="Z48" s="41" t="s"/>
      <c r="AA48" s="41" t="s"/>
      <c r="AB48" s="41" t="s"/>
      <c r="AC48" s="41" t="s"/>
      <c r="AD48" s="41" t="s"/>
      <c r="AE48" s="9" t="s"/>
      <c r="AF48" s="9" t="s"/>
      <c r="AG48" s="41" t="s"/>
      <c r="AH48" s="41" t="s"/>
      <c r="AI48" s="42" t="s"/>
      <c r="AJ48" s="42" t="s"/>
    </row>
    <row r="49" spans="1:36" customHeight="false">
      <c r="A49" s="16" t="s"/>
      <c r="B49" s="42" t="s"/>
      <c r="C49" s="42" t="s"/>
      <c r="D49" s="250" t="s"/>
      <c r="E49" s="16" t="s"/>
      <c r="F49" s="16" t="s"/>
      <c r="G49" s="16" t="s"/>
      <c r="H49" s="91" t="s"/>
      <c r="I49" s="59" t="s"/>
      <c r="J49" s="37" t="s"/>
      <c r="K49" s="37" t="s"/>
      <c r="L49" s="37" t="s"/>
      <c r="M49" s="469" t="s"/>
      <c r="N49" s="469" t="s"/>
      <c r="O49" s="469" t="s"/>
      <c r="P49" s="469" t="s"/>
      <c r="Q49" s="469" t="s"/>
      <c r="R49" s="469" t="s"/>
      <c r="S49" s="469" t="s"/>
      <c r="T49" s="469" t="s"/>
      <c r="U49" s="41" t="s"/>
      <c r="V49" s="41" t="s"/>
      <c r="W49" s="42" t="s"/>
      <c r="X49" s="42" t="s"/>
      <c r="Y49" s="41" t="s"/>
      <c r="Z49" s="41" t="s"/>
      <c r="AA49" s="41" t="s"/>
      <c r="AB49" s="41" t="s"/>
      <c r="AC49" s="41" t="s"/>
      <c r="AD49" s="41" t="s"/>
      <c r="AE49" s="9" t="s"/>
      <c r="AF49" s="9" t="s"/>
      <c r="AG49" s="41" t="s"/>
      <c r="AH49" s="41" t="s"/>
      <c r="AI49" s="42" t="s"/>
      <c r="AJ49" s="42" t="s"/>
    </row>
    <row r="50" spans="1:36" customHeight="false">
      <c r="A50" s="16" t="s"/>
      <c r="B50" s="42" t="s"/>
      <c r="C50" s="42" t="s"/>
      <c r="D50" s="16" t="s"/>
      <c r="E50" s="16" t="s"/>
      <c r="F50" s="16" t="s"/>
      <c r="G50" s="16" t="s"/>
      <c r="H50" s="91" t="s"/>
      <c r="I50" s="59" t="s"/>
      <c r="J50" s="733" t="s"/>
      <c r="K50" s="733" t="s"/>
      <c r="L50" s="733" t="s"/>
      <c r="M50" s="82" t="s"/>
      <c r="N50" s="82" t="s"/>
      <c r="O50" s="82" t="s"/>
      <c r="P50" s="82" t="s"/>
      <c r="Q50" s="82" t="s"/>
      <c r="R50" s="82" t="s"/>
      <c r="S50" s="82" t="s"/>
      <c r="T50" s="82" t="s"/>
      <c r="U50" s="42" t="s"/>
      <c r="V50" s="42" t="s"/>
      <c r="W50" s="42" t="s"/>
      <c r="X50" s="42" t="s"/>
      <c r="Y50" s="41" t="s"/>
      <c r="Z50" s="41" t="s"/>
      <c r="AA50" s="42" t="s"/>
      <c r="AB50" s="42" t="s"/>
      <c r="AC50" s="42" t="s"/>
      <c r="AD50" s="42" t="s"/>
      <c r="AE50" s="9" t="s"/>
      <c r="AF50" s="9" t="s"/>
      <c r="AG50" s="42" t="s"/>
      <c r="AH50" s="42" t="s"/>
      <c r="AI50" s="42" t="s"/>
      <c r="AJ50" s="42" t="s"/>
    </row>
    <row r="51" spans="1:36" customHeight="false">
      <c r="A51" s="16" t="s"/>
      <c r="B51" s="252" t="s"/>
      <c r="C51" s="252" t="s"/>
      <c r="D51" s="253" t="s"/>
      <c r="E51" s="253" t="s"/>
      <c r="F51" s="253" t="s"/>
      <c r="G51" s="254" t="s"/>
      <c r="H51" s="91" t="s"/>
      <c r="I51" s="578" t="s"/>
      <c r="J51" s="734" t="s"/>
      <c r="K51" s="734" t="s"/>
      <c r="L51" s="734" t="s"/>
      <c r="M51" s="735" t="s"/>
      <c r="N51" s="735" t="s"/>
      <c r="O51" s="735" t="s"/>
      <c r="P51" s="735" t="s"/>
      <c r="Q51" s="735" t="s"/>
      <c r="R51" s="735" t="s"/>
      <c r="S51" s="735" t="s"/>
      <c r="T51" s="735" t="s"/>
      <c r="U51" s="9" t="s"/>
      <c r="V51" s="9" t="s"/>
      <c r="W51" s="9" t="s"/>
      <c r="X51" s="91" t="s"/>
      <c r="Y51" s="41" t="s"/>
      <c r="Z51" s="41" t="s"/>
      <c r="AA51" s="9" t="s"/>
      <c r="AB51" s="91" t="s"/>
      <c r="AC51" s="9" t="s"/>
      <c r="AD51" s="9" t="s"/>
      <c r="AE51" s="9" t="s"/>
      <c r="AF51" s="9" t="s"/>
      <c r="AG51" s="9" t="s"/>
      <c r="AH51" s="9" t="s"/>
      <c r="AI51" s="9" t="s"/>
      <c r="AJ51" s="9" t="s"/>
    </row>
    <row r="52" spans="1:34" customHeight="false">
      <c r="A52" s="121" t="s"/>
      <c r="B52" s="188" t="s"/>
      <c r="C52" s="188" t="s"/>
      <c r="D52" s="121" t="s"/>
      <c r="E52" s="121" t="s"/>
      <c r="F52" s="121" t="s"/>
      <c r="G52" s="121" t="s"/>
      <c r="H52" s="121" t="s"/>
      <c r="I52" s="161" t="s"/>
      <c r="J52" s="187" t="s"/>
      <c r="K52" s="187" t="s"/>
      <c r="L52" s="187" t="s"/>
      <c r="M52" s="161" t="s"/>
      <c r="N52" s="161" t="s"/>
      <c r="O52" s="161" t="s"/>
      <c r="P52" s="161" t="s"/>
      <c r="Q52" s="161" t="s"/>
      <c r="R52" s="161" t="s"/>
      <c r="S52" s="161" t="s"/>
      <c r="T52" s="161" t="s"/>
      <c r="U52" s="161" t="s"/>
      <c r="V52" s="161" t="s"/>
      <c r="W52" s="161" t="s"/>
      <c r="X52" s="161" t="s"/>
      <c r="Y52" s="161" t="s"/>
      <c r="Z52" s="161" t="s"/>
      <c r="AA52" s="161" t="s"/>
      <c r="AB52" s="161" t="s"/>
      <c r="AC52" s="161" t="s"/>
      <c r="AD52" s="161" t="s"/>
      <c r="AE52" s="161" t="s"/>
      <c r="AF52" s="161" t="s"/>
      <c r="AG52" s="161" t="s"/>
      <c r="AH52" s="161" t="s"/>
    </row>
    <row r="53" spans="1:34" customHeight="false">
      <c r="A53" s="121" t="s"/>
      <c r="B53" s="188" t="s"/>
      <c r="C53" s="188" t="s"/>
      <c r="D53" s="121" t="s"/>
      <c r="E53" s="121" t="s"/>
      <c r="F53" s="121" t="s"/>
      <c r="G53" s="121" t="s"/>
      <c r="H53" s="121" t="s"/>
      <c r="I53" s="161" t="s"/>
      <c r="J53" s="187" t="s"/>
      <c r="K53" s="187" t="s"/>
      <c r="L53" s="187" t="s"/>
      <c r="M53" s="161" t="s"/>
      <c r="N53" s="161" t="s"/>
      <c r="O53" s="161" t="s"/>
      <c r="P53" s="161" t="s"/>
      <c r="Q53" s="161" t="s"/>
      <c r="R53" s="161" t="s"/>
      <c r="S53" s="161" t="s"/>
      <c r="T53" s="161" t="s"/>
      <c r="U53" s="161" t="s"/>
      <c r="V53" s="161" t="s"/>
      <c r="W53" s="161" t="s"/>
      <c r="X53" s="161" t="s"/>
      <c r="Y53" s="161" t="s"/>
      <c r="Z53" s="161" t="s"/>
      <c r="AA53" s="161" t="s"/>
      <c r="AB53" s="161" t="s"/>
      <c r="AC53" s="161" t="s"/>
      <c r="AD53" s="161" t="s"/>
      <c r="AE53" s="161" t="s"/>
      <c r="AF53" s="161" t="s"/>
      <c r="AG53" s="161" t="s"/>
      <c r="AH53" s="161" t="s"/>
    </row>
    <row r="54" spans="1:34" customHeight="false">
      <c r="A54" s="121" t="s"/>
      <c r="B54" s="188" t="s"/>
      <c r="C54" s="188" t="s"/>
      <c r="D54" s="121" t="s"/>
      <c r="E54" s="121" t="s"/>
      <c r="F54" s="121" t="s"/>
      <c r="G54" s="121" t="s"/>
      <c r="H54" s="121" t="s"/>
      <c r="I54" s="161" t="s"/>
      <c r="J54" s="187" t="s"/>
      <c r="K54" s="187" t="s"/>
      <c r="L54" s="187" t="s"/>
      <c r="M54" s="161" t="s"/>
      <c r="N54" s="161" t="s"/>
      <c r="O54" s="161" t="s"/>
      <c r="P54" s="161" t="s"/>
      <c r="Q54" s="161" t="s"/>
      <c r="R54" s="161" t="s"/>
      <c r="S54" s="161" t="s"/>
      <c r="T54" s="161" t="s"/>
      <c r="U54" s="161" t="s"/>
      <c r="V54" s="161" t="s"/>
      <c r="W54" s="161" t="s"/>
      <c r="X54" s="161" t="s"/>
      <c r="Y54" s="161" t="s"/>
      <c r="Z54" s="161" t="s"/>
      <c r="AA54" s="161" t="s"/>
      <c r="AB54" s="161" t="s"/>
      <c r="AC54" s="161" t="s"/>
      <c r="AD54" s="161" t="s"/>
      <c r="AE54" s="161" t="s"/>
      <c r="AF54" s="161" t="s"/>
      <c r="AG54" s="161" t="s"/>
      <c r="AH54" s="161" t="s"/>
    </row>
    <row r="55" spans="1:34" customHeight="false">
      <c r="A55" s="121" t="s"/>
      <c r="B55" s="188" t="s"/>
      <c r="C55" s="188" t="s"/>
      <c r="D55" s="121" t="s"/>
      <c r="E55" s="121" t="s"/>
      <c r="F55" s="121" t="s"/>
      <c r="G55" s="121" t="s"/>
      <c r="H55" s="121" t="s"/>
      <c r="I55" s="161" t="s"/>
      <c r="J55" s="187" t="s"/>
      <c r="K55" s="187" t="s"/>
      <c r="L55" s="187" t="s"/>
      <c r="M55" s="161" t="s"/>
      <c r="N55" s="161" t="s"/>
      <c r="O55" s="161" t="s"/>
      <c r="P55" s="161" t="s"/>
      <c r="Q55" s="161" t="s"/>
      <c r="R55" s="161" t="s"/>
      <c r="S55" s="161" t="s"/>
      <c r="T55" s="161" t="s"/>
      <c r="U55" s="161" t="s"/>
      <c r="V55" s="161" t="s"/>
      <c r="W55" s="161" t="s"/>
      <c r="X55" s="161" t="s"/>
      <c r="Y55" s="161" t="s"/>
      <c r="Z55" s="161" t="s"/>
      <c r="AA55" s="161" t="s"/>
      <c r="AB55" s="161" t="s"/>
      <c r="AC55" s="161" t="s"/>
      <c r="AD55" s="161" t="s"/>
      <c r="AE55" s="161" t="s"/>
      <c r="AF55" s="161" t="s"/>
      <c r="AG55" s="161" t="s"/>
      <c r="AH55" s="161" t="s"/>
    </row>
    <row r="56" spans="1:34" customHeight="false">
      <c r="A56" s="121" t="s"/>
      <c r="B56" s="188" t="s"/>
      <c r="C56" s="188" t="s"/>
      <c r="D56" s="121" t="s"/>
      <c r="E56" s="121" t="s"/>
      <c r="F56" s="121" t="s"/>
      <c r="G56" s="121" t="s"/>
      <c r="H56" s="121" t="s"/>
      <c r="I56" s="161" t="s"/>
      <c r="J56" s="187" t="s"/>
      <c r="K56" s="187" t="s"/>
      <c r="L56" s="187" t="s"/>
      <c r="M56" s="161" t="s"/>
      <c r="N56" s="161" t="s"/>
      <c r="O56" s="161" t="s"/>
      <c r="P56" s="161" t="s"/>
      <c r="Q56" s="161" t="s"/>
      <c r="R56" s="161" t="s"/>
      <c r="S56" s="161" t="s"/>
      <c r="T56" s="161" t="s"/>
      <c r="U56" s="161" t="s"/>
      <c r="V56" s="161" t="s"/>
      <c r="W56" s="161" t="s"/>
      <c r="X56" s="161" t="s"/>
      <c r="Y56" s="161" t="s"/>
      <c r="Z56" s="161" t="s"/>
      <c r="AA56" s="161" t="s"/>
      <c r="AB56" s="161" t="s"/>
      <c r="AC56" s="161" t="s"/>
      <c r="AD56" s="161" t="s"/>
      <c r="AE56" s="161" t="s"/>
      <c r="AF56" s="161" t="s"/>
      <c r="AG56" s="161" t="s"/>
      <c r="AH56" s="161" t="s"/>
    </row>
    <row r="57" spans="1:34" customHeight="false">
      <c r="A57" s="121" t="s"/>
      <c r="B57" s="188" t="s"/>
      <c r="C57" s="188" t="s"/>
      <c r="D57" s="121" t="s"/>
      <c r="E57" s="121" t="s"/>
      <c r="F57" s="121" t="s"/>
      <c r="G57" s="121" t="s"/>
      <c r="H57" s="121" t="s"/>
      <c r="I57" s="161" t="s"/>
      <c r="J57" s="187" t="s"/>
      <c r="K57" s="187" t="s"/>
      <c r="L57" s="187" t="s"/>
      <c r="M57" s="161" t="s"/>
      <c r="N57" s="161" t="s"/>
      <c r="O57" s="161" t="s"/>
      <c r="P57" s="161" t="s"/>
      <c r="Q57" s="161" t="s"/>
      <c r="R57" s="161" t="s"/>
      <c r="S57" s="161" t="s"/>
      <c r="T57" s="161" t="s"/>
      <c r="U57" s="161" t="s"/>
      <c r="V57" s="161" t="s"/>
      <c r="W57" s="161" t="s"/>
      <c r="X57" s="161" t="s"/>
      <c r="Y57" s="161" t="s"/>
      <c r="Z57" s="161" t="s"/>
      <c r="AA57" s="161" t="s"/>
      <c r="AB57" s="161" t="s"/>
      <c r="AC57" s="161" t="s"/>
      <c r="AD57" s="161" t="s"/>
      <c r="AE57" s="161" t="s"/>
      <c r="AF57" s="161" t="s"/>
      <c r="AG57" s="161" t="s"/>
      <c r="AH57" s="161" t="s"/>
    </row>
    <row r="58" spans="1:34" customHeight="false">
      <c r="A58" s="121" t="s"/>
      <c r="B58" s="188" t="s"/>
      <c r="C58" s="188" t="s"/>
      <c r="D58" s="121" t="s"/>
      <c r="E58" s="121" t="s"/>
      <c r="F58" s="121" t="s"/>
      <c r="G58" s="121" t="s"/>
      <c r="H58" s="121" t="s"/>
      <c r="I58" s="161" t="s"/>
      <c r="J58" s="187" t="s"/>
      <c r="K58" s="187" t="s"/>
      <c r="L58" s="187" t="s"/>
      <c r="M58" s="161" t="s"/>
      <c r="N58" s="161" t="s"/>
      <c r="O58" s="161" t="s"/>
      <c r="P58" s="161" t="s"/>
      <c r="Q58" s="161" t="s"/>
      <c r="R58" s="161" t="s"/>
      <c r="S58" s="161" t="s"/>
      <c r="T58" s="161" t="s"/>
      <c r="U58" s="161" t="s"/>
      <c r="V58" s="161" t="s"/>
      <c r="W58" s="161" t="s"/>
      <c r="X58" s="161" t="s"/>
      <c r="Y58" s="161" t="s"/>
      <c r="Z58" s="161" t="s"/>
      <c r="AA58" s="161" t="s"/>
      <c r="AB58" s="161" t="s"/>
      <c r="AC58" s="161" t="s"/>
      <c r="AD58" s="161" t="s"/>
      <c r="AE58" s="161" t="s"/>
      <c r="AF58" s="161" t="s"/>
      <c r="AG58" s="161" t="s"/>
      <c r="AH58" s="161" t="s"/>
    </row>
    <row r="59" spans="1:34" customHeight="false">
      <c r="A59" s="121" t="s"/>
      <c r="B59" s="188" t="s"/>
      <c r="C59" s="188" t="s"/>
      <c r="D59" s="121" t="s"/>
      <c r="E59" s="121" t="s"/>
      <c r="F59" s="121" t="s"/>
      <c r="G59" s="121" t="s"/>
      <c r="H59" s="121" t="s"/>
      <c r="I59" s="161" t="s"/>
      <c r="J59" s="187" t="s"/>
      <c r="K59" s="187" t="s"/>
      <c r="L59" s="187" t="s"/>
      <c r="M59" s="161" t="s"/>
      <c r="N59" s="161" t="s"/>
      <c r="O59" s="161" t="s"/>
      <c r="P59" s="161" t="s"/>
      <c r="Q59" s="161" t="s"/>
      <c r="R59" s="161" t="s"/>
      <c r="S59" s="161" t="s"/>
      <c r="T59" s="161" t="s"/>
      <c r="U59" s="161" t="s"/>
      <c r="V59" s="161" t="s"/>
      <c r="W59" s="161" t="s"/>
      <c r="X59" s="161" t="s"/>
      <c r="Y59" s="161" t="s"/>
      <c r="Z59" s="161" t="s"/>
      <c r="AA59" s="161" t="s"/>
      <c r="AB59" s="161" t="s"/>
      <c r="AC59" s="161" t="s"/>
      <c r="AD59" s="161" t="s"/>
      <c r="AE59" s="161" t="s"/>
      <c r="AF59" s="161" t="s"/>
      <c r="AG59" s="161" t="s"/>
      <c r="AH59" s="161" t="s"/>
    </row>
    <row r="60" spans="1:34" customHeight="false">
      <c r="A60" s="121" t="s"/>
      <c r="B60" s="188" t="s"/>
      <c r="C60" s="188" t="s"/>
      <c r="D60" s="121" t="s"/>
      <c r="E60" s="121" t="s"/>
      <c r="F60" s="121" t="s"/>
      <c r="G60" s="121" t="s"/>
      <c r="H60" s="121" t="s"/>
      <c r="I60" s="161" t="s"/>
      <c r="J60" s="187" t="s"/>
      <c r="K60" s="187" t="s"/>
      <c r="L60" s="187" t="s"/>
      <c r="M60" s="161" t="s"/>
      <c r="N60" s="161" t="s"/>
      <c r="O60" s="161" t="s"/>
      <c r="P60" s="161" t="s"/>
      <c r="Q60" s="161" t="s"/>
      <c r="R60" s="161" t="s"/>
      <c r="S60" s="161" t="s"/>
      <c r="T60" s="161" t="s"/>
      <c r="U60" s="161" t="s"/>
      <c r="V60" s="161" t="s"/>
      <c r="W60" s="161" t="s"/>
      <c r="X60" s="161" t="s"/>
      <c r="Y60" s="161" t="s"/>
      <c r="Z60" s="161" t="s"/>
      <c r="AA60" s="161" t="s"/>
      <c r="AB60" s="161" t="s"/>
      <c r="AC60" s="161" t="s"/>
      <c r="AD60" s="161" t="s"/>
      <c r="AE60" s="161" t="s"/>
      <c r="AF60" s="161" t="s"/>
      <c r="AG60" s="161" t="s"/>
      <c r="AH60" s="161" t="s"/>
    </row>
    <row r="61" spans="1:34" customHeight="false">
      <c r="A61" s="121" t="s"/>
      <c r="B61" s="188" t="s"/>
      <c r="C61" s="188" t="s"/>
      <c r="D61" s="121" t="s"/>
      <c r="E61" s="121" t="s"/>
      <c r="F61" s="121" t="s"/>
      <c r="G61" s="121" t="s"/>
      <c r="H61" s="121" t="s"/>
      <c r="I61" s="161" t="s"/>
      <c r="J61" s="187" t="s"/>
      <c r="K61" s="187" t="s"/>
      <c r="L61" s="187" t="s"/>
      <c r="M61" s="161" t="s"/>
      <c r="N61" s="161" t="s"/>
      <c r="O61" s="161" t="s"/>
      <c r="P61" s="161" t="s"/>
      <c r="Q61" s="161" t="s"/>
      <c r="R61" s="161" t="s"/>
      <c r="S61" s="161" t="s"/>
      <c r="T61" s="161" t="s"/>
      <c r="U61" s="161" t="s"/>
      <c r="V61" s="161" t="s"/>
      <c r="W61" s="161" t="s"/>
      <c r="X61" s="161" t="s"/>
      <c r="Y61" s="161" t="s"/>
      <c r="Z61" s="161" t="s"/>
      <c r="AA61" s="161" t="s"/>
      <c r="AB61" s="161" t="s"/>
      <c r="AC61" s="161" t="s"/>
      <c r="AD61" s="161" t="s"/>
      <c r="AE61" s="161" t="s"/>
      <c r="AF61" s="161" t="s"/>
      <c r="AG61" s="161" t="s"/>
      <c r="AH61" s="161" t="s"/>
    </row>
    <row r="62" spans="1:34" customHeight="false">
      <c r="A62" s="121" t="s"/>
      <c r="B62" s="188" t="s"/>
      <c r="C62" s="188" t="s"/>
      <c r="D62" s="121" t="s"/>
      <c r="E62" s="121" t="s"/>
      <c r="F62" s="121" t="s"/>
      <c r="G62" s="121" t="s"/>
      <c r="H62" s="121" t="s"/>
      <c r="I62" s="161" t="s"/>
      <c r="J62" s="187" t="s"/>
      <c r="K62" s="187" t="s"/>
      <c r="L62" s="187" t="s"/>
      <c r="M62" s="161" t="s"/>
      <c r="N62" s="161" t="s"/>
      <c r="O62" s="161" t="s"/>
      <c r="P62" s="161" t="s"/>
      <c r="Q62" s="161" t="s"/>
      <c r="R62" s="161" t="s"/>
      <c r="S62" s="161" t="s"/>
      <c r="T62" s="161" t="s"/>
      <c r="U62" s="161" t="s"/>
      <c r="V62" s="161" t="s"/>
      <c r="W62" s="161" t="s"/>
      <c r="X62" s="161" t="s"/>
      <c r="Y62" s="161" t="s"/>
      <c r="Z62" s="161" t="s"/>
      <c r="AA62" s="161" t="s"/>
      <c r="AB62" s="161" t="s"/>
      <c r="AC62" s="161" t="s"/>
      <c r="AD62" s="161" t="s"/>
      <c r="AE62" s="161" t="s"/>
      <c r="AF62" s="161" t="s"/>
      <c r="AG62" s="161" t="s"/>
      <c r="AH62" s="161" t="s"/>
    </row>
    <row r="63" spans="1:34" customHeight="false">
      <c r="A63" s="121" t="s"/>
      <c r="B63" s="188" t="s"/>
      <c r="C63" s="188" t="s"/>
      <c r="D63" s="121" t="s"/>
      <c r="E63" s="121" t="s"/>
      <c r="F63" s="121" t="s"/>
      <c r="G63" s="121" t="s"/>
      <c r="H63" s="121" t="s"/>
      <c r="I63" s="161" t="s"/>
      <c r="J63" s="187" t="s"/>
      <c r="K63" s="187" t="s"/>
      <c r="L63" s="187" t="s"/>
      <c r="M63" s="161" t="s"/>
      <c r="N63" s="161" t="s"/>
      <c r="O63" s="161" t="s"/>
      <c r="P63" s="161" t="s"/>
      <c r="Q63" s="161" t="s"/>
      <c r="R63" s="161" t="s"/>
      <c r="S63" s="161" t="s"/>
      <c r="T63" s="161" t="s"/>
      <c r="U63" s="161" t="s"/>
      <c r="V63" s="161" t="s"/>
      <c r="W63" s="161" t="s"/>
      <c r="X63" s="161" t="s"/>
      <c r="Y63" s="161" t="s"/>
      <c r="Z63" s="161" t="s"/>
      <c r="AA63" s="161" t="s"/>
      <c r="AB63" s="161" t="s"/>
      <c r="AC63" s="161" t="s"/>
      <c r="AD63" s="161" t="s"/>
      <c r="AE63" s="161" t="s"/>
      <c r="AF63" s="161" t="s"/>
      <c r="AG63" s="161" t="s"/>
      <c r="AH63" s="161" t="s"/>
    </row>
    <row r="64" spans="1:34" customHeight="false">
      <c r="A64" s="121" t="s"/>
      <c r="B64" s="188" t="s"/>
      <c r="C64" s="188" t="s"/>
      <c r="D64" s="121" t="s"/>
      <c r="E64" s="121" t="s"/>
      <c r="F64" s="121" t="s"/>
      <c r="G64" s="121" t="s"/>
      <c r="H64" s="121" t="s"/>
      <c r="I64" s="161" t="s"/>
      <c r="J64" s="187" t="s"/>
      <c r="K64" s="187" t="s"/>
      <c r="L64" s="187" t="s"/>
      <c r="M64" s="161" t="s"/>
      <c r="N64" s="161" t="s"/>
      <c r="O64" s="161" t="s"/>
      <c r="P64" s="161" t="s"/>
      <c r="Q64" s="161" t="s"/>
      <c r="R64" s="161" t="s"/>
      <c r="S64" s="161" t="s"/>
      <c r="T64" s="161" t="s"/>
      <c r="U64" s="161" t="s"/>
      <c r="V64" s="161" t="s"/>
      <c r="W64" s="161" t="s"/>
      <c r="X64" s="161" t="s"/>
      <c r="Y64" s="161" t="s"/>
      <c r="Z64" s="161" t="s"/>
      <c r="AA64" s="161" t="s"/>
      <c r="AB64" s="161" t="s"/>
      <c r="AC64" s="161" t="s"/>
      <c r="AD64" s="161" t="s"/>
      <c r="AE64" s="161" t="s"/>
      <c r="AF64" s="161" t="s"/>
      <c r="AG64" s="161" t="s"/>
      <c r="AH64" s="161" t="s"/>
    </row>
    <row r="65" spans="1:34" customHeight="false">
      <c r="A65" s="121" t="s"/>
      <c r="B65" s="188" t="s"/>
      <c r="C65" s="188" t="s"/>
      <c r="D65" s="121" t="s"/>
      <c r="E65" s="121" t="s"/>
      <c r="F65" s="121" t="s"/>
      <c r="G65" s="121" t="s"/>
      <c r="H65" s="121" t="s"/>
      <c r="I65" s="161" t="s"/>
      <c r="J65" s="187" t="s"/>
      <c r="K65" s="187" t="s"/>
      <c r="L65" s="187" t="s"/>
      <c r="M65" s="161" t="s"/>
      <c r="N65" s="161" t="s"/>
      <c r="O65" s="161" t="s"/>
      <c r="P65" s="161" t="s"/>
      <c r="Q65" s="161" t="s"/>
      <c r="R65" s="161" t="s"/>
      <c r="S65" s="161" t="s"/>
      <c r="T65" s="161" t="s"/>
      <c r="U65" s="161" t="s"/>
      <c r="V65" s="161" t="s"/>
      <c r="W65" s="161" t="s"/>
      <c r="X65" s="161" t="s"/>
      <c r="Y65" s="161" t="s"/>
      <c r="Z65" s="161" t="s"/>
      <c r="AA65" s="161" t="s"/>
      <c r="AB65" s="161" t="s"/>
      <c r="AC65" s="161" t="s"/>
      <c r="AD65" s="161" t="s"/>
      <c r="AE65" s="161" t="s"/>
      <c r="AF65" s="161" t="s"/>
      <c r="AG65" s="161" t="s"/>
      <c r="AH65" s="161" t="s"/>
    </row>
    <row r="66" spans="1:34" customHeight="false">
      <c r="A66" s="121" t="s"/>
      <c r="B66" s="188" t="s"/>
      <c r="C66" s="188" t="s"/>
      <c r="D66" s="121" t="s"/>
      <c r="E66" s="121" t="s"/>
      <c r="F66" s="121" t="s"/>
      <c r="G66" s="121" t="s"/>
      <c r="H66" s="121" t="s"/>
      <c r="I66" s="161" t="s"/>
      <c r="J66" s="187" t="s"/>
      <c r="K66" s="187" t="s"/>
      <c r="L66" s="187" t="s"/>
      <c r="M66" s="161" t="s"/>
      <c r="N66" s="161" t="s"/>
      <c r="O66" s="161" t="s"/>
      <c r="P66" s="161" t="s"/>
      <c r="Q66" s="161" t="s"/>
      <c r="R66" s="161" t="s"/>
      <c r="S66" s="161" t="s"/>
      <c r="T66" s="161" t="s"/>
      <c r="U66" s="161" t="s"/>
      <c r="V66" s="161" t="s"/>
      <c r="W66" s="161" t="s"/>
      <c r="X66" s="161" t="s"/>
      <c r="Y66" s="161" t="s"/>
      <c r="Z66" s="161" t="s"/>
      <c r="AA66" s="161" t="s"/>
      <c r="AB66" s="161" t="s"/>
      <c r="AC66" s="161" t="s"/>
      <c r="AD66" s="161" t="s"/>
      <c r="AE66" s="161" t="s"/>
      <c r="AF66" s="161" t="s"/>
      <c r="AG66" s="161" t="s"/>
      <c r="AH66" s="161" t="s"/>
    </row>
    <row r="67" spans="1:34" customHeight="false">
      <c r="A67" s="121" t="s"/>
      <c r="B67" s="188" t="s"/>
      <c r="C67" s="188" t="s"/>
      <c r="D67" s="121" t="s"/>
      <c r="E67" s="121" t="s"/>
      <c r="F67" s="121" t="s"/>
      <c r="G67" s="121" t="s"/>
      <c r="H67" s="121" t="s"/>
      <c r="I67" s="161" t="s"/>
      <c r="J67" s="187" t="s"/>
      <c r="K67" s="187" t="s"/>
      <c r="L67" s="187" t="s"/>
      <c r="M67" s="161" t="s"/>
      <c r="N67" s="161" t="s"/>
      <c r="O67" s="161" t="s"/>
      <c r="P67" s="161" t="s"/>
      <c r="Q67" s="161" t="s"/>
      <c r="R67" s="161" t="s"/>
      <c r="S67" s="161" t="s"/>
      <c r="T67" s="161" t="s"/>
      <c r="U67" s="161" t="s"/>
      <c r="V67" s="161" t="s"/>
      <c r="W67" s="161" t="s"/>
      <c r="X67" s="161" t="s"/>
      <c r="Y67" s="161" t="s"/>
      <c r="Z67" s="161" t="s"/>
      <c r="AA67" s="161" t="s"/>
      <c r="AB67" s="161" t="s"/>
      <c r="AC67" s="161" t="s"/>
      <c r="AD67" s="161" t="s"/>
      <c r="AE67" s="161" t="s"/>
      <c r="AF67" s="161" t="s"/>
      <c r="AG67" s="161" t="s"/>
      <c r="AH67" s="161" t="s"/>
    </row>
    <row r="68" spans="1:34" customHeight="false">
      <c r="A68" s="121" t="s"/>
      <c r="B68" s="188" t="s"/>
      <c r="C68" s="188" t="s"/>
      <c r="D68" s="121" t="s"/>
      <c r="E68" s="121" t="s"/>
      <c r="F68" s="121" t="s"/>
      <c r="G68" s="121" t="s"/>
      <c r="H68" s="121" t="s"/>
      <c r="I68" s="161" t="s"/>
      <c r="J68" s="187" t="s"/>
      <c r="K68" s="187" t="s"/>
      <c r="L68" s="187" t="s"/>
      <c r="M68" s="161" t="s"/>
      <c r="N68" s="161" t="s"/>
      <c r="O68" s="161" t="s"/>
      <c r="P68" s="161" t="s"/>
      <c r="Q68" s="161" t="s"/>
      <c r="R68" s="161" t="s"/>
      <c r="S68" s="161" t="s"/>
      <c r="T68" s="161" t="s"/>
      <c r="U68" s="161" t="s"/>
      <c r="V68" s="161" t="s"/>
      <c r="W68" s="161" t="s"/>
      <c r="X68" s="161" t="s"/>
      <c r="Y68" s="161" t="s"/>
      <c r="Z68" s="161" t="s"/>
      <c r="AA68" s="161" t="s"/>
      <c r="AB68" s="161" t="s"/>
      <c r="AC68" s="161" t="s"/>
      <c r="AD68" s="161" t="s"/>
      <c r="AE68" s="161" t="s"/>
      <c r="AF68" s="161" t="s"/>
      <c r="AG68" s="161" t="s"/>
      <c r="AH68" s="161" t="s"/>
    </row>
    <row r="69" spans="1:34" customHeight="false">
      <c r="A69" s="121" t="s"/>
      <c r="B69" s="188" t="s"/>
      <c r="C69" s="188" t="s"/>
      <c r="D69" s="121" t="s"/>
      <c r="E69" s="121" t="s"/>
      <c r="F69" s="121" t="s"/>
      <c r="G69" s="121" t="s"/>
      <c r="H69" s="121" t="s"/>
      <c r="I69" s="161" t="s"/>
      <c r="J69" s="187" t="s"/>
      <c r="K69" s="187" t="s"/>
      <c r="L69" s="187" t="s"/>
      <c r="M69" s="161" t="s"/>
      <c r="N69" s="161" t="s"/>
      <c r="O69" s="161" t="s"/>
      <c r="P69" s="161" t="s"/>
      <c r="Q69" s="161" t="s"/>
      <c r="R69" s="161" t="s"/>
      <c r="S69" s="161" t="s"/>
      <c r="T69" s="161" t="s"/>
      <c r="U69" s="161" t="s"/>
      <c r="V69" s="161" t="s"/>
      <c r="W69" s="161" t="s"/>
      <c r="X69" s="161" t="s"/>
      <c r="Y69" s="161" t="s"/>
      <c r="Z69" s="161" t="s"/>
      <c r="AA69" s="161" t="s"/>
      <c r="AB69" s="161" t="s"/>
      <c r="AC69" s="161" t="s"/>
      <c r="AD69" s="161" t="s"/>
      <c r="AE69" s="161" t="s"/>
      <c r="AF69" s="161" t="s"/>
      <c r="AG69" s="161" t="s"/>
      <c r="AH69" s="161" t="s"/>
    </row>
    <row r="70" spans="1:34" customHeight="false">
      <c r="A70" s="121" t="s"/>
      <c r="B70" s="188" t="s"/>
      <c r="C70" s="188" t="s"/>
      <c r="D70" s="121" t="s"/>
      <c r="E70" s="121" t="s"/>
      <c r="F70" s="121" t="s"/>
      <c r="G70" s="121" t="s"/>
      <c r="H70" s="121" t="s"/>
      <c r="I70" s="161" t="s"/>
      <c r="J70" s="187" t="s"/>
      <c r="K70" s="187" t="s"/>
      <c r="L70" s="187" t="s"/>
      <c r="M70" s="161" t="s"/>
      <c r="N70" s="161" t="s"/>
      <c r="O70" s="161" t="s"/>
      <c r="P70" s="161" t="s"/>
      <c r="Q70" s="161" t="s"/>
      <c r="R70" s="161" t="s"/>
      <c r="S70" s="161" t="s"/>
      <c r="T70" s="161" t="s"/>
      <c r="U70" s="161" t="s"/>
      <c r="V70" s="161" t="s"/>
      <c r="W70" s="161" t="s"/>
      <c r="X70" s="161" t="s"/>
      <c r="Y70" s="161" t="s"/>
      <c r="Z70" s="161" t="s"/>
      <c r="AA70" s="161" t="s"/>
      <c r="AB70" s="161" t="s"/>
      <c r="AC70" s="161" t="s"/>
      <c r="AD70" s="161" t="s"/>
      <c r="AE70" s="161" t="s"/>
      <c r="AF70" s="161" t="s"/>
      <c r="AG70" s="161" t="s"/>
      <c r="AH70" s="161" t="s"/>
    </row>
    <row r="71" spans="1:34" customHeight="false">
      <c r="A71" s="121" t="s"/>
      <c r="B71" s="188" t="s"/>
      <c r="C71" s="188" t="s"/>
      <c r="D71" s="121" t="s"/>
      <c r="E71" s="121" t="s"/>
      <c r="F71" s="121" t="s"/>
      <c r="G71" s="121" t="s"/>
      <c r="H71" s="121" t="s"/>
      <c r="I71" s="161" t="s"/>
      <c r="J71" s="187" t="s"/>
      <c r="K71" s="187" t="s"/>
      <c r="L71" s="187" t="s"/>
      <c r="M71" s="161" t="s"/>
      <c r="N71" s="161" t="s"/>
      <c r="O71" s="161" t="s"/>
      <c r="P71" s="161" t="s"/>
      <c r="Q71" s="161" t="s"/>
      <c r="R71" s="161" t="s"/>
      <c r="S71" s="161" t="s"/>
      <c r="T71" s="161" t="s"/>
      <c r="U71" s="161" t="s"/>
      <c r="V71" s="161" t="s"/>
      <c r="W71" s="161" t="s"/>
      <c r="X71" s="161" t="s"/>
      <c r="Y71" s="161" t="s"/>
      <c r="Z71" s="161" t="s"/>
      <c r="AA71" s="161" t="s"/>
      <c r="AB71" s="161" t="s"/>
      <c r="AC71" s="161" t="s"/>
      <c r="AD71" s="161" t="s"/>
      <c r="AE71" s="161" t="s"/>
      <c r="AF71" s="161" t="s"/>
      <c r="AG71" s="161" t="s"/>
      <c r="AH71" s="161" t="s"/>
    </row>
    <row r="72" spans="1:34" customHeight="false">
      <c r="A72" s="121" t="s"/>
      <c r="B72" s="188" t="s"/>
      <c r="C72" s="188" t="s"/>
      <c r="D72" s="121" t="s"/>
      <c r="E72" s="121" t="s"/>
      <c r="F72" s="121" t="s"/>
      <c r="G72" s="121" t="s"/>
      <c r="H72" s="121" t="s"/>
      <c r="I72" s="161" t="s"/>
      <c r="J72" s="187" t="s"/>
      <c r="K72" s="187" t="s"/>
      <c r="L72" s="187" t="s"/>
      <c r="M72" s="161" t="s"/>
      <c r="N72" s="161" t="s"/>
      <c r="O72" s="161" t="s"/>
      <c r="P72" s="161" t="s"/>
      <c r="Q72" s="161" t="s"/>
      <c r="R72" s="161" t="s"/>
      <c r="S72" s="161" t="s"/>
      <c r="T72" s="161" t="s"/>
      <c r="U72" s="161" t="s"/>
      <c r="V72" s="161" t="s"/>
      <c r="W72" s="161" t="s"/>
      <c r="X72" s="161" t="s"/>
      <c r="Y72" s="161" t="s"/>
      <c r="Z72" s="161" t="s"/>
      <c r="AA72" s="161" t="s"/>
      <c r="AB72" s="161" t="s"/>
      <c r="AC72" s="161" t="s"/>
      <c r="AD72" s="161" t="s"/>
      <c r="AE72" s="161" t="s"/>
      <c r="AF72" s="161" t="s"/>
      <c r="AG72" s="161" t="s"/>
      <c r="AH72" s="161" t="s"/>
    </row>
    <row r="73" spans="1:34" customHeight="false">
      <c r="A73" s="121" t="s"/>
      <c r="B73" s="188" t="s"/>
      <c r="C73" s="188" t="s"/>
      <c r="D73" s="121" t="s"/>
      <c r="E73" s="121" t="s"/>
      <c r="F73" s="121" t="s"/>
      <c r="G73" s="121" t="s"/>
      <c r="H73" s="121" t="s"/>
      <c r="I73" s="161" t="s"/>
      <c r="J73" s="187" t="s"/>
      <c r="K73" s="187" t="s"/>
      <c r="L73" s="187" t="s"/>
      <c r="M73" s="161" t="s"/>
      <c r="N73" s="161" t="s"/>
      <c r="O73" s="161" t="s"/>
      <c r="P73" s="161" t="s"/>
      <c r="Q73" s="161" t="s"/>
      <c r="R73" s="161" t="s"/>
      <c r="S73" s="161" t="s"/>
      <c r="T73" s="161" t="s"/>
      <c r="U73" s="161" t="s"/>
      <c r="V73" s="161" t="s"/>
      <c r="W73" s="161" t="s"/>
      <c r="X73" s="161" t="s"/>
      <c r="Y73" s="161" t="s"/>
      <c r="Z73" s="161" t="s"/>
      <c r="AA73" s="161" t="s"/>
      <c r="AB73" s="161" t="s"/>
      <c r="AC73" s="161" t="s"/>
      <c r="AD73" s="161" t="s"/>
      <c r="AE73" s="161" t="s"/>
      <c r="AF73" s="161" t="s"/>
      <c r="AG73" s="161" t="s"/>
      <c r="AH73" s="161" t="s"/>
    </row>
    <row r="74" spans="1:34" customHeight="false">
      <c r="A74" s="121" t="s"/>
      <c r="B74" s="188" t="s"/>
      <c r="C74" s="188" t="s"/>
      <c r="D74" s="121" t="s"/>
      <c r="E74" s="121" t="s"/>
      <c r="F74" s="121" t="s"/>
      <c r="G74" s="121" t="s"/>
      <c r="H74" s="121" t="s"/>
      <c r="I74" s="161" t="s"/>
      <c r="J74" s="187" t="s"/>
      <c r="K74" s="187" t="s"/>
      <c r="L74" s="187" t="s"/>
      <c r="M74" s="161" t="s"/>
      <c r="N74" s="161" t="s"/>
      <c r="O74" s="161" t="s"/>
      <c r="P74" s="161" t="s"/>
      <c r="Q74" s="161" t="s"/>
      <c r="R74" s="161" t="s"/>
      <c r="S74" s="161" t="s"/>
      <c r="T74" s="161" t="s"/>
      <c r="U74" s="161" t="s"/>
      <c r="V74" s="161" t="s"/>
      <c r="W74" s="161" t="s"/>
      <c r="X74" s="161" t="s"/>
      <c r="Y74" s="161" t="s"/>
      <c r="Z74" s="161" t="s"/>
      <c r="AA74" s="161" t="s"/>
      <c r="AB74" s="161" t="s"/>
      <c r="AC74" s="161" t="s"/>
      <c r="AD74" s="161" t="s"/>
      <c r="AE74" s="161" t="s"/>
      <c r="AF74" s="161" t="s"/>
      <c r="AG74" s="161" t="s"/>
      <c r="AH74" s="161" t="s"/>
    </row>
    <row r="75" spans="1:34" customHeight="false">
      <c r="A75" s="121" t="s"/>
      <c r="B75" s="188" t="s"/>
      <c r="C75" s="188" t="s"/>
      <c r="D75" s="121" t="s"/>
      <c r="E75" s="121" t="s"/>
      <c r="F75" s="121" t="s"/>
      <c r="G75" s="121" t="s"/>
      <c r="H75" s="121" t="s"/>
      <c r="I75" s="161" t="s"/>
      <c r="J75" s="187" t="s"/>
      <c r="K75" s="187" t="s"/>
      <c r="L75" s="187" t="s"/>
      <c r="M75" s="161" t="s"/>
      <c r="N75" s="161" t="s"/>
      <c r="O75" s="161" t="s"/>
      <c r="P75" s="161" t="s"/>
      <c r="Q75" s="161" t="s"/>
      <c r="R75" s="161" t="s"/>
      <c r="S75" s="161" t="s"/>
      <c r="T75" s="161" t="s"/>
      <c r="U75" s="161" t="s"/>
      <c r="V75" s="161" t="s"/>
      <c r="W75" s="161" t="s"/>
      <c r="X75" s="161" t="s"/>
      <c r="Y75" s="161" t="s"/>
      <c r="Z75" s="161" t="s"/>
      <c r="AA75" s="161" t="s"/>
      <c r="AB75" s="161" t="s"/>
      <c r="AC75" s="161" t="s"/>
      <c r="AD75" s="161" t="s"/>
      <c r="AE75" s="161" t="s"/>
      <c r="AF75" s="161" t="s"/>
      <c r="AG75" s="161" t="s"/>
      <c r="AH75" s="161" t="s"/>
    </row>
    <row r="76" spans="1:34" customHeight="false">
      <c r="A76" s="121" t="s"/>
      <c r="B76" s="188" t="s"/>
      <c r="C76" s="188" t="s"/>
      <c r="D76" s="121" t="s"/>
      <c r="E76" s="121" t="s"/>
      <c r="F76" s="121" t="s"/>
      <c r="G76" s="121" t="s"/>
      <c r="H76" s="121" t="s"/>
      <c r="I76" s="161" t="s"/>
      <c r="J76" s="187" t="s"/>
      <c r="K76" s="187" t="s"/>
      <c r="L76" s="187" t="s"/>
      <c r="M76" s="161" t="s"/>
      <c r="N76" s="161" t="s"/>
      <c r="O76" s="161" t="s"/>
      <c r="P76" s="161" t="s"/>
      <c r="Q76" s="161" t="s"/>
      <c r="R76" s="161" t="s"/>
      <c r="S76" s="161" t="s"/>
      <c r="T76" s="161" t="s"/>
      <c r="U76" s="161" t="s"/>
      <c r="V76" s="161" t="s"/>
      <c r="W76" s="161" t="s"/>
      <c r="X76" s="161" t="s"/>
      <c r="Y76" s="161" t="s"/>
      <c r="Z76" s="161" t="s"/>
      <c r="AA76" s="161" t="s"/>
      <c r="AB76" s="161" t="s"/>
      <c r="AC76" s="161" t="s"/>
      <c r="AD76" s="161" t="s"/>
      <c r="AE76" s="161" t="s"/>
      <c r="AF76" s="161" t="s"/>
      <c r="AG76" s="161" t="s"/>
      <c r="AH76" s="161" t="s"/>
    </row>
    <row r="77" spans="1:34" customHeight="false">
      <c r="A77" s="121" t="s"/>
      <c r="B77" s="188" t="s"/>
      <c r="C77" s="188" t="s"/>
      <c r="D77" s="121" t="s"/>
      <c r="E77" s="121" t="s"/>
      <c r="F77" s="121" t="s"/>
      <c r="G77" s="121" t="s"/>
      <c r="H77" s="121" t="s"/>
      <c r="I77" s="161" t="s"/>
      <c r="J77" s="187" t="s"/>
      <c r="K77" s="187" t="s"/>
      <c r="L77" s="187" t="s"/>
      <c r="M77" s="161" t="s"/>
      <c r="N77" s="161" t="s"/>
      <c r="O77" s="161" t="s"/>
      <c r="P77" s="161" t="s"/>
      <c r="Q77" s="161" t="s"/>
      <c r="R77" s="161" t="s"/>
      <c r="S77" s="161" t="s"/>
      <c r="T77" s="161" t="s"/>
      <c r="U77" s="161" t="s"/>
      <c r="V77" s="161" t="s"/>
      <c r="W77" s="161" t="s"/>
      <c r="X77" s="161" t="s"/>
      <c r="Y77" s="161" t="s"/>
      <c r="Z77" s="161" t="s"/>
      <c r="AA77" s="161" t="s"/>
      <c r="AB77" s="161" t="s"/>
      <c r="AC77" s="161" t="s"/>
      <c r="AD77" s="161" t="s"/>
      <c r="AE77" s="161" t="s"/>
      <c r="AF77" s="161" t="s"/>
      <c r="AG77" s="161" t="s"/>
      <c r="AH77" s="161" t="s"/>
    </row>
    <row r="78" spans="1:34" customHeight="false">
      <c r="A78" s="121" t="s"/>
      <c r="B78" s="188" t="s"/>
      <c r="C78" s="188" t="s"/>
      <c r="D78" s="121" t="s"/>
      <c r="E78" s="121" t="s"/>
      <c r="F78" s="121" t="s"/>
      <c r="G78" s="121" t="s"/>
      <c r="H78" s="121" t="s"/>
      <c r="I78" s="161" t="s"/>
      <c r="J78" s="187" t="s"/>
      <c r="K78" s="187" t="s"/>
      <c r="L78" s="187" t="s"/>
      <c r="M78" s="161" t="s"/>
      <c r="N78" s="161" t="s"/>
      <c r="O78" s="161" t="s"/>
      <c r="P78" s="161" t="s"/>
      <c r="Q78" s="161" t="s"/>
      <c r="R78" s="161" t="s"/>
      <c r="S78" s="161" t="s"/>
      <c r="T78" s="161" t="s"/>
      <c r="U78" s="161" t="s"/>
      <c r="V78" s="161" t="s"/>
      <c r="W78" s="161" t="s"/>
      <c r="X78" s="161" t="s"/>
      <c r="Y78" s="161" t="s"/>
      <c r="Z78" s="161" t="s"/>
      <c r="AA78" s="161" t="s"/>
      <c r="AB78" s="161" t="s"/>
      <c r="AC78" s="161" t="s"/>
      <c r="AD78" s="161" t="s"/>
      <c r="AE78" s="161" t="s"/>
      <c r="AF78" s="161" t="s"/>
      <c r="AG78" s="161" t="s"/>
      <c r="AH78" s="161" t="s"/>
    </row>
    <row r="79" spans="1:34" customHeight="false">
      <c r="A79" s="121" t="s"/>
      <c r="B79" s="188" t="s"/>
      <c r="C79" s="188" t="s"/>
      <c r="D79" s="121" t="s"/>
      <c r="E79" s="121" t="s"/>
      <c r="F79" s="121" t="s"/>
      <c r="G79" s="121" t="s"/>
      <c r="H79" s="121" t="s"/>
      <c r="I79" s="161" t="s"/>
      <c r="J79" s="187" t="s"/>
      <c r="K79" s="187" t="s"/>
      <c r="L79" s="187" t="s"/>
      <c r="M79" s="161" t="s"/>
      <c r="N79" s="161" t="s"/>
      <c r="O79" s="161" t="s"/>
      <c r="P79" s="161" t="s"/>
      <c r="Q79" s="161" t="s"/>
      <c r="R79" s="161" t="s"/>
      <c r="S79" s="161" t="s"/>
      <c r="T79" s="161" t="s"/>
      <c r="U79" s="161" t="s"/>
      <c r="V79" s="161" t="s"/>
      <c r="W79" s="161" t="s"/>
      <c r="X79" s="161" t="s"/>
      <c r="Y79" s="161" t="s"/>
      <c r="Z79" s="161" t="s"/>
      <c r="AA79" s="161" t="s"/>
      <c r="AB79" s="161" t="s"/>
      <c r="AC79" s="161" t="s"/>
      <c r="AD79" s="161" t="s"/>
      <c r="AE79" s="161" t="s"/>
      <c r="AF79" s="161" t="s"/>
      <c r="AG79" s="161" t="s"/>
      <c r="AH79" s="161" t="s"/>
    </row>
    <row r="80" spans="1:34" customHeight="false">
      <c r="A80" s="121" t="s"/>
      <c r="B80" s="188" t="s"/>
      <c r="C80" s="188" t="s"/>
      <c r="D80" s="121" t="s"/>
      <c r="E80" s="121" t="s"/>
      <c r="F80" s="121" t="s"/>
      <c r="G80" s="121" t="s"/>
      <c r="H80" s="121" t="s"/>
      <c r="I80" s="161" t="s"/>
      <c r="J80" s="187" t="s"/>
      <c r="K80" s="187" t="s"/>
      <c r="L80" s="187" t="s"/>
      <c r="M80" s="161" t="s"/>
      <c r="N80" s="161" t="s"/>
      <c r="O80" s="161" t="s"/>
      <c r="P80" s="161" t="s"/>
      <c r="Q80" s="161" t="s"/>
      <c r="R80" s="161" t="s"/>
      <c r="S80" s="161" t="s"/>
      <c r="T80" s="161" t="s"/>
      <c r="U80" s="161" t="s"/>
      <c r="V80" s="161" t="s"/>
      <c r="W80" s="161" t="s"/>
      <c r="X80" s="161" t="s"/>
      <c r="Y80" s="161" t="s"/>
      <c r="Z80" s="161" t="s"/>
      <c r="AA80" s="161" t="s"/>
      <c r="AB80" s="161" t="s"/>
      <c r="AC80" s="161" t="s"/>
      <c r="AD80" s="161" t="s"/>
      <c r="AE80" s="161" t="s"/>
      <c r="AF80" s="161" t="s"/>
      <c r="AG80" s="161" t="s"/>
      <c r="AH80" s="161" t="s"/>
    </row>
    <row r="81" spans="1:34" customHeight="false">
      <c r="A81" s="121" t="s"/>
      <c r="B81" s="188" t="s"/>
      <c r="C81" s="188" t="s"/>
      <c r="D81" s="121" t="s"/>
      <c r="E81" s="121" t="s"/>
      <c r="F81" s="121" t="s"/>
      <c r="G81" s="121" t="s"/>
      <c r="H81" s="121" t="s"/>
      <c r="I81" s="161" t="s"/>
      <c r="J81" s="187" t="s"/>
      <c r="K81" s="187" t="s"/>
      <c r="L81" s="187" t="s"/>
      <c r="M81" s="161" t="s"/>
      <c r="N81" s="161" t="s"/>
      <c r="O81" s="161" t="s"/>
      <c r="P81" s="161" t="s"/>
      <c r="Q81" s="161" t="s"/>
      <c r="R81" s="161" t="s"/>
      <c r="S81" s="161" t="s"/>
      <c r="T81" s="161" t="s"/>
      <c r="U81" s="161" t="s"/>
      <c r="V81" s="161" t="s"/>
      <c r="W81" s="161" t="s"/>
      <c r="X81" s="161" t="s"/>
      <c r="Y81" s="161" t="s"/>
      <c r="Z81" s="161" t="s"/>
      <c r="AA81" s="161" t="s"/>
      <c r="AB81" s="161" t="s"/>
      <c r="AC81" s="161" t="s"/>
      <c r="AD81" s="161" t="s"/>
      <c r="AE81" s="161" t="s"/>
      <c r="AF81" s="161" t="s"/>
      <c r="AG81" s="161" t="s"/>
      <c r="AH81" s="161" t="s"/>
    </row>
    <row r="82" spans="1:34" customHeight="false">
      <c r="A82" s="121" t="s"/>
      <c r="B82" s="188" t="s"/>
      <c r="C82" s="188" t="s"/>
      <c r="D82" s="121" t="s"/>
      <c r="E82" s="121" t="s"/>
      <c r="F82" s="121" t="s"/>
      <c r="G82" s="121" t="s"/>
      <c r="H82" s="121" t="s"/>
      <c r="I82" s="161" t="s"/>
      <c r="J82" s="187" t="s"/>
      <c r="K82" s="187" t="s"/>
      <c r="L82" s="187" t="s"/>
      <c r="M82" s="161" t="s"/>
      <c r="N82" s="161" t="s"/>
      <c r="O82" s="161" t="s"/>
      <c r="P82" s="161" t="s"/>
      <c r="Q82" s="161" t="s"/>
      <c r="R82" s="161" t="s"/>
      <c r="S82" s="161" t="s"/>
      <c r="T82" s="161" t="s"/>
      <c r="U82" s="161" t="s"/>
      <c r="V82" s="161" t="s"/>
      <c r="W82" s="161" t="s"/>
      <c r="X82" s="161" t="s"/>
      <c r="Y82" s="161" t="s"/>
      <c r="Z82" s="161" t="s"/>
      <c r="AA82" s="161" t="s"/>
      <c r="AB82" s="161" t="s"/>
      <c r="AC82" s="161" t="s"/>
      <c r="AD82" s="161" t="s"/>
      <c r="AE82" s="161" t="s"/>
      <c r="AF82" s="161" t="s"/>
      <c r="AG82" s="161" t="s"/>
      <c r="AH82" s="161" t="s"/>
    </row>
    <row r="83" spans="1:34" customHeight="false">
      <c r="A83" s="121" t="s"/>
      <c r="B83" s="188" t="s"/>
      <c r="C83" s="188" t="s"/>
      <c r="D83" s="121" t="s"/>
      <c r="E83" s="121" t="s"/>
      <c r="F83" s="121" t="s"/>
      <c r="G83" s="121" t="s"/>
      <c r="H83" s="121" t="s"/>
      <c r="I83" s="161" t="s"/>
      <c r="J83" s="187" t="s"/>
      <c r="K83" s="187" t="s"/>
      <c r="L83" s="187" t="s"/>
      <c r="M83" s="161" t="s"/>
      <c r="N83" s="161" t="s"/>
      <c r="O83" s="161" t="s"/>
      <c r="P83" s="161" t="s"/>
      <c r="Q83" s="161" t="s"/>
      <c r="R83" s="161" t="s"/>
      <c r="S83" s="161" t="s"/>
      <c r="T83" s="161" t="s"/>
      <c r="U83" s="161" t="s"/>
      <c r="V83" s="161" t="s"/>
      <c r="W83" s="161" t="s"/>
      <c r="X83" s="161" t="s"/>
      <c r="Y83" s="161" t="s"/>
      <c r="Z83" s="161" t="s"/>
      <c r="AA83" s="161" t="s"/>
      <c r="AB83" s="161" t="s"/>
      <c r="AC83" s="161" t="s"/>
      <c r="AD83" s="161" t="s"/>
      <c r="AE83" s="161" t="s"/>
      <c r="AF83" s="161" t="s"/>
      <c r="AG83" s="161" t="s"/>
      <c r="AH83" s="161" t="s"/>
    </row>
    <row r="84" spans="1:34" customHeight="false">
      <c r="A84" s="121" t="s"/>
      <c r="B84" s="188" t="s"/>
      <c r="C84" s="188" t="s"/>
      <c r="D84" s="121" t="s"/>
      <c r="E84" s="121" t="s"/>
      <c r="F84" s="121" t="s"/>
      <c r="G84" s="121" t="s"/>
      <c r="H84" s="121" t="s"/>
      <c r="I84" s="161" t="s"/>
      <c r="J84" s="187" t="s"/>
      <c r="K84" s="187" t="s"/>
      <c r="L84" s="187" t="s"/>
      <c r="M84" s="161" t="s"/>
      <c r="N84" s="161" t="s"/>
      <c r="O84" s="161" t="s"/>
      <c r="P84" s="161" t="s"/>
      <c r="Q84" s="161" t="s"/>
      <c r="R84" s="161" t="s"/>
      <c r="S84" s="161" t="s"/>
      <c r="T84" s="161" t="s"/>
      <c r="U84" s="161" t="s"/>
      <c r="V84" s="161" t="s"/>
      <c r="W84" s="161" t="s"/>
      <c r="X84" s="161" t="s"/>
      <c r="Y84" s="161" t="s"/>
      <c r="Z84" s="161" t="s"/>
      <c r="AA84" s="161" t="s"/>
      <c r="AB84" s="161" t="s"/>
      <c r="AC84" s="161" t="s"/>
      <c r="AD84" s="161" t="s"/>
      <c r="AE84" s="161" t="s"/>
      <c r="AF84" s="161" t="s"/>
      <c r="AG84" s="161" t="s"/>
      <c r="AH84" s="161" t="s"/>
    </row>
    <row r="85" spans="1:34" customHeight="false">
      <c r="A85" s="121" t="s"/>
      <c r="B85" s="188" t="s"/>
      <c r="C85" s="188" t="s"/>
      <c r="D85" s="121" t="s"/>
      <c r="E85" s="121" t="s"/>
      <c r="F85" s="121" t="s"/>
      <c r="G85" s="121" t="s"/>
      <c r="H85" s="121" t="s"/>
      <c r="I85" s="161" t="s"/>
      <c r="J85" s="187" t="s"/>
      <c r="K85" s="187" t="s"/>
      <c r="L85" s="187" t="s"/>
      <c r="M85" s="161" t="s"/>
      <c r="N85" s="161" t="s"/>
      <c r="O85" s="161" t="s"/>
      <c r="P85" s="161" t="s"/>
      <c r="Q85" s="161" t="s"/>
      <c r="R85" s="161" t="s"/>
      <c r="S85" s="161" t="s"/>
      <c r="T85" s="161" t="s"/>
      <c r="U85" s="161" t="s"/>
      <c r="V85" s="161" t="s"/>
      <c r="W85" s="161" t="s"/>
      <c r="X85" s="161" t="s"/>
      <c r="Y85" s="161" t="s"/>
      <c r="Z85" s="161" t="s"/>
      <c r="AA85" s="161" t="s"/>
      <c r="AB85" s="161" t="s"/>
      <c r="AC85" s="161" t="s"/>
      <c r="AD85" s="161" t="s"/>
      <c r="AE85" s="161" t="s"/>
      <c r="AF85" s="161" t="s"/>
      <c r="AG85" s="161" t="s"/>
      <c r="AH85" s="161" t="s"/>
    </row>
    <row r="86" spans="1:34" customHeight="false">
      <c r="A86" s="121" t="s"/>
      <c r="B86" s="188" t="s"/>
      <c r="C86" s="188" t="s"/>
      <c r="D86" s="121" t="s"/>
      <c r="E86" s="121" t="s"/>
      <c r="F86" s="121" t="s"/>
      <c r="G86" s="121" t="s"/>
      <c r="H86" s="121" t="s"/>
      <c r="I86" s="161" t="s"/>
      <c r="J86" s="187" t="s"/>
      <c r="K86" s="187" t="s"/>
      <c r="L86" s="187" t="s"/>
      <c r="M86" s="161" t="s"/>
      <c r="N86" s="161" t="s"/>
      <c r="O86" s="161" t="s"/>
      <c r="P86" s="161" t="s"/>
      <c r="Q86" s="161" t="s"/>
      <c r="R86" s="161" t="s"/>
      <c r="S86" s="161" t="s"/>
      <c r="T86" s="161" t="s"/>
      <c r="U86" s="161" t="s"/>
      <c r="V86" s="161" t="s"/>
      <c r="W86" s="161" t="s"/>
      <c r="X86" s="161" t="s"/>
      <c r="Y86" s="161" t="s"/>
      <c r="Z86" s="161" t="s"/>
      <c r="AA86" s="161" t="s"/>
      <c r="AB86" s="161" t="s"/>
      <c r="AC86" s="161" t="s"/>
      <c r="AD86" s="161" t="s"/>
      <c r="AE86" s="161" t="s"/>
      <c r="AF86" s="161" t="s"/>
      <c r="AG86" s="161" t="s"/>
      <c r="AH86" s="161" t="s"/>
    </row>
    <row r="87" spans="1:34" customHeight="false">
      <c r="A87" s="121" t="s"/>
      <c r="B87" s="188" t="s"/>
      <c r="C87" s="188" t="s"/>
      <c r="D87" s="121" t="s"/>
      <c r="E87" s="121" t="s"/>
      <c r="F87" s="121" t="s"/>
      <c r="G87" s="121" t="s"/>
      <c r="H87" s="121" t="s"/>
      <c r="I87" s="161" t="s"/>
      <c r="J87" s="187" t="s"/>
      <c r="K87" s="187" t="s"/>
      <c r="L87" s="187" t="s"/>
      <c r="M87" s="161" t="s"/>
      <c r="N87" s="161" t="s"/>
      <c r="O87" s="161" t="s"/>
      <c r="P87" s="161" t="s"/>
      <c r="Q87" s="161" t="s"/>
      <c r="R87" s="161" t="s"/>
      <c r="S87" s="161" t="s"/>
      <c r="T87" s="161" t="s"/>
      <c r="U87" s="161" t="s"/>
      <c r="V87" s="161" t="s"/>
      <c r="W87" s="161" t="s"/>
      <c r="X87" s="161" t="s"/>
      <c r="Y87" s="161" t="s"/>
      <c r="Z87" s="161" t="s"/>
      <c r="AA87" s="161" t="s"/>
      <c r="AB87" s="161" t="s"/>
      <c r="AC87" s="161" t="s"/>
      <c r="AD87" s="161" t="s"/>
      <c r="AE87" s="161" t="s"/>
      <c r="AF87" s="161" t="s"/>
      <c r="AG87" s="161" t="s"/>
      <c r="AH87" s="161" t="s"/>
    </row>
    <row r="88" spans="1:34" customHeight="false">
      <c r="A88" s="121" t="s"/>
      <c r="B88" s="188" t="s"/>
      <c r="C88" s="188" t="s"/>
      <c r="D88" s="121" t="s"/>
      <c r="E88" s="121" t="s"/>
      <c r="F88" s="121" t="s"/>
      <c r="G88" s="121" t="s"/>
      <c r="H88" s="121" t="s"/>
      <c r="I88" s="161" t="s"/>
      <c r="J88" s="187" t="s"/>
      <c r="K88" s="187" t="s"/>
      <c r="L88" s="187" t="s"/>
      <c r="M88" s="161" t="s"/>
      <c r="N88" s="161" t="s"/>
      <c r="O88" s="161" t="s"/>
      <c r="P88" s="161" t="s"/>
      <c r="Q88" s="161" t="s"/>
      <c r="R88" s="161" t="s"/>
      <c r="S88" s="161" t="s"/>
      <c r="T88" s="161" t="s"/>
      <c r="U88" s="161" t="s"/>
      <c r="V88" s="161" t="s"/>
      <c r="W88" s="161" t="s"/>
      <c r="X88" s="161" t="s"/>
      <c r="Y88" s="161" t="s"/>
      <c r="Z88" s="161" t="s"/>
      <c r="AA88" s="161" t="s"/>
      <c r="AB88" s="161" t="s"/>
      <c r="AC88" s="161" t="s"/>
      <c r="AD88" s="161" t="s"/>
      <c r="AE88" s="161" t="s"/>
      <c r="AF88" s="161" t="s"/>
      <c r="AG88" s="161" t="s"/>
      <c r="AH88" s="161" t="s"/>
    </row>
    <row r="89" spans="1:34" customHeight="false">
      <c r="A89" s="121" t="s"/>
      <c r="B89" s="188" t="s"/>
      <c r="C89" s="188" t="s"/>
      <c r="D89" s="121" t="s"/>
      <c r="E89" s="121" t="s"/>
      <c r="F89" s="121" t="s"/>
      <c r="G89" s="121" t="s"/>
      <c r="H89" s="121" t="s"/>
      <c r="I89" s="161" t="s"/>
      <c r="J89" s="187" t="s"/>
      <c r="K89" s="187" t="s"/>
      <c r="L89" s="187" t="s"/>
      <c r="M89" s="161" t="s"/>
      <c r="N89" s="161" t="s"/>
      <c r="O89" s="161" t="s"/>
      <c r="P89" s="161" t="s"/>
      <c r="Q89" s="161" t="s"/>
      <c r="R89" s="161" t="s"/>
      <c r="S89" s="161" t="s"/>
      <c r="T89" s="161" t="s"/>
      <c r="U89" s="161" t="s"/>
      <c r="V89" s="161" t="s"/>
      <c r="W89" s="161" t="s"/>
      <c r="X89" s="161" t="s"/>
      <c r="Y89" s="161" t="s"/>
      <c r="Z89" s="161" t="s"/>
      <c r="AA89" s="161" t="s"/>
      <c r="AB89" s="161" t="s"/>
      <c r="AC89" s="161" t="s"/>
      <c r="AD89" s="161" t="s"/>
      <c r="AE89" s="161" t="s"/>
      <c r="AF89" s="161" t="s"/>
      <c r="AG89" s="161" t="s"/>
      <c r="AH89" s="161" t="s"/>
    </row>
    <row r="90" spans="1:34" customHeight="false">
      <c r="A90" s="121" t="s"/>
      <c r="B90" s="188" t="s"/>
      <c r="C90" s="188" t="s"/>
      <c r="D90" s="121" t="s"/>
      <c r="E90" s="121" t="s"/>
      <c r="F90" s="121" t="s"/>
      <c r="G90" s="121" t="s"/>
      <c r="H90" s="121" t="s"/>
      <c r="I90" s="161" t="s"/>
      <c r="J90" s="187" t="s"/>
      <c r="K90" s="187" t="s"/>
      <c r="L90" s="187" t="s"/>
      <c r="M90" s="161" t="s"/>
      <c r="N90" s="161" t="s"/>
      <c r="O90" s="161" t="s"/>
      <c r="P90" s="161" t="s"/>
      <c r="Q90" s="161" t="s"/>
      <c r="R90" s="161" t="s"/>
      <c r="S90" s="161" t="s"/>
      <c r="T90" s="161" t="s"/>
      <c r="U90" s="161" t="s"/>
      <c r="V90" s="161" t="s"/>
      <c r="W90" s="161" t="s"/>
      <c r="X90" s="161" t="s"/>
      <c r="Y90" s="161" t="s"/>
      <c r="Z90" s="161" t="s"/>
      <c r="AA90" s="161" t="s"/>
      <c r="AB90" s="161" t="s"/>
      <c r="AC90" s="161" t="s"/>
      <c r="AD90" s="161" t="s"/>
      <c r="AE90" s="161" t="s"/>
      <c r="AF90" s="161" t="s"/>
      <c r="AG90" s="161" t="s"/>
      <c r="AH90" s="161" t="s"/>
    </row>
    <row r="91" spans="1:34" customHeight="false">
      <c r="A91" s="121" t="s"/>
      <c r="B91" s="188" t="s"/>
      <c r="C91" s="188" t="s"/>
      <c r="D91" s="121" t="s"/>
      <c r="E91" s="121" t="s"/>
      <c r="F91" s="121" t="s"/>
      <c r="G91" s="121" t="s"/>
      <c r="H91" s="121" t="s"/>
      <c r="I91" s="161" t="s"/>
      <c r="J91" s="187" t="s"/>
      <c r="K91" s="187" t="s"/>
      <c r="L91" s="187" t="s"/>
      <c r="M91" s="161" t="s"/>
      <c r="N91" s="161" t="s"/>
      <c r="O91" s="161" t="s"/>
      <c r="P91" s="161" t="s"/>
      <c r="Q91" s="161" t="s"/>
      <c r="R91" s="161" t="s"/>
      <c r="S91" s="161" t="s"/>
      <c r="T91" s="161" t="s"/>
      <c r="U91" s="161" t="s"/>
      <c r="V91" s="161" t="s"/>
      <c r="W91" s="161" t="s"/>
      <c r="X91" s="161" t="s"/>
      <c r="Y91" s="161" t="s"/>
      <c r="Z91" s="161" t="s"/>
      <c r="AA91" s="161" t="s"/>
      <c r="AB91" s="161" t="s"/>
      <c r="AC91" s="161" t="s"/>
      <c r="AD91" s="161" t="s"/>
      <c r="AE91" s="161" t="s"/>
      <c r="AF91" s="161" t="s"/>
      <c r="AG91" s="161" t="s"/>
      <c r="AH91" s="161" t="s"/>
    </row>
    <row r="92" spans="1:34" customHeight="false">
      <c r="A92" s="121" t="s"/>
      <c r="B92" s="188" t="s"/>
      <c r="C92" s="188" t="s"/>
      <c r="D92" s="121" t="s"/>
      <c r="E92" s="121" t="s"/>
      <c r="F92" s="121" t="s"/>
      <c r="G92" s="121" t="s"/>
      <c r="H92" s="121" t="s"/>
      <c r="I92" s="161" t="s"/>
      <c r="J92" s="187" t="s"/>
      <c r="K92" s="187" t="s"/>
      <c r="L92" s="187" t="s"/>
      <c r="M92" s="161" t="s"/>
      <c r="N92" s="161" t="s"/>
      <c r="O92" s="161" t="s"/>
      <c r="P92" s="161" t="s"/>
      <c r="Q92" s="161" t="s"/>
      <c r="R92" s="161" t="s"/>
      <c r="S92" s="161" t="s"/>
      <c r="T92" s="161" t="s"/>
      <c r="U92" s="161" t="s"/>
      <c r="V92" s="161" t="s"/>
      <c r="W92" s="161" t="s"/>
      <c r="X92" s="161" t="s"/>
      <c r="Y92" s="161" t="s"/>
      <c r="Z92" s="161" t="s"/>
      <c r="AA92" s="161" t="s"/>
      <c r="AB92" s="161" t="s"/>
      <c r="AC92" s="161" t="s"/>
      <c r="AD92" s="161" t="s"/>
      <c r="AE92" s="161" t="s"/>
      <c r="AF92" s="161" t="s"/>
      <c r="AG92" s="161" t="s"/>
      <c r="AH92" s="161" t="s"/>
    </row>
    <row r="93" spans="1:34" customHeight="false">
      <c r="A93" s="121" t="s"/>
      <c r="B93" s="188" t="s"/>
      <c r="C93" s="188" t="s"/>
      <c r="D93" s="121" t="s"/>
      <c r="E93" s="121" t="s"/>
      <c r="F93" s="121" t="s"/>
      <c r="G93" s="121" t="s"/>
      <c r="H93" s="121" t="s"/>
      <c r="I93" s="161" t="s"/>
      <c r="J93" s="187" t="s"/>
      <c r="K93" s="187" t="s"/>
      <c r="L93" s="187" t="s"/>
      <c r="M93" s="161" t="s"/>
      <c r="N93" s="161" t="s"/>
      <c r="O93" s="161" t="s"/>
      <c r="P93" s="161" t="s"/>
      <c r="Q93" s="161" t="s"/>
      <c r="R93" s="161" t="s"/>
      <c r="S93" s="161" t="s"/>
      <c r="T93" s="161" t="s"/>
      <c r="U93" s="161" t="s"/>
      <c r="V93" s="161" t="s"/>
      <c r="W93" s="161" t="s"/>
      <c r="X93" s="161" t="s"/>
      <c r="Y93" s="161" t="s"/>
      <c r="Z93" s="161" t="s"/>
      <c r="AA93" s="161" t="s"/>
      <c r="AB93" s="161" t="s"/>
      <c r="AC93" s="161" t="s"/>
      <c r="AD93" s="161" t="s"/>
      <c r="AE93" s="161" t="s"/>
      <c r="AF93" s="161" t="s"/>
      <c r="AG93" s="161" t="s"/>
      <c r="AH93" s="161" t="s"/>
    </row>
    <row r="94" spans="1:34" customHeight="false">
      <c r="A94" s="121" t="s"/>
      <c r="B94" s="188" t="s"/>
      <c r="C94" s="188" t="s"/>
      <c r="D94" s="121" t="s"/>
      <c r="E94" s="121" t="s"/>
      <c r="F94" s="121" t="s"/>
      <c r="G94" s="121" t="s"/>
      <c r="H94" s="121" t="s"/>
      <c r="I94" s="161" t="s"/>
      <c r="J94" s="187" t="s"/>
      <c r="K94" s="187" t="s"/>
      <c r="L94" s="187" t="s"/>
      <c r="M94" s="161" t="s"/>
      <c r="N94" s="161" t="s"/>
      <c r="O94" s="161" t="s"/>
      <c r="P94" s="161" t="s"/>
      <c r="Q94" s="161" t="s"/>
      <c r="R94" s="161" t="s"/>
      <c r="S94" s="161" t="s"/>
      <c r="T94" s="161" t="s"/>
      <c r="U94" s="161" t="s"/>
      <c r="V94" s="161" t="s"/>
      <c r="W94" s="161" t="s"/>
      <c r="X94" s="161" t="s"/>
      <c r="Y94" s="161" t="s"/>
      <c r="Z94" s="161" t="s"/>
      <c r="AA94" s="161" t="s"/>
      <c r="AB94" s="161" t="s"/>
      <c r="AC94" s="161" t="s"/>
      <c r="AD94" s="161" t="s"/>
      <c r="AE94" s="161" t="s"/>
      <c r="AF94" s="161" t="s"/>
      <c r="AG94" s="161" t="s"/>
      <c r="AH94" s="161" t="s"/>
    </row>
    <row r="95" spans="1:34" customHeight="false">
      <c r="A95" s="121" t="s"/>
      <c r="B95" s="188" t="s"/>
      <c r="C95" s="188" t="s"/>
      <c r="D95" s="121" t="s"/>
      <c r="E95" s="121" t="s"/>
      <c r="F95" s="121" t="s"/>
      <c r="G95" s="121" t="s"/>
      <c r="H95" s="121" t="s"/>
      <c r="I95" s="161" t="s"/>
      <c r="J95" s="187" t="s"/>
      <c r="K95" s="187" t="s"/>
      <c r="L95" s="187" t="s"/>
      <c r="M95" s="161" t="s"/>
      <c r="N95" s="161" t="s"/>
      <c r="O95" s="161" t="s"/>
      <c r="P95" s="161" t="s"/>
      <c r="Q95" s="161" t="s"/>
      <c r="R95" s="161" t="s"/>
      <c r="S95" s="161" t="s"/>
      <c r="T95" s="161" t="s"/>
      <c r="U95" s="161" t="s"/>
      <c r="V95" s="161" t="s"/>
      <c r="W95" s="161" t="s"/>
      <c r="X95" s="161" t="s"/>
      <c r="Y95" s="161" t="s"/>
      <c r="Z95" s="161" t="s"/>
      <c r="AA95" s="161" t="s"/>
      <c r="AB95" s="161" t="s"/>
      <c r="AC95" s="161" t="s"/>
      <c r="AD95" s="161" t="s"/>
      <c r="AE95" s="161" t="s"/>
      <c r="AF95" s="161" t="s"/>
      <c r="AG95" s="161" t="s"/>
      <c r="AH95" s="161" t="s"/>
    </row>
    <row r="96" spans="1:34" customHeight="false">
      <c r="A96" s="121" t="s"/>
      <c r="B96" s="188" t="s"/>
      <c r="C96" s="188" t="s"/>
      <c r="D96" s="121" t="s"/>
      <c r="E96" s="121" t="s"/>
      <c r="F96" s="121" t="s"/>
      <c r="G96" s="121" t="s"/>
      <c r="H96" s="121" t="s"/>
      <c r="I96" s="161" t="s"/>
      <c r="J96" s="187" t="s"/>
      <c r="K96" s="187" t="s"/>
      <c r="L96" s="187" t="s"/>
      <c r="M96" s="161" t="s"/>
      <c r="N96" s="161" t="s"/>
      <c r="O96" s="161" t="s"/>
      <c r="P96" s="161" t="s"/>
      <c r="Q96" s="161" t="s"/>
      <c r="R96" s="161" t="s"/>
      <c r="S96" s="161" t="s"/>
      <c r="T96" s="161" t="s"/>
      <c r="U96" s="161" t="s"/>
      <c r="V96" s="161" t="s"/>
      <c r="W96" s="161" t="s"/>
      <c r="X96" s="161" t="s"/>
      <c r="Y96" s="161" t="s"/>
      <c r="Z96" s="161" t="s"/>
      <c r="AA96" s="161" t="s"/>
      <c r="AB96" s="161" t="s"/>
      <c r="AC96" s="161" t="s"/>
      <c r="AD96" s="161" t="s"/>
      <c r="AE96" s="161" t="s"/>
      <c r="AF96" s="161" t="s"/>
      <c r="AG96" s="161" t="s"/>
      <c r="AH96" s="161" t="s"/>
    </row>
    <row r="97" spans="1:34" customHeight="false">
      <c r="A97" s="121" t="s"/>
      <c r="B97" s="188" t="s"/>
      <c r="C97" s="188" t="s"/>
      <c r="D97" s="121" t="s"/>
      <c r="E97" s="121" t="s"/>
      <c r="F97" s="121" t="s"/>
      <c r="G97" s="121" t="s"/>
      <c r="H97" s="121" t="s"/>
      <c r="I97" s="161" t="s"/>
      <c r="J97" s="187" t="s"/>
      <c r="K97" s="187" t="s"/>
      <c r="L97" s="187" t="s"/>
      <c r="M97" s="161" t="s"/>
      <c r="N97" s="161" t="s"/>
      <c r="O97" s="161" t="s"/>
      <c r="P97" s="161" t="s"/>
      <c r="Q97" s="161" t="s"/>
      <c r="R97" s="161" t="s"/>
      <c r="S97" s="161" t="s"/>
      <c r="T97" s="161" t="s"/>
      <c r="U97" s="161" t="s"/>
      <c r="V97" s="161" t="s"/>
      <c r="W97" s="161" t="s"/>
      <c r="X97" s="161" t="s"/>
      <c r="Y97" s="161" t="s"/>
      <c r="Z97" s="161" t="s"/>
      <c r="AA97" s="161" t="s"/>
      <c r="AB97" s="161" t="s"/>
      <c r="AC97" s="161" t="s"/>
      <c r="AD97" s="161" t="s"/>
      <c r="AE97" s="161" t="s"/>
      <c r="AF97" s="161" t="s"/>
      <c r="AG97" s="161" t="s"/>
      <c r="AH97" s="161" t="s"/>
    </row>
    <row r="98" spans="1:34" customHeight="false">
      <c r="A98" s="121" t="s"/>
      <c r="B98" s="188" t="s"/>
      <c r="C98" s="188" t="s"/>
      <c r="D98" s="121" t="s"/>
      <c r="E98" s="121" t="s"/>
      <c r="F98" s="121" t="s"/>
      <c r="G98" s="121" t="s"/>
      <c r="H98" s="121" t="s"/>
      <c r="I98" s="161" t="s"/>
      <c r="J98" s="187" t="s"/>
      <c r="K98" s="187" t="s"/>
      <c r="L98" s="187" t="s"/>
      <c r="M98" s="161" t="s"/>
      <c r="N98" s="161" t="s"/>
      <c r="O98" s="161" t="s"/>
      <c r="P98" s="161" t="s"/>
      <c r="Q98" s="161" t="s"/>
      <c r="R98" s="161" t="s"/>
      <c r="S98" s="161" t="s"/>
      <c r="T98" s="161" t="s"/>
      <c r="U98" s="161" t="s"/>
      <c r="V98" s="161" t="s"/>
      <c r="W98" s="161" t="s"/>
      <c r="X98" s="161" t="s"/>
      <c r="Y98" s="161" t="s"/>
      <c r="Z98" s="161" t="s"/>
      <c r="AA98" s="161" t="s"/>
      <c r="AB98" s="161" t="s"/>
      <c r="AC98" s="161" t="s"/>
      <c r="AD98" s="161" t="s"/>
      <c r="AE98" s="161" t="s"/>
      <c r="AF98" s="161" t="s"/>
      <c r="AG98" s="161" t="s"/>
      <c r="AH98" s="161" t="s"/>
    </row>
    <row r="99" spans="1:34" customHeight="false">
      <c r="A99" s="121" t="s"/>
      <c r="B99" s="188" t="s"/>
      <c r="C99" s="188" t="s"/>
      <c r="D99" s="121" t="s"/>
      <c r="E99" s="121" t="s"/>
      <c r="F99" s="121" t="s"/>
      <c r="G99" s="121" t="s"/>
      <c r="H99" s="121" t="s"/>
      <c r="I99" s="161" t="s"/>
      <c r="J99" s="187" t="s"/>
      <c r="K99" s="187" t="s"/>
      <c r="L99" s="187" t="s"/>
      <c r="M99" s="161" t="s"/>
      <c r="N99" s="161" t="s"/>
      <c r="O99" s="161" t="s"/>
      <c r="P99" s="161" t="s"/>
      <c r="Q99" s="161" t="s"/>
      <c r="R99" s="161" t="s"/>
      <c r="S99" s="161" t="s"/>
      <c r="T99" s="161" t="s"/>
      <c r="U99" s="161" t="s"/>
      <c r="V99" s="161" t="s"/>
      <c r="W99" s="161" t="s"/>
      <c r="X99" s="161" t="s"/>
      <c r="Y99" s="161" t="s"/>
      <c r="Z99" s="161" t="s"/>
      <c r="AA99" s="161" t="s"/>
      <c r="AB99" s="161" t="s"/>
      <c r="AC99" s="161" t="s"/>
      <c r="AD99" s="161" t="s"/>
      <c r="AE99" s="161" t="s"/>
      <c r="AF99" s="161" t="s"/>
      <c r="AG99" s="161" t="s"/>
      <c r="AH99" s="161" t="s"/>
    </row>
    <row r="100" spans="1:34" customHeight="false">
      <c r="A100" s="121" t="s"/>
      <c r="B100" s="188" t="s"/>
      <c r="C100" s="188" t="s"/>
      <c r="D100" s="121" t="s"/>
      <c r="E100" s="121" t="s"/>
      <c r="F100" s="121" t="s"/>
      <c r="G100" s="121" t="s"/>
      <c r="H100" s="121" t="s"/>
      <c r="I100" s="161" t="s"/>
      <c r="J100" s="187" t="s"/>
      <c r="K100" s="187" t="s"/>
      <c r="L100" s="187" t="s"/>
      <c r="M100" s="161" t="s"/>
      <c r="N100" s="161" t="s"/>
      <c r="O100" s="161" t="s"/>
      <c r="P100" s="161" t="s"/>
      <c r="Q100" s="161" t="s"/>
      <c r="R100" s="161" t="s"/>
      <c r="S100" s="161" t="s"/>
      <c r="T100" s="161" t="s"/>
      <c r="U100" s="161" t="s"/>
      <c r="V100" s="161" t="s"/>
      <c r="W100" s="161" t="s"/>
      <c r="X100" s="161" t="s"/>
      <c r="Y100" s="161" t="s"/>
      <c r="Z100" s="161" t="s"/>
      <c r="AA100" s="161" t="s"/>
      <c r="AB100" s="161" t="s"/>
      <c r="AC100" s="161" t="s"/>
      <c r="AD100" s="161" t="s"/>
      <c r="AE100" s="161" t="s"/>
      <c r="AF100" s="161" t="s"/>
      <c r="AG100" s="161" t="s"/>
      <c r="AH100" s="161" t="s"/>
    </row>
    <row r="101" spans="1:34" customHeight="false">
      <c r="A101" s="121" t="s"/>
      <c r="B101" s="188" t="s"/>
      <c r="C101" s="188" t="s"/>
      <c r="D101" s="121" t="s"/>
      <c r="E101" s="121" t="s"/>
      <c r="F101" s="121" t="s"/>
      <c r="G101" s="121" t="s"/>
      <c r="H101" s="121" t="s"/>
      <c r="I101" s="161" t="s"/>
      <c r="J101" s="187" t="s"/>
      <c r="K101" s="187" t="s"/>
      <c r="L101" s="187" t="s"/>
      <c r="M101" s="161" t="s"/>
      <c r="N101" s="161" t="s"/>
      <c r="O101" s="161" t="s"/>
      <c r="P101" s="161" t="s"/>
      <c r="Q101" s="161" t="s"/>
      <c r="R101" s="161" t="s"/>
      <c r="S101" s="161" t="s"/>
      <c r="T101" s="161" t="s"/>
      <c r="U101" s="161" t="s"/>
      <c r="V101" s="161" t="s"/>
      <c r="W101" s="161" t="s"/>
      <c r="X101" s="161" t="s"/>
      <c r="Y101" s="161" t="s"/>
      <c r="Z101" s="161" t="s"/>
      <c r="AA101" s="161" t="s"/>
      <c r="AB101" s="161" t="s"/>
      <c r="AC101" s="161" t="s"/>
      <c r="AD101" s="161" t="s"/>
      <c r="AE101" s="161" t="s"/>
      <c r="AF101" s="161" t="s"/>
      <c r="AG101" s="161" t="s"/>
      <c r="AH101" s="161" t="s"/>
    </row>
    <row r="102" spans="1:34" customHeight="false">
      <c r="A102" s="121" t="s"/>
      <c r="B102" s="188" t="s"/>
      <c r="C102" s="188" t="s"/>
      <c r="D102" s="121" t="s"/>
      <c r="E102" s="121" t="s"/>
      <c r="F102" s="121" t="s"/>
      <c r="G102" s="121" t="s"/>
      <c r="H102" s="121" t="s"/>
      <c r="I102" s="161" t="s"/>
      <c r="J102" s="187" t="s"/>
      <c r="K102" s="187" t="s"/>
      <c r="L102" s="187" t="s"/>
      <c r="M102" s="161" t="s"/>
      <c r="N102" s="161" t="s"/>
      <c r="O102" s="161" t="s"/>
      <c r="P102" s="161" t="s"/>
      <c r="Q102" s="161" t="s"/>
      <c r="R102" s="161" t="s"/>
      <c r="S102" s="161" t="s"/>
      <c r="T102" s="161" t="s"/>
      <c r="U102" s="161" t="s"/>
      <c r="V102" s="161" t="s"/>
      <c r="W102" s="161" t="s"/>
      <c r="X102" s="161" t="s"/>
      <c r="Y102" s="161" t="s"/>
      <c r="Z102" s="161" t="s"/>
      <c r="AA102" s="161" t="s"/>
      <c r="AB102" s="161" t="s"/>
      <c r="AC102" s="161" t="s"/>
      <c r="AD102" s="161" t="s"/>
      <c r="AE102" s="161" t="s"/>
      <c r="AF102" s="161" t="s"/>
      <c r="AG102" s="161" t="s"/>
      <c r="AH102" s="161" t="s"/>
    </row>
    <row r="103" spans="1:34" customHeight="false">
      <c r="A103" s="121" t="s"/>
      <c r="B103" s="188" t="s"/>
      <c r="C103" s="188" t="s"/>
      <c r="D103" s="121" t="s"/>
      <c r="E103" s="121" t="s"/>
      <c r="F103" s="121" t="s"/>
      <c r="G103" s="121" t="s"/>
      <c r="H103" s="121" t="s"/>
      <c r="I103" s="161" t="s"/>
      <c r="J103" s="187" t="s"/>
      <c r="K103" s="187" t="s"/>
      <c r="L103" s="187" t="s"/>
      <c r="M103" s="161" t="s"/>
      <c r="N103" s="161" t="s"/>
      <c r="O103" s="161" t="s"/>
      <c r="P103" s="161" t="s"/>
      <c r="Q103" s="161" t="s"/>
      <c r="R103" s="161" t="s"/>
      <c r="S103" s="161" t="s"/>
      <c r="T103" s="161" t="s"/>
      <c r="U103" s="161" t="s"/>
      <c r="V103" s="161" t="s"/>
      <c r="W103" s="161" t="s"/>
      <c r="X103" s="161" t="s"/>
      <c r="Y103" s="161" t="s"/>
      <c r="Z103" s="161" t="s"/>
      <c r="AA103" s="161" t="s"/>
      <c r="AB103" s="161" t="s"/>
      <c r="AC103" s="161" t="s"/>
      <c r="AD103" s="161" t="s"/>
      <c r="AE103" s="161" t="s"/>
      <c r="AF103" s="161" t="s"/>
      <c r="AG103" s="161" t="s"/>
      <c r="AH103" s="161" t="s"/>
    </row>
    <row r="104" spans="1:34" customHeight="false">
      <c r="A104" s="121" t="s"/>
      <c r="B104" s="188" t="s"/>
      <c r="C104" s="188" t="s"/>
      <c r="D104" s="121" t="s"/>
      <c r="E104" s="121" t="s"/>
      <c r="F104" s="121" t="s"/>
      <c r="G104" s="121" t="s"/>
      <c r="H104" s="121" t="s"/>
      <c r="I104" s="161" t="s"/>
      <c r="J104" s="187" t="s"/>
      <c r="K104" s="187" t="s"/>
      <c r="L104" s="187" t="s"/>
      <c r="M104" s="161" t="s"/>
      <c r="N104" s="161" t="s"/>
      <c r="O104" s="161" t="s"/>
      <c r="P104" s="161" t="s"/>
      <c r="Q104" s="161" t="s"/>
      <c r="R104" s="161" t="s"/>
      <c r="S104" s="161" t="s"/>
      <c r="T104" s="161" t="s"/>
      <c r="U104" s="161" t="s"/>
      <c r="V104" s="161" t="s"/>
      <c r="W104" s="161" t="s"/>
      <c r="X104" s="161" t="s"/>
      <c r="Y104" s="161" t="s"/>
      <c r="Z104" s="161" t="s"/>
      <c r="AA104" s="161" t="s"/>
      <c r="AB104" s="161" t="s"/>
      <c r="AC104" s="161" t="s"/>
      <c r="AD104" s="161" t="s"/>
      <c r="AE104" s="161" t="s"/>
      <c r="AF104" s="161" t="s"/>
      <c r="AG104" s="161" t="s"/>
      <c r="AH104" s="161" t="s"/>
    </row>
    <row r="105" spans="1:34" customHeight="false">
      <c r="A105" s="121" t="s"/>
      <c r="B105" s="188" t="s"/>
      <c r="C105" s="188" t="s"/>
      <c r="D105" s="121" t="s"/>
      <c r="E105" s="121" t="s"/>
      <c r="F105" s="121" t="s"/>
      <c r="G105" s="121" t="s"/>
      <c r="H105" s="121" t="s"/>
      <c r="I105" s="161" t="s"/>
      <c r="J105" s="187" t="s"/>
      <c r="K105" s="187" t="s"/>
      <c r="L105" s="187" t="s"/>
      <c r="M105" s="161" t="s"/>
      <c r="N105" s="161" t="s"/>
      <c r="O105" s="161" t="s"/>
      <c r="P105" s="161" t="s"/>
      <c r="Q105" s="161" t="s"/>
      <c r="R105" s="161" t="s"/>
      <c r="S105" s="161" t="s"/>
      <c r="T105" s="161" t="s"/>
      <c r="U105" s="161" t="s"/>
      <c r="V105" s="161" t="s"/>
      <c r="W105" s="161" t="s"/>
      <c r="X105" s="161" t="s"/>
      <c r="Y105" s="161" t="s"/>
      <c r="Z105" s="161" t="s"/>
      <c r="AA105" s="161" t="s"/>
      <c r="AB105" s="161" t="s"/>
      <c r="AC105" s="161" t="s"/>
      <c r="AD105" s="161" t="s"/>
      <c r="AE105" s="161" t="s"/>
      <c r="AF105" s="161" t="s"/>
      <c r="AG105" s="161" t="s"/>
      <c r="AH105" s="161" t="s"/>
    </row>
    <row r="106" spans="1:34" customHeight="false">
      <c r="A106" s="121" t="s"/>
      <c r="B106" s="188" t="s"/>
      <c r="C106" s="188" t="s"/>
      <c r="D106" s="121" t="s"/>
      <c r="E106" s="121" t="s"/>
      <c r="F106" s="121" t="s"/>
      <c r="G106" s="121" t="s"/>
      <c r="H106" s="121" t="s"/>
      <c r="I106" s="161" t="s"/>
      <c r="J106" s="187" t="s"/>
      <c r="K106" s="187" t="s"/>
      <c r="L106" s="187" t="s"/>
      <c r="M106" s="161" t="s"/>
      <c r="N106" s="161" t="s"/>
      <c r="O106" s="161" t="s"/>
      <c r="P106" s="161" t="s"/>
      <c r="Q106" s="161" t="s"/>
      <c r="R106" s="161" t="s"/>
      <c r="S106" s="161" t="s"/>
      <c r="T106" s="161" t="s"/>
      <c r="U106" s="161" t="s"/>
      <c r="V106" s="161" t="s"/>
      <c r="W106" s="161" t="s"/>
      <c r="X106" s="161" t="s"/>
      <c r="Y106" s="161" t="s"/>
      <c r="Z106" s="161" t="s"/>
      <c r="AA106" s="161" t="s"/>
      <c r="AB106" s="161" t="s"/>
      <c r="AC106" s="161" t="s"/>
      <c r="AD106" s="161" t="s"/>
      <c r="AE106" s="161" t="s"/>
      <c r="AF106" s="161" t="s"/>
      <c r="AG106" s="161" t="s"/>
      <c r="AH106" s="161" t="s"/>
    </row>
    <row r="107" spans="1:34" customHeight="false">
      <c r="A107" s="121" t="s"/>
      <c r="B107" s="188" t="s"/>
      <c r="C107" s="188" t="s"/>
      <c r="D107" s="121" t="s"/>
      <c r="E107" s="121" t="s"/>
      <c r="F107" s="121" t="s"/>
      <c r="G107" s="121" t="s"/>
      <c r="H107" s="121" t="s"/>
      <c r="I107" s="161" t="s"/>
      <c r="J107" s="187" t="s"/>
      <c r="K107" s="187" t="s"/>
      <c r="L107" s="187" t="s"/>
      <c r="M107" s="161" t="s"/>
      <c r="N107" s="161" t="s"/>
      <c r="O107" s="161" t="s"/>
      <c r="P107" s="161" t="s"/>
      <c r="Q107" s="161" t="s"/>
      <c r="R107" s="161" t="s"/>
      <c r="S107" s="161" t="s"/>
      <c r="T107" s="161" t="s"/>
      <c r="U107" s="161" t="s"/>
      <c r="V107" s="161" t="s"/>
      <c r="W107" s="161" t="s"/>
      <c r="X107" s="161" t="s"/>
      <c r="Y107" s="161" t="s"/>
      <c r="Z107" s="161" t="s"/>
      <c r="AA107" s="161" t="s"/>
      <c r="AB107" s="161" t="s"/>
      <c r="AC107" s="161" t="s"/>
      <c r="AD107" s="161" t="s"/>
      <c r="AE107" s="161" t="s"/>
      <c r="AF107" s="161" t="s"/>
      <c r="AG107" s="161" t="s"/>
      <c r="AH107" s="161" t="s"/>
    </row>
    <row r="108" spans="1:34" customHeight="false">
      <c r="A108" s="121" t="s"/>
      <c r="B108" s="188" t="s"/>
      <c r="C108" s="188" t="s"/>
      <c r="D108" s="121" t="s"/>
      <c r="E108" s="121" t="s"/>
      <c r="F108" s="121" t="s"/>
      <c r="G108" s="121" t="s"/>
      <c r="H108" s="121" t="s"/>
      <c r="I108" s="161" t="s"/>
      <c r="J108" s="187" t="s"/>
      <c r="K108" s="187" t="s"/>
      <c r="L108" s="187" t="s"/>
      <c r="M108" s="161" t="s"/>
      <c r="N108" s="161" t="s"/>
      <c r="O108" s="161" t="s"/>
      <c r="P108" s="161" t="s"/>
      <c r="Q108" s="161" t="s"/>
      <c r="R108" s="161" t="s"/>
      <c r="S108" s="161" t="s"/>
      <c r="T108" s="161" t="s"/>
      <c r="U108" s="161" t="s"/>
      <c r="V108" s="161" t="s"/>
      <c r="W108" s="161" t="s"/>
      <c r="X108" s="161" t="s"/>
      <c r="Y108" s="161" t="s"/>
      <c r="Z108" s="161" t="s"/>
      <c r="AA108" s="161" t="s"/>
      <c r="AB108" s="161" t="s"/>
      <c r="AC108" s="161" t="s"/>
      <c r="AD108" s="161" t="s"/>
      <c r="AE108" s="161" t="s"/>
      <c r="AF108" s="161" t="s"/>
      <c r="AG108" s="161" t="s"/>
      <c r="AH108" s="161" t="s"/>
    </row>
    <row r="109" spans="1:34" customHeight="false">
      <c r="A109" s="121" t="s"/>
      <c r="B109" s="188" t="s"/>
      <c r="C109" s="188" t="s"/>
      <c r="D109" s="121" t="s"/>
      <c r="E109" s="121" t="s"/>
      <c r="F109" s="121" t="s"/>
      <c r="G109" s="121" t="s"/>
      <c r="H109" s="121" t="s"/>
      <c r="I109" s="161" t="s"/>
      <c r="J109" s="187" t="s"/>
      <c r="K109" s="187" t="s"/>
      <c r="L109" s="187" t="s"/>
      <c r="M109" s="161" t="s"/>
      <c r="N109" s="161" t="s"/>
      <c r="O109" s="161" t="s"/>
      <c r="P109" s="161" t="s"/>
      <c r="Q109" s="161" t="s"/>
      <c r="R109" s="161" t="s"/>
      <c r="S109" s="161" t="s"/>
      <c r="T109" s="161" t="s"/>
      <c r="U109" s="161" t="s"/>
      <c r="V109" s="161" t="s"/>
      <c r="W109" s="161" t="s"/>
      <c r="X109" s="161" t="s"/>
      <c r="Y109" s="161" t="s"/>
      <c r="Z109" s="161" t="s"/>
      <c r="AA109" s="161" t="s"/>
      <c r="AB109" s="161" t="s"/>
      <c r="AC109" s="161" t="s"/>
      <c r="AD109" s="161" t="s"/>
      <c r="AE109" s="161" t="s"/>
      <c r="AF109" s="161" t="s"/>
      <c r="AG109" s="161" t="s"/>
      <c r="AH109" s="161" t="s"/>
    </row>
    <row r="110" spans="1:34" customHeight="false">
      <c r="A110" s="121" t="s"/>
      <c r="B110" s="188" t="s"/>
      <c r="C110" s="188" t="s"/>
      <c r="D110" s="121" t="s"/>
      <c r="E110" s="121" t="s"/>
      <c r="F110" s="121" t="s"/>
      <c r="G110" s="121" t="s"/>
      <c r="H110" s="121" t="s"/>
      <c r="I110" s="161" t="s"/>
      <c r="J110" s="187" t="s"/>
      <c r="K110" s="187" t="s"/>
      <c r="L110" s="187" t="s"/>
      <c r="M110" s="161" t="s"/>
      <c r="N110" s="161" t="s"/>
      <c r="O110" s="161" t="s"/>
      <c r="P110" s="161" t="s"/>
      <c r="Q110" s="161" t="s"/>
      <c r="R110" s="161" t="s"/>
      <c r="S110" s="161" t="s"/>
      <c r="T110" s="161" t="s"/>
      <c r="U110" s="161" t="s"/>
      <c r="V110" s="161" t="s"/>
      <c r="W110" s="161" t="s"/>
      <c r="X110" s="161" t="s"/>
      <c r="Y110" s="161" t="s"/>
      <c r="Z110" s="161" t="s"/>
      <c r="AA110" s="161" t="s"/>
      <c r="AB110" s="161" t="s"/>
      <c r="AC110" s="161" t="s"/>
      <c r="AD110" s="161" t="s"/>
      <c r="AE110" s="161" t="s"/>
      <c r="AF110" s="161" t="s"/>
      <c r="AG110" s="161" t="s"/>
      <c r="AH110" s="161" t="s"/>
    </row>
    <row r="111" spans="1:34" customHeight="false">
      <c r="A111" s="121" t="s"/>
      <c r="B111" s="188" t="s"/>
      <c r="C111" s="188" t="s"/>
      <c r="D111" s="121" t="s"/>
      <c r="E111" s="121" t="s"/>
      <c r="F111" s="121" t="s"/>
      <c r="G111" s="121" t="s"/>
      <c r="H111" s="121" t="s"/>
      <c r="I111" s="161" t="s"/>
      <c r="J111" s="187" t="s"/>
      <c r="K111" s="187" t="s"/>
      <c r="L111" s="187" t="s"/>
      <c r="M111" s="161" t="s"/>
      <c r="N111" s="161" t="s"/>
      <c r="O111" s="161" t="s"/>
      <c r="P111" s="161" t="s"/>
      <c r="Q111" s="161" t="s"/>
      <c r="R111" s="161" t="s"/>
      <c r="S111" s="161" t="s"/>
      <c r="T111" s="161" t="s"/>
      <c r="U111" s="161" t="s"/>
      <c r="V111" s="161" t="s"/>
      <c r="W111" s="161" t="s"/>
      <c r="X111" s="161" t="s"/>
      <c r="Y111" s="161" t="s"/>
      <c r="Z111" s="161" t="s"/>
      <c r="AA111" s="161" t="s"/>
      <c r="AB111" s="161" t="s"/>
      <c r="AC111" s="161" t="s"/>
      <c r="AD111" s="161" t="s"/>
      <c r="AE111" s="161" t="s"/>
      <c r="AF111" s="161" t="s"/>
      <c r="AG111" s="161" t="s"/>
      <c r="AH111" s="161" t="s"/>
    </row>
    <row r="112" spans="1:34" customHeight="false">
      <c r="A112" s="121" t="s"/>
      <c r="B112" s="188" t="s"/>
      <c r="C112" s="188" t="s"/>
      <c r="D112" s="121" t="s"/>
      <c r="E112" s="121" t="s"/>
      <c r="F112" s="121" t="s"/>
      <c r="G112" s="121" t="s"/>
      <c r="H112" s="121" t="s"/>
      <c r="I112" s="161" t="s"/>
      <c r="J112" s="187" t="s"/>
      <c r="K112" s="187" t="s"/>
      <c r="L112" s="187" t="s"/>
      <c r="M112" s="161" t="s"/>
      <c r="N112" s="161" t="s"/>
      <c r="O112" s="161" t="s"/>
      <c r="P112" s="161" t="s"/>
      <c r="Q112" s="161" t="s"/>
      <c r="R112" s="161" t="s"/>
      <c r="S112" s="161" t="s"/>
      <c r="T112" s="161" t="s"/>
      <c r="U112" s="161" t="s"/>
      <c r="V112" s="161" t="s"/>
      <c r="W112" s="161" t="s"/>
      <c r="X112" s="161" t="s"/>
      <c r="Y112" s="161" t="s"/>
      <c r="Z112" s="161" t="s"/>
      <c r="AA112" s="161" t="s"/>
      <c r="AB112" s="161" t="s"/>
      <c r="AC112" s="161" t="s"/>
      <c r="AD112" s="161" t="s"/>
      <c r="AE112" s="161" t="s"/>
      <c r="AF112" s="161" t="s"/>
      <c r="AG112" s="161" t="s"/>
      <c r="AH112" s="161" t="s"/>
    </row>
    <row r="113" spans="1:34" customHeight="false">
      <c r="A113" s="121" t="s"/>
      <c r="B113" s="188" t="s"/>
      <c r="C113" s="188" t="s"/>
      <c r="D113" s="121" t="s"/>
      <c r="E113" s="121" t="s"/>
      <c r="F113" s="121" t="s"/>
      <c r="G113" s="121" t="s"/>
      <c r="H113" s="121" t="s"/>
      <c r="I113" s="161" t="s"/>
      <c r="J113" s="187" t="s"/>
      <c r="K113" s="187" t="s"/>
      <c r="L113" s="187" t="s"/>
      <c r="M113" s="161" t="s"/>
      <c r="N113" s="161" t="s"/>
      <c r="O113" s="161" t="s"/>
      <c r="P113" s="161" t="s"/>
      <c r="Q113" s="161" t="s"/>
      <c r="R113" s="161" t="s"/>
      <c r="S113" s="161" t="s"/>
      <c r="T113" s="161" t="s"/>
      <c r="U113" s="161" t="s"/>
      <c r="V113" s="161" t="s"/>
      <c r="W113" s="161" t="s"/>
      <c r="X113" s="161" t="s"/>
      <c r="Y113" s="161" t="s"/>
      <c r="Z113" s="161" t="s"/>
      <c r="AA113" s="161" t="s"/>
      <c r="AB113" s="161" t="s"/>
      <c r="AC113" s="161" t="s"/>
      <c r="AD113" s="161" t="s"/>
      <c r="AE113" s="161" t="s"/>
      <c r="AF113" s="161" t="s"/>
      <c r="AG113" s="161" t="s"/>
      <c r="AH113" s="161" t="s"/>
    </row>
    <row r="114" spans="1:34" customHeight="false">
      <c r="A114" s="121" t="s"/>
      <c r="B114" s="188" t="s"/>
      <c r="C114" s="188" t="s"/>
      <c r="D114" s="121" t="s"/>
      <c r="E114" s="121" t="s"/>
      <c r="F114" s="121" t="s"/>
      <c r="G114" s="121" t="s"/>
      <c r="H114" s="121" t="s"/>
      <c r="I114" s="161" t="s"/>
      <c r="J114" s="187" t="s"/>
      <c r="K114" s="187" t="s"/>
      <c r="L114" s="187" t="s"/>
      <c r="M114" s="161" t="s"/>
      <c r="N114" s="161" t="s"/>
      <c r="O114" s="161" t="s"/>
      <c r="P114" s="161" t="s"/>
      <c r="Q114" s="161" t="s"/>
      <c r="R114" s="161" t="s"/>
      <c r="S114" s="161" t="s"/>
      <c r="T114" s="161" t="s"/>
      <c r="U114" s="161" t="s"/>
      <c r="V114" s="161" t="s"/>
      <c r="W114" s="161" t="s"/>
      <c r="X114" s="161" t="s"/>
      <c r="Y114" s="161" t="s"/>
      <c r="Z114" s="161" t="s"/>
      <c r="AA114" s="161" t="s"/>
      <c r="AB114" s="161" t="s"/>
      <c r="AC114" s="161" t="s"/>
      <c r="AD114" s="161" t="s"/>
      <c r="AE114" s="161" t="s"/>
      <c r="AF114" s="161" t="s"/>
      <c r="AG114" s="161" t="s"/>
      <c r="AH114" s="161" t="s"/>
    </row>
    <row r="115" spans="1:34" customHeight="false">
      <c r="A115" s="121" t="s"/>
      <c r="B115" s="188" t="s"/>
      <c r="C115" s="188" t="s"/>
      <c r="D115" s="121" t="s"/>
      <c r="E115" s="121" t="s"/>
      <c r="F115" s="121" t="s"/>
      <c r="G115" s="121" t="s"/>
      <c r="H115" s="121" t="s"/>
      <c r="I115" s="161" t="s"/>
      <c r="J115" s="187" t="s"/>
      <c r="K115" s="187" t="s"/>
      <c r="L115" s="187" t="s"/>
      <c r="M115" s="161" t="s"/>
      <c r="N115" s="161" t="s"/>
      <c r="O115" s="161" t="s"/>
      <c r="P115" s="161" t="s"/>
      <c r="Q115" s="161" t="s"/>
      <c r="R115" s="161" t="s"/>
      <c r="S115" s="161" t="s"/>
      <c r="T115" s="161" t="s"/>
      <c r="U115" s="161" t="s"/>
      <c r="V115" s="161" t="s"/>
      <c r="W115" s="161" t="s"/>
      <c r="X115" s="161" t="s"/>
      <c r="Y115" s="161" t="s"/>
      <c r="Z115" s="161" t="s"/>
      <c r="AA115" s="161" t="s"/>
      <c r="AB115" s="161" t="s"/>
      <c r="AC115" s="161" t="s"/>
      <c r="AD115" s="161" t="s"/>
      <c r="AE115" s="161" t="s"/>
      <c r="AF115" s="161" t="s"/>
      <c r="AG115" s="161" t="s"/>
      <c r="AH115" s="161" t="s"/>
    </row>
    <row r="116" spans="1:34" customHeight="false">
      <c r="A116" s="121" t="s"/>
      <c r="B116" s="188" t="s"/>
      <c r="C116" s="188" t="s"/>
      <c r="D116" s="121" t="s"/>
      <c r="E116" s="121" t="s"/>
      <c r="F116" s="121" t="s"/>
      <c r="G116" s="121" t="s"/>
      <c r="H116" s="121" t="s"/>
      <c r="I116" s="161" t="s"/>
      <c r="J116" s="187" t="s"/>
      <c r="K116" s="187" t="s"/>
      <c r="L116" s="187" t="s"/>
      <c r="M116" s="161" t="s"/>
      <c r="N116" s="161" t="s"/>
      <c r="O116" s="161" t="s"/>
      <c r="P116" s="161" t="s"/>
      <c r="Q116" s="161" t="s"/>
      <c r="R116" s="161" t="s"/>
      <c r="S116" s="161" t="s"/>
      <c r="T116" s="161" t="s"/>
      <c r="U116" s="161" t="s"/>
      <c r="V116" s="161" t="s"/>
      <c r="W116" s="161" t="s"/>
      <c r="X116" s="161" t="s"/>
      <c r="Y116" s="161" t="s"/>
      <c r="Z116" s="161" t="s"/>
      <c r="AA116" s="161" t="s"/>
      <c r="AB116" s="161" t="s"/>
      <c r="AC116" s="161" t="s"/>
      <c r="AD116" s="161" t="s"/>
      <c r="AE116" s="161" t="s"/>
      <c r="AF116" s="161" t="s"/>
      <c r="AG116" s="161" t="s"/>
      <c r="AH116" s="161" t="s"/>
    </row>
    <row r="117" spans="1:34" customHeight="false">
      <c r="A117" s="121" t="s"/>
      <c r="B117" s="188" t="s"/>
      <c r="C117" s="188" t="s"/>
      <c r="D117" s="121" t="s"/>
      <c r="E117" s="121" t="s"/>
      <c r="F117" s="121" t="s"/>
      <c r="G117" s="121" t="s"/>
      <c r="H117" s="121" t="s"/>
      <c r="I117" s="161" t="s"/>
      <c r="J117" s="187" t="s"/>
      <c r="K117" s="187" t="s"/>
      <c r="L117" s="187" t="s"/>
      <c r="M117" s="161" t="s"/>
      <c r="N117" s="161" t="s"/>
      <c r="O117" s="161" t="s"/>
      <c r="P117" s="161" t="s"/>
      <c r="Q117" s="161" t="s"/>
      <c r="R117" s="161" t="s"/>
      <c r="S117" s="161" t="s"/>
      <c r="T117" s="161" t="s"/>
      <c r="U117" s="161" t="s"/>
      <c r="V117" s="161" t="s"/>
      <c r="W117" s="161" t="s"/>
      <c r="X117" s="161" t="s"/>
      <c r="Y117" s="161" t="s"/>
      <c r="Z117" s="161" t="s"/>
      <c r="AA117" s="161" t="s"/>
      <c r="AB117" s="161" t="s"/>
      <c r="AC117" s="161" t="s"/>
      <c r="AD117" s="161" t="s"/>
      <c r="AE117" s="161" t="s"/>
      <c r="AF117" s="161" t="s"/>
      <c r="AG117" s="161" t="s"/>
      <c r="AH117" s="161" t="s"/>
    </row>
    <row r="118" spans="1:34" customHeight="false">
      <c r="A118" s="121" t="s"/>
      <c r="B118" s="188" t="s"/>
      <c r="C118" s="188" t="s"/>
      <c r="D118" s="121" t="s"/>
      <c r="E118" s="121" t="s"/>
      <c r="F118" s="121" t="s"/>
      <c r="G118" s="121" t="s"/>
      <c r="H118" s="121" t="s"/>
      <c r="I118" s="161" t="s"/>
      <c r="J118" s="187" t="s"/>
      <c r="K118" s="187" t="s"/>
      <c r="L118" s="187" t="s"/>
      <c r="M118" s="161" t="s"/>
      <c r="N118" s="161" t="s"/>
      <c r="O118" s="161" t="s"/>
      <c r="P118" s="161" t="s"/>
      <c r="Q118" s="161" t="s"/>
      <c r="R118" s="161" t="s"/>
      <c r="S118" s="161" t="s"/>
      <c r="T118" s="161" t="s"/>
      <c r="U118" s="161" t="s"/>
      <c r="V118" s="161" t="s"/>
      <c r="W118" s="161" t="s"/>
      <c r="X118" s="161" t="s"/>
      <c r="Y118" s="161" t="s"/>
      <c r="Z118" s="161" t="s"/>
      <c r="AA118" s="161" t="s"/>
      <c r="AB118" s="161" t="s"/>
      <c r="AC118" s="161" t="s"/>
      <c r="AD118" s="161" t="s"/>
      <c r="AE118" s="161" t="s"/>
      <c r="AF118" s="161" t="s"/>
      <c r="AG118" s="161" t="s"/>
      <c r="AH118" s="161" t="s"/>
    </row>
    <row r="119" spans="1:34" customHeight="false">
      <c r="A119" s="121" t="s"/>
      <c r="B119" s="188" t="s"/>
      <c r="C119" s="188" t="s"/>
      <c r="D119" s="121" t="s"/>
      <c r="E119" s="121" t="s"/>
      <c r="F119" s="121" t="s"/>
      <c r="G119" s="121" t="s"/>
      <c r="H119" s="121" t="s"/>
      <c r="I119" s="161" t="s"/>
      <c r="J119" s="187" t="s"/>
      <c r="K119" s="187" t="s"/>
      <c r="L119" s="187" t="s"/>
      <c r="M119" s="161" t="s"/>
      <c r="N119" s="161" t="s"/>
      <c r="O119" s="161" t="s"/>
      <c r="P119" s="161" t="s"/>
      <c r="Q119" s="161" t="s"/>
      <c r="R119" s="161" t="s"/>
      <c r="S119" s="161" t="s"/>
      <c r="T119" s="161" t="s"/>
      <c r="U119" s="161" t="s"/>
      <c r="V119" s="161" t="s"/>
      <c r="W119" s="161" t="s"/>
      <c r="X119" s="161" t="s"/>
      <c r="Y119" s="161" t="s"/>
      <c r="Z119" s="161" t="s"/>
      <c r="AA119" s="161" t="s"/>
      <c r="AB119" s="161" t="s"/>
      <c r="AC119" s="161" t="s"/>
      <c r="AD119" s="161" t="s"/>
      <c r="AE119" s="161" t="s"/>
      <c r="AF119" s="161" t="s"/>
      <c r="AG119" s="161" t="s"/>
      <c r="AH119" s="161" t="s"/>
    </row>
    <row r="120" spans="1:34" customHeight="false">
      <c r="A120" s="121" t="s"/>
      <c r="B120" s="188" t="s"/>
      <c r="C120" s="188" t="s"/>
      <c r="D120" s="121" t="s"/>
      <c r="E120" s="121" t="s"/>
      <c r="F120" s="121" t="s"/>
      <c r="G120" s="121" t="s"/>
      <c r="H120" s="121" t="s"/>
      <c r="I120" s="161" t="s"/>
      <c r="J120" s="187" t="s"/>
      <c r="K120" s="187" t="s"/>
      <c r="L120" s="187" t="s"/>
      <c r="M120" s="161" t="s"/>
      <c r="N120" s="161" t="s"/>
      <c r="O120" s="161" t="s"/>
      <c r="P120" s="161" t="s"/>
      <c r="Q120" s="161" t="s"/>
      <c r="R120" s="161" t="s"/>
      <c r="S120" s="161" t="s"/>
      <c r="T120" s="161" t="s"/>
      <c r="U120" s="161" t="s"/>
      <c r="V120" s="161" t="s"/>
      <c r="W120" s="161" t="s"/>
      <c r="X120" s="161" t="s"/>
      <c r="Y120" s="161" t="s"/>
      <c r="Z120" s="161" t="s"/>
      <c r="AA120" s="161" t="s"/>
      <c r="AB120" s="161" t="s"/>
      <c r="AC120" s="161" t="s"/>
      <c r="AD120" s="161" t="s"/>
      <c r="AE120" s="161" t="s"/>
      <c r="AF120" s="161" t="s"/>
      <c r="AG120" s="161" t="s"/>
      <c r="AH120" s="161" t="s"/>
    </row>
    <row r="121" spans="1:34" customHeight="false">
      <c r="A121" s="121" t="s"/>
      <c r="B121" s="188" t="s"/>
      <c r="C121" s="188" t="s"/>
      <c r="D121" s="121" t="s"/>
      <c r="E121" s="121" t="s"/>
      <c r="F121" s="121" t="s"/>
      <c r="G121" s="121" t="s"/>
      <c r="H121" s="121" t="s"/>
      <c r="I121" s="161" t="s"/>
      <c r="J121" s="187" t="s"/>
      <c r="K121" s="187" t="s"/>
      <c r="L121" s="187" t="s"/>
      <c r="M121" s="161" t="s"/>
      <c r="N121" s="161" t="s"/>
      <c r="O121" s="161" t="s"/>
      <c r="P121" s="161" t="s"/>
      <c r="Q121" s="161" t="s"/>
      <c r="R121" s="161" t="s"/>
      <c r="S121" s="161" t="s"/>
      <c r="T121" s="161" t="s"/>
      <c r="U121" s="161" t="s"/>
      <c r="V121" s="161" t="s"/>
      <c r="W121" s="161" t="s"/>
      <c r="X121" s="161" t="s"/>
      <c r="Y121" s="161" t="s"/>
      <c r="Z121" s="161" t="s"/>
      <c r="AA121" s="161" t="s"/>
      <c r="AB121" s="161" t="s"/>
      <c r="AC121" s="161" t="s"/>
      <c r="AD121" s="161" t="s"/>
      <c r="AE121" s="161" t="s"/>
      <c r="AF121" s="161" t="s"/>
      <c r="AG121" s="161" t="s"/>
      <c r="AH121" s="161" t="s"/>
    </row>
    <row r="122" spans="1:34" customHeight="false">
      <c r="A122" s="121" t="s"/>
      <c r="B122" s="188" t="s"/>
      <c r="C122" s="188" t="s"/>
      <c r="D122" s="121" t="s"/>
      <c r="E122" s="121" t="s"/>
      <c r="F122" s="121" t="s"/>
      <c r="G122" s="121" t="s"/>
      <c r="H122" s="121" t="s"/>
      <c r="I122" s="161" t="s"/>
      <c r="J122" s="187" t="s"/>
      <c r="K122" s="187" t="s"/>
      <c r="L122" s="187" t="s"/>
      <c r="M122" s="161" t="s"/>
      <c r="N122" s="161" t="s"/>
      <c r="O122" s="161" t="s"/>
      <c r="P122" s="161" t="s"/>
      <c r="Q122" s="161" t="s"/>
      <c r="R122" s="161" t="s"/>
      <c r="S122" s="161" t="s"/>
      <c r="T122" s="161" t="s"/>
      <c r="U122" s="161" t="s"/>
      <c r="V122" s="161" t="s"/>
      <c r="W122" s="161" t="s"/>
      <c r="X122" s="161" t="s"/>
      <c r="Y122" s="161" t="s"/>
      <c r="Z122" s="161" t="s"/>
      <c r="AA122" s="161" t="s"/>
      <c r="AB122" s="161" t="s"/>
      <c r="AC122" s="161" t="s"/>
      <c r="AD122" s="161" t="s"/>
      <c r="AE122" s="161" t="s"/>
      <c r="AF122" s="161" t="s"/>
      <c r="AG122" s="161" t="s"/>
      <c r="AH122" s="161" t="s"/>
    </row>
    <row r="123" spans="1:34" customHeight="false">
      <c r="A123" s="121" t="s"/>
      <c r="B123" s="188" t="s"/>
      <c r="C123" s="188" t="s"/>
      <c r="D123" s="121" t="s"/>
      <c r="E123" s="121" t="s"/>
      <c r="F123" s="121" t="s"/>
      <c r="G123" s="121" t="s"/>
      <c r="H123" s="121" t="s"/>
      <c r="I123" s="161" t="s"/>
      <c r="J123" s="187" t="s"/>
      <c r="K123" s="187" t="s"/>
      <c r="L123" s="187" t="s"/>
      <c r="M123" s="161" t="s"/>
      <c r="N123" s="161" t="s"/>
      <c r="O123" s="161" t="s"/>
      <c r="P123" s="161" t="s"/>
      <c r="Q123" s="161" t="s"/>
      <c r="R123" s="161" t="s"/>
      <c r="S123" s="161" t="s"/>
      <c r="T123" s="161" t="s"/>
      <c r="U123" s="161" t="s"/>
      <c r="V123" s="161" t="s"/>
      <c r="W123" s="161" t="s"/>
      <c r="X123" s="161" t="s"/>
      <c r="Y123" s="161" t="s"/>
      <c r="Z123" s="161" t="s"/>
      <c r="AA123" s="161" t="s"/>
      <c r="AB123" s="161" t="s"/>
      <c r="AC123" s="161" t="s"/>
      <c r="AD123" s="161" t="s"/>
      <c r="AE123" s="161" t="s"/>
      <c r="AF123" s="161" t="s"/>
      <c r="AG123" s="161" t="s"/>
      <c r="AH123" s="161" t="s"/>
    </row>
    <row r="124" spans="1:34" customHeight="false">
      <c r="A124" s="121" t="s"/>
      <c r="B124" s="188" t="s"/>
      <c r="C124" s="188" t="s"/>
      <c r="D124" s="121" t="s"/>
      <c r="E124" s="121" t="s"/>
      <c r="F124" s="121" t="s"/>
      <c r="G124" s="121" t="s"/>
      <c r="H124" s="121" t="s"/>
      <c r="I124" s="161" t="s"/>
      <c r="J124" s="187" t="s"/>
      <c r="K124" s="187" t="s"/>
      <c r="L124" s="187" t="s"/>
      <c r="M124" s="161" t="s"/>
      <c r="N124" s="161" t="s"/>
      <c r="O124" s="161" t="s"/>
      <c r="P124" s="161" t="s"/>
      <c r="Q124" s="161" t="s"/>
      <c r="R124" s="161" t="s"/>
      <c r="S124" s="161" t="s"/>
      <c r="T124" s="161" t="s"/>
      <c r="U124" s="161" t="s"/>
      <c r="V124" s="161" t="s"/>
      <c r="W124" s="161" t="s"/>
      <c r="X124" s="161" t="s"/>
      <c r="Y124" s="161" t="s"/>
      <c r="Z124" s="161" t="s"/>
      <c r="AA124" s="161" t="s"/>
      <c r="AB124" s="161" t="s"/>
      <c r="AC124" s="161" t="s"/>
      <c r="AD124" s="161" t="s"/>
      <c r="AE124" s="161" t="s"/>
      <c r="AF124" s="161" t="s"/>
      <c r="AG124" s="161" t="s"/>
      <c r="AH124" s="161" t="s"/>
    </row>
    <row r="125" spans="1:34" customHeight="false">
      <c r="A125" s="121" t="s"/>
      <c r="B125" s="188" t="s"/>
      <c r="C125" s="188" t="s"/>
      <c r="D125" s="121" t="s"/>
      <c r="E125" s="121" t="s"/>
      <c r="F125" s="121" t="s"/>
      <c r="G125" s="121" t="s"/>
      <c r="H125" s="121" t="s"/>
      <c r="I125" s="161" t="s"/>
      <c r="J125" s="187" t="s"/>
      <c r="K125" s="187" t="s"/>
      <c r="L125" s="187" t="s"/>
      <c r="M125" s="161" t="s"/>
      <c r="N125" s="161" t="s"/>
      <c r="O125" s="161" t="s"/>
      <c r="P125" s="161" t="s"/>
      <c r="Q125" s="161" t="s"/>
      <c r="R125" s="161" t="s"/>
      <c r="S125" s="161" t="s"/>
      <c r="T125" s="161" t="s"/>
      <c r="U125" s="161" t="s"/>
      <c r="V125" s="161" t="s"/>
      <c r="W125" s="161" t="s"/>
      <c r="X125" s="161" t="s"/>
      <c r="Y125" s="161" t="s"/>
      <c r="Z125" s="161" t="s"/>
      <c r="AA125" s="161" t="s"/>
      <c r="AB125" s="161" t="s"/>
      <c r="AC125" s="161" t="s"/>
      <c r="AD125" s="161" t="s"/>
      <c r="AE125" s="161" t="s"/>
      <c r="AF125" s="161" t="s"/>
      <c r="AG125" s="161" t="s"/>
      <c r="AH125" s="161" t="s"/>
    </row>
    <row r="126" spans="1:34" customHeight="false">
      <c r="A126" s="121" t="s"/>
      <c r="B126" s="188" t="s"/>
      <c r="C126" s="188" t="s"/>
      <c r="D126" s="121" t="s"/>
      <c r="E126" s="121" t="s"/>
      <c r="F126" s="121" t="s"/>
      <c r="G126" s="121" t="s"/>
      <c r="H126" s="121" t="s"/>
      <c r="I126" s="161" t="s"/>
      <c r="J126" s="187" t="s"/>
      <c r="K126" s="187" t="s"/>
      <c r="L126" s="187" t="s"/>
      <c r="M126" s="161" t="s"/>
      <c r="N126" s="161" t="s"/>
      <c r="O126" s="161" t="s"/>
      <c r="P126" s="161" t="s"/>
      <c r="Q126" s="161" t="s"/>
      <c r="R126" s="161" t="s"/>
      <c r="S126" s="161" t="s"/>
      <c r="T126" s="161" t="s"/>
      <c r="U126" s="161" t="s"/>
      <c r="V126" s="161" t="s"/>
      <c r="W126" s="161" t="s"/>
      <c r="X126" s="161" t="s"/>
      <c r="Y126" s="161" t="s"/>
      <c r="Z126" s="161" t="s"/>
      <c r="AA126" s="161" t="s"/>
      <c r="AB126" s="161" t="s"/>
      <c r="AC126" s="161" t="s"/>
      <c r="AD126" s="161" t="s"/>
      <c r="AE126" s="161" t="s"/>
      <c r="AF126" s="161" t="s"/>
      <c r="AG126" s="161" t="s"/>
      <c r="AH126" s="161" t="s"/>
    </row>
    <row r="127" spans="1:34" customHeight="false">
      <c r="A127" s="121" t="s"/>
      <c r="B127" s="188" t="s"/>
      <c r="C127" s="188" t="s"/>
      <c r="D127" s="121" t="s"/>
      <c r="E127" s="121" t="s"/>
      <c r="F127" s="121" t="s"/>
      <c r="G127" s="121" t="s"/>
      <c r="H127" s="121" t="s"/>
      <c r="I127" s="161" t="s"/>
      <c r="J127" s="187" t="s"/>
      <c r="K127" s="187" t="s"/>
      <c r="L127" s="187" t="s"/>
      <c r="M127" s="161" t="s"/>
      <c r="N127" s="161" t="s"/>
      <c r="O127" s="161" t="s"/>
      <c r="P127" s="161" t="s"/>
      <c r="Q127" s="161" t="s"/>
      <c r="R127" s="161" t="s"/>
      <c r="S127" s="161" t="s"/>
      <c r="T127" s="161" t="s"/>
      <c r="U127" s="161" t="s"/>
      <c r="V127" s="161" t="s"/>
      <c r="W127" s="161" t="s"/>
      <c r="X127" s="161" t="s"/>
      <c r="Y127" s="161" t="s"/>
      <c r="Z127" s="161" t="s"/>
      <c r="AA127" s="161" t="s"/>
      <c r="AB127" s="161" t="s"/>
      <c r="AC127" s="161" t="s"/>
      <c r="AD127" s="161" t="s"/>
      <c r="AE127" s="161" t="s"/>
      <c r="AF127" s="161" t="s"/>
      <c r="AG127" s="161" t="s"/>
      <c r="AH127" s="161" t="s"/>
    </row>
    <row r="128" spans="1:34" customHeight="false">
      <c r="A128" s="121" t="s"/>
      <c r="B128" s="188" t="s"/>
      <c r="C128" s="188" t="s"/>
      <c r="D128" s="121" t="s"/>
      <c r="E128" s="121" t="s"/>
      <c r="F128" s="121" t="s"/>
      <c r="G128" s="121" t="s"/>
      <c r="H128" s="121" t="s"/>
      <c r="I128" s="161" t="s"/>
      <c r="J128" s="187" t="s"/>
      <c r="K128" s="187" t="s"/>
      <c r="L128" s="187" t="s"/>
      <c r="M128" s="161" t="s"/>
      <c r="N128" s="161" t="s"/>
      <c r="O128" s="161" t="s"/>
      <c r="P128" s="161" t="s"/>
      <c r="Q128" s="161" t="s"/>
      <c r="R128" s="161" t="s"/>
      <c r="S128" s="161" t="s"/>
      <c r="T128" s="161" t="s"/>
      <c r="U128" s="161" t="s"/>
      <c r="V128" s="161" t="s"/>
      <c r="W128" s="161" t="s"/>
      <c r="X128" s="161" t="s"/>
      <c r="Y128" s="161" t="s"/>
      <c r="Z128" s="161" t="s"/>
      <c r="AA128" s="161" t="s"/>
      <c r="AB128" s="161" t="s"/>
      <c r="AC128" s="161" t="s"/>
      <c r="AD128" s="161" t="s"/>
      <c r="AE128" s="161" t="s"/>
      <c r="AF128" s="161" t="s"/>
      <c r="AG128" s="161" t="s"/>
      <c r="AH128" s="161" t="s"/>
    </row>
    <row r="129" spans="1:34" customHeight="false">
      <c r="A129" s="121" t="s"/>
      <c r="B129" s="188" t="s"/>
      <c r="C129" s="188" t="s"/>
      <c r="D129" s="121" t="s"/>
      <c r="E129" s="121" t="s"/>
      <c r="F129" s="121" t="s"/>
      <c r="G129" s="121" t="s"/>
      <c r="H129" s="121" t="s"/>
      <c r="I129" s="161" t="s"/>
      <c r="J129" s="187" t="s"/>
      <c r="K129" s="187" t="s"/>
      <c r="L129" s="187" t="s"/>
      <c r="M129" s="161" t="s"/>
      <c r="N129" s="161" t="s"/>
      <c r="O129" s="161" t="s"/>
      <c r="P129" s="161" t="s"/>
      <c r="Q129" s="161" t="s"/>
      <c r="R129" s="161" t="s"/>
      <c r="S129" s="161" t="s"/>
      <c r="T129" s="161" t="s"/>
      <c r="U129" s="161" t="s"/>
      <c r="V129" s="161" t="s"/>
      <c r="W129" s="161" t="s"/>
      <c r="X129" s="161" t="s"/>
      <c r="Y129" s="161" t="s"/>
      <c r="Z129" s="161" t="s"/>
      <c r="AA129" s="161" t="s"/>
      <c r="AB129" s="161" t="s"/>
      <c r="AC129" s="161" t="s"/>
      <c r="AD129" s="161" t="s"/>
      <c r="AE129" s="161" t="s"/>
      <c r="AF129" s="161" t="s"/>
      <c r="AG129" s="161" t="s"/>
      <c r="AH129" s="161" t="s"/>
    </row>
    <row r="130" spans="1:34" customHeight="false">
      <c r="A130" s="121" t="s"/>
      <c r="B130" s="188" t="s"/>
      <c r="C130" s="188" t="s"/>
      <c r="D130" s="121" t="s"/>
      <c r="E130" s="121" t="s"/>
      <c r="F130" s="121" t="s"/>
      <c r="G130" s="121" t="s"/>
      <c r="H130" s="121" t="s"/>
      <c r="I130" s="161" t="s"/>
      <c r="J130" s="187" t="s"/>
      <c r="K130" s="187" t="s"/>
      <c r="L130" s="187" t="s"/>
      <c r="M130" s="161" t="s"/>
      <c r="N130" s="161" t="s"/>
      <c r="O130" s="161" t="s"/>
      <c r="P130" s="161" t="s"/>
      <c r="Q130" s="161" t="s"/>
      <c r="R130" s="161" t="s"/>
      <c r="S130" s="161" t="s"/>
      <c r="T130" s="161" t="s"/>
      <c r="U130" s="161" t="s"/>
      <c r="V130" s="161" t="s"/>
      <c r="W130" s="161" t="s"/>
      <c r="X130" s="161" t="s"/>
      <c r="Y130" s="161" t="s"/>
      <c r="Z130" s="161" t="s"/>
      <c r="AA130" s="161" t="s"/>
      <c r="AB130" s="161" t="s"/>
      <c r="AC130" s="161" t="s"/>
      <c r="AD130" s="161" t="s"/>
      <c r="AE130" s="161" t="s"/>
      <c r="AF130" s="161" t="s"/>
      <c r="AG130" s="161" t="s"/>
      <c r="AH130" s="161" t="s"/>
    </row>
    <row r="131" spans="1:34" customHeight="false">
      <c r="A131" s="121" t="s"/>
      <c r="B131" s="188" t="s"/>
      <c r="C131" s="188" t="s"/>
      <c r="D131" s="121" t="s"/>
      <c r="E131" s="121" t="s"/>
      <c r="F131" s="121" t="s"/>
      <c r="G131" s="121" t="s"/>
      <c r="H131" s="121" t="s"/>
      <c r="I131" s="161" t="s"/>
      <c r="J131" s="187" t="s"/>
      <c r="K131" s="187" t="s"/>
      <c r="L131" s="187" t="s"/>
      <c r="M131" s="161" t="s"/>
      <c r="N131" s="161" t="s"/>
      <c r="O131" s="161" t="s"/>
      <c r="P131" s="161" t="s"/>
      <c r="Q131" s="161" t="s"/>
      <c r="R131" s="161" t="s"/>
      <c r="S131" s="161" t="s"/>
      <c r="T131" s="161" t="s"/>
      <c r="U131" s="161" t="s"/>
      <c r="V131" s="161" t="s"/>
      <c r="W131" s="161" t="s"/>
      <c r="X131" s="161" t="s"/>
      <c r="Y131" s="161" t="s"/>
      <c r="Z131" s="161" t="s"/>
      <c r="AA131" s="161" t="s"/>
      <c r="AB131" s="161" t="s"/>
      <c r="AC131" s="161" t="s"/>
      <c r="AD131" s="161" t="s"/>
      <c r="AE131" s="161" t="s"/>
      <c r="AF131" s="161" t="s"/>
      <c r="AG131" s="161" t="s"/>
      <c r="AH131" s="161" t="s"/>
    </row>
    <row r="132" spans="1:34" customHeight="false">
      <c r="A132" s="121" t="s"/>
      <c r="B132" s="188" t="s"/>
      <c r="C132" s="188" t="s"/>
      <c r="D132" s="121" t="s"/>
      <c r="E132" s="121" t="s"/>
      <c r="F132" s="121" t="s"/>
      <c r="G132" s="121" t="s"/>
      <c r="H132" s="121" t="s"/>
      <c r="I132" s="161" t="s"/>
      <c r="J132" s="187" t="s"/>
      <c r="K132" s="187" t="s"/>
      <c r="L132" s="187" t="s"/>
      <c r="M132" s="161" t="s"/>
      <c r="N132" s="161" t="s"/>
      <c r="O132" s="161" t="s"/>
      <c r="P132" s="161" t="s"/>
      <c r="Q132" s="161" t="s"/>
      <c r="R132" s="161" t="s"/>
      <c r="S132" s="161" t="s"/>
      <c r="T132" s="161" t="s"/>
      <c r="U132" s="161" t="s"/>
      <c r="V132" s="161" t="s"/>
      <c r="W132" s="161" t="s"/>
      <c r="X132" s="161" t="s"/>
      <c r="Y132" s="161" t="s"/>
      <c r="Z132" s="161" t="s"/>
      <c r="AA132" s="161" t="s"/>
      <c r="AB132" s="161" t="s"/>
      <c r="AC132" s="161" t="s"/>
      <c r="AD132" s="161" t="s"/>
      <c r="AE132" s="161" t="s"/>
      <c r="AF132" s="161" t="s"/>
      <c r="AG132" s="161" t="s"/>
      <c r="AH132" s="161" t="s"/>
    </row>
    <row r="133" spans="1:34" customHeight="false">
      <c r="A133" s="121" t="s"/>
      <c r="B133" s="188" t="s"/>
      <c r="C133" s="188" t="s"/>
      <c r="D133" s="121" t="s"/>
      <c r="E133" s="121" t="s"/>
      <c r="F133" s="121" t="s"/>
      <c r="G133" s="121" t="s"/>
      <c r="H133" s="121" t="s"/>
      <c r="I133" s="161" t="s"/>
      <c r="J133" s="187" t="s"/>
      <c r="K133" s="187" t="s"/>
      <c r="L133" s="187" t="s"/>
      <c r="M133" s="161" t="s"/>
      <c r="N133" s="161" t="s"/>
      <c r="O133" s="161" t="s"/>
      <c r="P133" s="161" t="s"/>
      <c r="Q133" s="161" t="s"/>
      <c r="R133" s="161" t="s"/>
      <c r="S133" s="161" t="s"/>
      <c r="T133" s="161" t="s"/>
      <c r="U133" s="161" t="s"/>
      <c r="V133" s="161" t="s"/>
      <c r="W133" s="161" t="s"/>
      <c r="X133" s="161" t="s"/>
      <c r="Y133" s="161" t="s"/>
      <c r="Z133" s="161" t="s"/>
      <c r="AA133" s="161" t="s"/>
      <c r="AB133" s="161" t="s"/>
      <c r="AC133" s="161" t="s"/>
      <c r="AD133" s="161" t="s"/>
      <c r="AE133" s="161" t="s"/>
      <c r="AF133" s="161" t="s"/>
      <c r="AG133" s="161" t="s"/>
      <c r="AH133" s="161" t="s"/>
    </row>
    <row r="134" spans="1:34" customHeight="false">
      <c r="A134" s="121" t="s"/>
      <c r="B134" s="188" t="s"/>
      <c r="C134" s="188" t="s"/>
      <c r="D134" s="121" t="s"/>
      <c r="E134" s="121" t="s"/>
      <c r="F134" s="121" t="s"/>
      <c r="G134" s="121" t="s"/>
      <c r="H134" s="121" t="s"/>
      <c r="I134" s="161" t="s"/>
      <c r="J134" s="187" t="s"/>
      <c r="K134" s="187" t="s"/>
      <c r="L134" s="187" t="s"/>
      <c r="M134" s="161" t="s"/>
      <c r="N134" s="161" t="s"/>
      <c r="O134" s="161" t="s"/>
      <c r="P134" s="161" t="s"/>
      <c r="Q134" s="161" t="s"/>
      <c r="R134" s="161" t="s"/>
      <c r="S134" s="161" t="s"/>
      <c r="T134" s="161" t="s"/>
      <c r="U134" s="161" t="s"/>
      <c r="V134" s="161" t="s"/>
      <c r="W134" s="161" t="s"/>
      <c r="X134" s="161" t="s"/>
      <c r="Y134" s="161" t="s"/>
      <c r="Z134" s="161" t="s"/>
      <c r="AA134" s="161" t="s"/>
      <c r="AB134" s="161" t="s"/>
      <c r="AC134" s="161" t="s"/>
      <c r="AD134" s="161" t="s"/>
      <c r="AE134" s="161" t="s"/>
      <c r="AF134" s="161" t="s"/>
      <c r="AG134" s="161" t="s"/>
      <c r="AH134" s="161" t="s"/>
    </row>
    <row r="135" spans="1:34" customHeight="false">
      <c r="A135" s="121" t="s"/>
      <c r="B135" s="188" t="s"/>
      <c r="C135" s="188" t="s"/>
      <c r="D135" s="121" t="s"/>
      <c r="E135" s="121" t="s"/>
      <c r="F135" s="121" t="s"/>
      <c r="G135" s="121" t="s"/>
      <c r="H135" s="121" t="s"/>
      <c r="I135" s="161" t="s"/>
      <c r="J135" s="187" t="s"/>
      <c r="K135" s="187" t="s"/>
      <c r="L135" s="187" t="s"/>
      <c r="M135" s="161" t="s"/>
      <c r="N135" s="161" t="s"/>
      <c r="O135" s="161" t="s"/>
      <c r="P135" s="161" t="s"/>
      <c r="Q135" s="161" t="s"/>
      <c r="R135" s="161" t="s"/>
      <c r="S135" s="161" t="s"/>
      <c r="T135" s="161" t="s"/>
      <c r="U135" s="161" t="s"/>
      <c r="V135" s="161" t="s"/>
      <c r="W135" s="161" t="s"/>
      <c r="X135" s="161" t="s"/>
      <c r="Y135" s="161" t="s"/>
      <c r="Z135" s="161" t="s"/>
      <c r="AA135" s="161" t="s"/>
      <c r="AB135" s="161" t="s"/>
      <c r="AC135" s="161" t="s"/>
      <c r="AD135" s="161" t="s"/>
      <c r="AE135" s="161" t="s"/>
      <c r="AF135" s="161" t="s"/>
      <c r="AG135" s="161" t="s"/>
      <c r="AH135" s="161" t="s"/>
    </row>
    <row r="136" spans="1:34" customHeight="false">
      <c r="A136" s="121" t="s"/>
      <c r="B136" s="188" t="s"/>
      <c r="C136" s="188" t="s"/>
      <c r="D136" s="121" t="s"/>
      <c r="E136" s="121" t="s"/>
      <c r="F136" s="121" t="s"/>
      <c r="G136" s="121" t="s"/>
      <c r="H136" s="121" t="s"/>
      <c r="I136" s="161" t="s"/>
      <c r="J136" s="187" t="s"/>
      <c r="K136" s="187" t="s"/>
      <c r="L136" s="187" t="s"/>
      <c r="M136" s="161" t="s"/>
      <c r="N136" s="161" t="s"/>
      <c r="O136" s="161" t="s"/>
      <c r="P136" s="161" t="s"/>
      <c r="Q136" s="161" t="s"/>
      <c r="R136" s="161" t="s"/>
      <c r="S136" s="161" t="s"/>
      <c r="T136" s="161" t="s"/>
      <c r="U136" s="161" t="s"/>
      <c r="V136" s="161" t="s"/>
      <c r="W136" s="161" t="s"/>
      <c r="X136" s="161" t="s"/>
      <c r="Y136" s="161" t="s"/>
      <c r="Z136" s="161" t="s"/>
      <c r="AA136" s="161" t="s"/>
      <c r="AB136" s="161" t="s"/>
      <c r="AC136" s="161" t="s"/>
      <c r="AD136" s="161" t="s"/>
      <c r="AE136" s="161" t="s"/>
      <c r="AF136" s="161" t="s"/>
      <c r="AG136" s="161" t="s"/>
      <c r="AH136" s="161" t="s"/>
    </row>
    <row r="137" spans="1:34" customHeight="false">
      <c r="A137" s="121" t="s"/>
      <c r="B137" s="188" t="s"/>
      <c r="C137" s="188" t="s"/>
      <c r="D137" s="121" t="s"/>
      <c r="E137" s="121" t="s"/>
      <c r="F137" s="121" t="s"/>
      <c r="G137" s="121" t="s"/>
      <c r="H137" s="121" t="s"/>
      <c r="I137" s="161" t="s"/>
      <c r="J137" s="187" t="s"/>
      <c r="K137" s="187" t="s"/>
      <c r="L137" s="187" t="s"/>
      <c r="M137" s="161" t="s"/>
      <c r="N137" s="161" t="s"/>
      <c r="O137" s="161" t="s"/>
      <c r="P137" s="161" t="s"/>
      <c r="Q137" s="161" t="s"/>
      <c r="R137" s="161" t="s"/>
      <c r="S137" s="161" t="s"/>
      <c r="T137" s="161" t="s"/>
      <c r="U137" s="161" t="s"/>
      <c r="V137" s="161" t="s"/>
      <c r="W137" s="161" t="s"/>
      <c r="X137" s="161" t="s"/>
      <c r="Y137" s="161" t="s"/>
      <c r="Z137" s="161" t="s"/>
      <c r="AA137" s="161" t="s"/>
      <c r="AB137" s="161" t="s"/>
      <c r="AC137" s="161" t="s"/>
      <c r="AD137" s="161" t="s"/>
      <c r="AE137" s="161" t="s"/>
      <c r="AF137" s="161" t="s"/>
      <c r="AG137" s="161" t="s"/>
      <c r="AH137" s="161" t="s"/>
    </row>
    <row r="138" spans="1:34" customHeight="false">
      <c r="A138" s="121" t="s"/>
      <c r="B138" s="188" t="s"/>
      <c r="C138" s="188" t="s"/>
      <c r="D138" s="121" t="s"/>
      <c r="E138" s="121" t="s"/>
      <c r="F138" s="121" t="s"/>
      <c r="G138" s="121" t="s"/>
      <c r="H138" s="121" t="s"/>
      <c r="I138" s="161" t="s"/>
      <c r="J138" s="187" t="s"/>
      <c r="K138" s="187" t="s"/>
      <c r="L138" s="187" t="s"/>
      <c r="M138" s="161" t="s"/>
      <c r="N138" s="161" t="s"/>
      <c r="O138" s="161" t="s"/>
      <c r="P138" s="161" t="s"/>
      <c r="Q138" s="161" t="s"/>
      <c r="R138" s="161" t="s"/>
      <c r="S138" s="161" t="s"/>
      <c r="T138" s="161" t="s"/>
      <c r="U138" s="161" t="s"/>
      <c r="V138" s="161" t="s"/>
      <c r="W138" s="161" t="s"/>
      <c r="X138" s="161" t="s"/>
      <c r="Y138" s="161" t="s"/>
      <c r="Z138" s="161" t="s"/>
      <c r="AA138" s="161" t="s"/>
      <c r="AB138" s="161" t="s"/>
      <c r="AC138" s="161" t="s"/>
      <c r="AD138" s="161" t="s"/>
      <c r="AE138" s="161" t="s"/>
      <c r="AF138" s="161" t="s"/>
      <c r="AG138" s="161" t="s"/>
      <c r="AH138" s="161" t="s"/>
    </row>
    <row r="139" spans="1:34" customHeight="false">
      <c r="A139" s="121" t="s"/>
      <c r="B139" s="188" t="s"/>
      <c r="C139" s="188" t="s"/>
      <c r="D139" s="121" t="s"/>
      <c r="E139" s="121" t="s"/>
      <c r="F139" s="121" t="s"/>
      <c r="G139" s="121" t="s"/>
      <c r="H139" s="121" t="s"/>
      <c r="I139" s="161" t="s"/>
      <c r="J139" s="187" t="s"/>
      <c r="K139" s="187" t="s"/>
      <c r="L139" s="187" t="s"/>
      <c r="M139" s="161" t="s"/>
      <c r="N139" s="161" t="s"/>
      <c r="O139" s="161" t="s"/>
      <c r="P139" s="161" t="s"/>
      <c r="Q139" s="161" t="s"/>
      <c r="R139" s="161" t="s"/>
      <c r="S139" s="161" t="s"/>
      <c r="T139" s="161" t="s"/>
      <c r="U139" s="161" t="s"/>
      <c r="V139" s="161" t="s"/>
      <c r="W139" s="161" t="s"/>
      <c r="X139" s="161" t="s"/>
      <c r="Y139" s="161" t="s"/>
      <c r="Z139" s="161" t="s"/>
      <c r="AA139" s="161" t="s"/>
      <c r="AB139" s="161" t="s"/>
      <c r="AC139" s="161" t="s"/>
      <c r="AD139" s="161" t="s"/>
      <c r="AE139" s="161" t="s"/>
      <c r="AF139" s="161" t="s"/>
      <c r="AG139" s="161" t="s"/>
      <c r="AH139" s="161" t="s"/>
    </row>
    <row r="140" spans="1:34" customHeight="false">
      <c r="A140" s="121" t="s"/>
      <c r="B140" s="188" t="s"/>
      <c r="C140" s="188" t="s"/>
      <c r="D140" s="121" t="s"/>
      <c r="E140" s="121" t="s"/>
      <c r="F140" s="121" t="s"/>
      <c r="G140" s="121" t="s"/>
      <c r="H140" s="121" t="s"/>
      <c r="I140" s="161" t="s"/>
      <c r="J140" s="187" t="s"/>
      <c r="K140" s="187" t="s"/>
      <c r="L140" s="187" t="s"/>
      <c r="M140" s="161" t="s"/>
      <c r="N140" s="161" t="s"/>
      <c r="O140" s="161" t="s"/>
      <c r="P140" s="161" t="s"/>
      <c r="Q140" s="161" t="s"/>
      <c r="R140" s="161" t="s"/>
      <c r="S140" s="161" t="s"/>
      <c r="T140" s="161" t="s"/>
      <c r="U140" s="161" t="s"/>
      <c r="V140" s="161" t="s"/>
      <c r="W140" s="161" t="s"/>
      <c r="X140" s="161" t="s"/>
      <c r="Y140" s="161" t="s"/>
      <c r="Z140" s="161" t="s"/>
      <c r="AA140" s="161" t="s"/>
      <c r="AB140" s="161" t="s"/>
      <c r="AC140" s="161" t="s"/>
      <c r="AD140" s="161" t="s"/>
      <c r="AE140" s="161" t="s"/>
      <c r="AF140" s="161" t="s"/>
      <c r="AG140" s="161" t="s"/>
      <c r="AH140" s="161" t="s"/>
    </row>
    <row r="141" spans="1:34" customHeight="false">
      <c r="A141" s="121" t="s"/>
      <c r="B141" s="188" t="s"/>
      <c r="C141" s="188" t="s"/>
      <c r="D141" s="121" t="s"/>
      <c r="E141" s="121" t="s"/>
      <c r="F141" s="121" t="s"/>
      <c r="G141" s="121" t="s"/>
      <c r="H141" s="121" t="s"/>
      <c r="I141" s="161" t="s"/>
      <c r="J141" s="187" t="s"/>
      <c r="K141" s="187" t="s"/>
      <c r="L141" s="187" t="s"/>
      <c r="M141" s="161" t="s"/>
      <c r="N141" s="161" t="s"/>
      <c r="O141" s="161" t="s"/>
      <c r="P141" s="161" t="s"/>
      <c r="Q141" s="161" t="s"/>
      <c r="R141" s="161" t="s"/>
      <c r="S141" s="161" t="s"/>
      <c r="T141" s="161" t="s"/>
      <c r="U141" s="161" t="s"/>
      <c r="V141" s="161" t="s"/>
      <c r="W141" s="161" t="s"/>
      <c r="X141" s="161" t="s"/>
      <c r="Y141" s="161" t="s"/>
      <c r="Z141" s="161" t="s"/>
      <c r="AA141" s="161" t="s"/>
      <c r="AB141" s="161" t="s"/>
      <c r="AC141" s="161" t="s"/>
      <c r="AD141" s="161" t="s"/>
      <c r="AE141" s="161" t="s"/>
      <c r="AF141" s="161" t="s"/>
      <c r="AG141" s="161" t="s"/>
      <c r="AH141" s="161" t="s"/>
    </row>
    <row r="142" spans="1:34" customHeight="false">
      <c r="A142" s="121" t="s"/>
      <c r="B142" s="188" t="s"/>
      <c r="C142" s="188" t="s"/>
      <c r="D142" s="121" t="s"/>
      <c r="E142" s="121" t="s"/>
      <c r="F142" s="121" t="s"/>
      <c r="G142" s="121" t="s"/>
      <c r="H142" s="121" t="s"/>
      <c r="I142" s="161" t="s"/>
      <c r="J142" s="187" t="s"/>
      <c r="K142" s="187" t="s"/>
      <c r="L142" s="187" t="s"/>
      <c r="M142" s="161" t="s"/>
      <c r="N142" s="161" t="s"/>
      <c r="O142" s="161" t="s"/>
      <c r="P142" s="161" t="s"/>
      <c r="Q142" s="161" t="s"/>
      <c r="R142" s="161" t="s"/>
      <c r="S142" s="161" t="s"/>
      <c r="T142" s="161" t="s"/>
      <c r="U142" s="161" t="s"/>
      <c r="V142" s="161" t="s"/>
      <c r="W142" s="161" t="s"/>
      <c r="X142" s="161" t="s"/>
      <c r="Y142" s="161" t="s"/>
      <c r="Z142" s="161" t="s"/>
      <c r="AA142" s="161" t="s"/>
      <c r="AB142" s="161" t="s"/>
      <c r="AC142" s="161" t="s"/>
      <c r="AD142" s="161" t="s"/>
      <c r="AE142" s="161" t="s"/>
      <c r="AF142" s="161" t="s"/>
      <c r="AG142" s="161" t="s"/>
      <c r="AH142" s="161" t="s"/>
    </row>
    <row r="143" spans="1:34" customHeight="false">
      <c r="A143" s="121" t="s"/>
      <c r="B143" s="188" t="s"/>
      <c r="C143" s="188" t="s"/>
      <c r="D143" s="121" t="s"/>
      <c r="E143" s="121" t="s"/>
      <c r="F143" s="121" t="s"/>
      <c r="G143" s="121" t="s"/>
      <c r="H143" s="121" t="s"/>
      <c r="I143" s="161" t="s"/>
      <c r="J143" s="187" t="s"/>
      <c r="K143" s="187" t="s"/>
      <c r="L143" s="187" t="s"/>
      <c r="M143" s="161" t="s"/>
      <c r="N143" s="161" t="s"/>
      <c r="O143" s="161" t="s"/>
      <c r="P143" s="161" t="s"/>
      <c r="Q143" s="161" t="s"/>
      <c r="R143" s="161" t="s"/>
      <c r="S143" s="161" t="s"/>
      <c r="T143" s="161" t="s"/>
      <c r="U143" s="161" t="s"/>
      <c r="V143" s="161" t="s"/>
      <c r="W143" s="161" t="s"/>
      <c r="X143" s="161" t="s"/>
      <c r="Y143" s="161" t="s"/>
      <c r="Z143" s="161" t="s"/>
      <c r="AA143" s="161" t="s"/>
      <c r="AB143" s="161" t="s"/>
      <c r="AC143" s="161" t="s"/>
      <c r="AD143" s="161" t="s"/>
      <c r="AE143" s="161" t="s"/>
      <c r="AF143" s="161" t="s"/>
      <c r="AG143" s="161" t="s"/>
      <c r="AH143" s="161" t="s"/>
    </row>
    <row r="144" spans="1:34" customHeight="false">
      <c r="A144" s="121" t="s"/>
      <c r="B144" s="188" t="s"/>
      <c r="C144" s="188" t="s"/>
      <c r="D144" s="121" t="s"/>
      <c r="E144" s="121" t="s"/>
      <c r="F144" s="121" t="s"/>
      <c r="G144" s="121" t="s"/>
      <c r="H144" s="121" t="s"/>
      <c r="I144" s="161" t="s"/>
      <c r="J144" s="187" t="s"/>
      <c r="K144" s="187" t="s"/>
      <c r="L144" s="187" t="s"/>
      <c r="M144" s="161" t="s"/>
      <c r="N144" s="161" t="s"/>
      <c r="O144" s="161" t="s"/>
      <c r="P144" s="161" t="s"/>
      <c r="Q144" s="161" t="s"/>
      <c r="R144" s="161" t="s"/>
      <c r="S144" s="161" t="s"/>
      <c r="T144" s="161" t="s"/>
      <c r="U144" s="161" t="s"/>
      <c r="V144" s="161" t="s"/>
      <c r="W144" s="161" t="s"/>
      <c r="X144" s="161" t="s"/>
      <c r="Y144" s="161" t="s"/>
      <c r="Z144" s="161" t="s"/>
      <c r="AA144" s="161" t="s"/>
      <c r="AB144" s="161" t="s"/>
      <c r="AC144" s="161" t="s"/>
      <c r="AD144" s="161" t="s"/>
      <c r="AE144" s="161" t="s"/>
      <c r="AF144" s="161" t="s"/>
      <c r="AG144" s="161" t="s"/>
      <c r="AH144" s="161" t="s"/>
    </row>
    <row r="145" spans="1:34" customHeight="false">
      <c r="A145" s="121" t="s"/>
      <c r="B145" s="188" t="s"/>
      <c r="C145" s="188" t="s"/>
      <c r="D145" s="121" t="s"/>
      <c r="E145" s="121" t="s"/>
      <c r="F145" s="121" t="s"/>
      <c r="G145" s="121" t="s"/>
      <c r="H145" s="121" t="s"/>
      <c r="I145" s="161" t="s"/>
      <c r="J145" s="187" t="s"/>
      <c r="K145" s="187" t="s"/>
      <c r="L145" s="187" t="s"/>
      <c r="M145" s="161" t="s"/>
      <c r="N145" s="161" t="s"/>
      <c r="O145" s="161" t="s"/>
      <c r="P145" s="161" t="s"/>
      <c r="Q145" s="161" t="s"/>
      <c r="R145" s="161" t="s"/>
      <c r="S145" s="161" t="s"/>
      <c r="T145" s="161" t="s"/>
      <c r="U145" s="161" t="s"/>
      <c r="V145" s="161" t="s"/>
      <c r="W145" s="161" t="s"/>
      <c r="X145" s="161" t="s"/>
      <c r="Y145" s="161" t="s"/>
      <c r="Z145" s="161" t="s"/>
      <c r="AA145" s="161" t="s"/>
      <c r="AB145" s="161" t="s"/>
      <c r="AC145" s="161" t="s"/>
      <c r="AD145" s="161" t="s"/>
      <c r="AE145" s="161" t="s"/>
      <c r="AF145" s="161" t="s"/>
      <c r="AG145" s="161" t="s"/>
      <c r="AH145" s="161" t="s"/>
    </row>
    <row r="146" spans="1:34" customHeight="false">
      <c r="A146" s="121" t="s"/>
      <c r="B146" s="188" t="s"/>
      <c r="C146" s="188" t="s"/>
      <c r="D146" s="121" t="s"/>
      <c r="E146" s="121" t="s"/>
      <c r="F146" s="121" t="s"/>
      <c r="G146" s="121" t="s"/>
      <c r="H146" s="121" t="s"/>
      <c r="I146" s="161" t="s"/>
      <c r="J146" s="187" t="s"/>
      <c r="K146" s="187" t="s"/>
      <c r="L146" s="187" t="s"/>
      <c r="M146" s="161" t="s"/>
      <c r="N146" s="161" t="s"/>
      <c r="O146" s="161" t="s"/>
      <c r="P146" s="161" t="s"/>
      <c r="Q146" s="161" t="s"/>
      <c r="R146" s="161" t="s"/>
      <c r="S146" s="161" t="s"/>
      <c r="T146" s="161" t="s"/>
      <c r="U146" s="161" t="s"/>
      <c r="V146" s="161" t="s"/>
      <c r="W146" s="161" t="s"/>
      <c r="X146" s="161" t="s"/>
      <c r="Y146" s="161" t="s"/>
      <c r="Z146" s="161" t="s"/>
      <c r="AA146" s="161" t="s"/>
      <c r="AB146" s="161" t="s"/>
      <c r="AC146" s="161" t="s"/>
      <c r="AD146" s="161" t="s"/>
      <c r="AE146" s="161" t="s"/>
      <c r="AF146" s="161" t="s"/>
      <c r="AG146" s="161" t="s"/>
      <c r="AH146" s="161" t="s"/>
    </row>
    <row r="147" spans="1:34" customHeight="false">
      <c r="A147" s="121" t="s"/>
      <c r="B147" s="188" t="s"/>
      <c r="C147" s="188" t="s"/>
      <c r="D147" s="121" t="s"/>
      <c r="E147" s="121" t="s"/>
      <c r="F147" s="121" t="s"/>
      <c r="G147" s="121" t="s"/>
      <c r="H147" s="121" t="s"/>
      <c r="I147" s="161" t="s"/>
      <c r="J147" s="187" t="s"/>
      <c r="K147" s="187" t="s"/>
      <c r="L147" s="187" t="s"/>
      <c r="M147" s="161" t="s"/>
      <c r="N147" s="161" t="s"/>
      <c r="O147" s="161" t="s"/>
      <c r="P147" s="161" t="s"/>
      <c r="Q147" s="161" t="s"/>
      <c r="R147" s="161" t="s"/>
      <c r="S147" s="161" t="s"/>
      <c r="T147" s="161" t="s"/>
      <c r="U147" s="161" t="s"/>
      <c r="V147" s="161" t="s"/>
      <c r="W147" s="161" t="s"/>
      <c r="X147" s="161" t="s"/>
      <c r="Y147" s="161" t="s"/>
      <c r="Z147" s="161" t="s"/>
      <c r="AA147" s="161" t="s"/>
      <c r="AB147" s="161" t="s"/>
      <c r="AC147" s="161" t="s"/>
      <c r="AD147" s="161" t="s"/>
      <c r="AE147" s="161" t="s"/>
      <c r="AF147" s="161" t="s"/>
      <c r="AG147" s="161" t="s"/>
      <c r="AH147" s="161" t="s"/>
    </row>
    <row r="148" spans="1:34" customHeight="false">
      <c r="A148" s="121" t="s"/>
      <c r="B148" s="188" t="s"/>
      <c r="C148" s="188" t="s"/>
      <c r="D148" s="121" t="s"/>
      <c r="E148" s="121" t="s"/>
      <c r="F148" s="121" t="s"/>
      <c r="G148" s="121" t="s"/>
      <c r="H148" s="121" t="s"/>
      <c r="I148" s="161" t="s"/>
      <c r="J148" s="187" t="s"/>
      <c r="K148" s="187" t="s"/>
      <c r="L148" s="187" t="s"/>
      <c r="M148" s="161" t="s"/>
      <c r="N148" s="161" t="s"/>
      <c r="O148" s="161" t="s"/>
      <c r="P148" s="161" t="s"/>
      <c r="Q148" s="161" t="s"/>
      <c r="R148" s="161" t="s"/>
      <c r="S148" s="161" t="s"/>
      <c r="T148" s="161" t="s"/>
      <c r="U148" s="161" t="s"/>
      <c r="V148" s="161" t="s"/>
      <c r="W148" s="161" t="s"/>
      <c r="X148" s="161" t="s"/>
      <c r="Y148" s="161" t="s"/>
      <c r="Z148" s="161" t="s"/>
      <c r="AA148" s="161" t="s"/>
      <c r="AB148" s="161" t="s"/>
      <c r="AC148" s="161" t="s"/>
      <c r="AD148" s="161" t="s"/>
      <c r="AE148" s="161" t="s"/>
      <c r="AF148" s="161" t="s"/>
      <c r="AG148" s="161" t="s"/>
      <c r="AH148" s="161" t="s"/>
    </row>
    <row r="149" spans="1:34" customHeight="false">
      <c r="A149" s="121" t="s"/>
      <c r="B149" s="188" t="s"/>
      <c r="C149" s="188" t="s"/>
      <c r="D149" s="121" t="s"/>
      <c r="E149" s="121" t="s"/>
      <c r="F149" s="121" t="s"/>
      <c r="G149" s="121" t="s"/>
      <c r="H149" s="121" t="s"/>
      <c r="I149" s="161" t="s"/>
      <c r="J149" s="187" t="s"/>
      <c r="K149" s="187" t="s"/>
      <c r="L149" s="187" t="s"/>
      <c r="M149" s="161" t="s"/>
      <c r="N149" s="161" t="s"/>
      <c r="O149" s="161" t="s"/>
      <c r="P149" s="161" t="s"/>
      <c r="Q149" s="161" t="s"/>
      <c r="R149" s="161" t="s"/>
      <c r="S149" s="161" t="s"/>
      <c r="T149" s="161" t="s"/>
      <c r="U149" s="161" t="s"/>
      <c r="V149" s="161" t="s"/>
      <c r="W149" s="161" t="s"/>
      <c r="X149" s="161" t="s"/>
      <c r="Y149" s="161" t="s"/>
      <c r="Z149" s="161" t="s"/>
      <c r="AA149" s="161" t="s"/>
      <c r="AB149" s="161" t="s"/>
      <c r="AC149" s="161" t="s"/>
      <c r="AD149" s="161" t="s"/>
      <c r="AE149" s="161" t="s"/>
      <c r="AF149" s="161" t="s"/>
      <c r="AG149" s="161" t="s"/>
      <c r="AH149" s="161" t="s"/>
    </row>
    <row r="150" spans="1:34" customHeight="false">
      <c r="A150" s="121" t="s"/>
      <c r="B150" s="188" t="s"/>
      <c r="C150" s="188" t="s"/>
      <c r="D150" s="121" t="s"/>
      <c r="E150" s="121" t="s"/>
      <c r="F150" s="121" t="s"/>
      <c r="G150" s="121" t="s"/>
      <c r="H150" s="121" t="s"/>
      <c r="I150" s="161" t="s"/>
      <c r="J150" s="187" t="s"/>
      <c r="K150" s="187" t="s"/>
      <c r="L150" s="187" t="s"/>
      <c r="M150" s="161" t="s"/>
      <c r="N150" s="161" t="s"/>
      <c r="O150" s="161" t="s"/>
      <c r="P150" s="161" t="s"/>
      <c r="Q150" s="161" t="s"/>
      <c r="R150" s="161" t="s"/>
      <c r="S150" s="161" t="s"/>
      <c r="T150" s="161" t="s"/>
      <c r="U150" s="161" t="s"/>
      <c r="V150" s="161" t="s"/>
      <c r="W150" s="161" t="s"/>
      <c r="X150" s="161" t="s"/>
      <c r="Y150" s="161" t="s"/>
      <c r="Z150" s="161" t="s"/>
      <c r="AA150" s="161" t="s"/>
      <c r="AB150" s="161" t="s"/>
      <c r="AC150" s="161" t="s"/>
      <c r="AD150" s="161" t="s"/>
      <c r="AE150" s="161" t="s"/>
      <c r="AF150" s="161" t="s"/>
      <c r="AG150" s="161" t="s"/>
      <c r="AH150" s="161" t="s"/>
    </row>
    <row r="151" spans="1:34" customHeight="false">
      <c r="A151" s="121" t="s"/>
      <c r="B151" s="188" t="s"/>
      <c r="C151" s="188" t="s"/>
      <c r="D151" s="121" t="s"/>
      <c r="E151" s="121" t="s"/>
      <c r="F151" s="121" t="s"/>
      <c r="G151" s="121" t="s"/>
      <c r="H151" s="121" t="s"/>
      <c r="I151" s="161" t="s"/>
      <c r="J151" s="187" t="s"/>
      <c r="K151" s="187" t="s"/>
      <c r="L151" s="187" t="s"/>
      <c r="M151" s="161" t="s"/>
      <c r="N151" s="161" t="s"/>
      <c r="O151" s="161" t="s"/>
      <c r="P151" s="161" t="s"/>
      <c r="Q151" s="161" t="s"/>
      <c r="R151" s="161" t="s"/>
      <c r="S151" s="161" t="s"/>
      <c r="T151" s="161" t="s"/>
      <c r="U151" s="161" t="s"/>
      <c r="V151" s="161" t="s"/>
      <c r="W151" s="161" t="s"/>
      <c r="X151" s="161" t="s"/>
      <c r="Y151" s="161" t="s"/>
      <c r="Z151" s="161" t="s"/>
      <c r="AA151" s="161" t="s"/>
      <c r="AB151" s="161" t="s"/>
      <c r="AC151" s="161" t="s"/>
      <c r="AD151" s="161" t="s"/>
      <c r="AE151" s="161" t="s"/>
      <c r="AF151" s="161" t="s"/>
      <c r="AG151" s="161" t="s"/>
      <c r="AH151" s="161" t="s"/>
    </row>
    <row r="152" spans="1:34" customHeight="false">
      <c r="A152" s="121" t="s"/>
      <c r="B152" s="188" t="s"/>
      <c r="C152" s="188" t="s"/>
      <c r="D152" s="121" t="s"/>
      <c r="E152" s="121" t="s"/>
      <c r="F152" s="121" t="s"/>
      <c r="G152" s="121" t="s"/>
      <c r="H152" s="121" t="s"/>
      <c r="I152" s="161" t="s"/>
      <c r="J152" s="187" t="s"/>
      <c r="K152" s="187" t="s"/>
      <c r="L152" s="187" t="s"/>
      <c r="M152" s="161" t="s"/>
      <c r="N152" s="161" t="s"/>
      <c r="O152" s="161" t="s"/>
      <c r="P152" s="161" t="s"/>
      <c r="Q152" s="161" t="s"/>
      <c r="R152" s="161" t="s"/>
      <c r="S152" s="161" t="s"/>
      <c r="T152" s="161" t="s"/>
      <c r="U152" s="161" t="s"/>
      <c r="V152" s="161" t="s"/>
      <c r="W152" s="161" t="s"/>
      <c r="X152" s="161" t="s"/>
      <c r="Y152" s="161" t="s"/>
      <c r="Z152" s="161" t="s"/>
      <c r="AA152" s="161" t="s"/>
      <c r="AB152" s="161" t="s"/>
      <c r="AC152" s="161" t="s"/>
      <c r="AD152" s="161" t="s"/>
      <c r="AE152" s="161" t="s"/>
      <c r="AF152" s="161" t="s"/>
      <c r="AG152" s="161" t="s"/>
      <c r="AH152" s="161" t="s"/>
    </row>
    <row r="153" spans="1:34" customHeight="false">
      <c r="A153" s="121" t="s"/>
      <c r="B153" s="188" t="s"/>
      <c r="C153" s="188" t="s"/>
      <c r="D153" s="121" t="s"/>
      <c r="E153" s="121" t="s"/>
      <c r="F153" s="121" t="s"/>
      <c r="G153" s="121" t="s"/>
      <c r="H153" s="121" t="s"/>
      <c r="I153" s="161" t="s"/>
      <c r="J153" s="187" t="s"/>
      <c r="K153" s="187" t="s"/>
      <c r="L153" s="187" t="s"/>
      <c r="M153" s="161" t="s"/>
      <c r="N153" s="161" t="s"/>
      <c r="O153" s="161" t="s"/>
      <c r="P153" s="161" t="s"/>
      <c r="Q153" s="161" t="s"/>
      <c r="R153" s="161" t="s"/>
      <c r="S153" s="161" t="s"/>
      <c r="T153" s="161" t="s"/>
      <c r="U153" s="161" t="s"/>
      <c r="V153" s="161" t="s"/>
      <c r="W153" s="161" t="s"/>
      <c r="X153" s="161" t="s"/>
      <c r="Y153" s="161" t="s"/>
      <c r="Z153" s="161" t="s"/>
      <c r="AA153" s="161" t="s"/>
      <c r="AB153" s="161" t="s"/>
      <c r="AC153" s="161" t="s"/>
      <c r="AD153" s="161" t="s"/>
      <c r="AE153" s="161" t="s"/>
      <c r="AF153" s="161" t="s"/>
      <c r="AG153" s="161" t="s"/>
      <c r="AH153" s="161" t="s"/>
    </row>
    <row r="154" spans="1:34" customHeight="false">
      <c r="A154" s="121" t="s"/>
      <c r="B154" s="188" t="s"/>
      <c r="C154" s="188" t="s"/>
      <c r="D154" s="121" t="s"/>
      <c r="E154" s="121" t="s"/>
      <c r="F154" s="121" t="s"/>
      <c r="G154" s="121" t="s"/>
      <c r="H154" s="121" t="s"/>
      <c r="I154" s="161" t="s"/>
      <c r="J154" s="187" t="s"/>
      <c r="K154" s="187" t="s"/>
      <c r="L154" s="187" t="s"/>
      <c r="M154" s="161" t="s"/>
      <c r="N154" s="161" t="s"/>
      <c r="O154" s="161" t="s"/>
      <c r="P154" s="161" t="s"/>
      <c r="Q154" s="161" t="s"/>
      <c r="R154" s="161" t="s"/>
      <c r="S154" s="161" t="s"/>
      <c r="T154" s="161" t="s"/>
      <c r="U154" s="161" t="s"/>
      <c r="V154" s="161" t="s"/>
      <c r="W154" s="161" t="s"/>
      <c r="X154" s="161" t="s"/>
      <c r="Y154" s="161" t="s"/>
      <c r="Z154" s="161" t="s"/>
      <c r="AA154" s="161" t="s"/>
      <c r="AB154" s="161" t="s"/>
      <c r="AC154" s="161" t="s"/>
      <c r="AD154" s="161" t="s"/>
      <c r="AE154" s="161" t="s"/>
      <c r="AF154" s="161" t="s"/>
      <c r="AG154" s="161" t="s"/>
      <c r="AH154" s="161" t="s"/>
    </row>
    <row r="155" spans="1:34" customHeight="false">
      <c r="A155" s="121" t="s"/>
      <c r="B155" s="188" t="s"/>
      <c r="C155" s="188" t="s"/>
      <c r="D155" s="121" t="s"/>
      <c r="E155" s="121" t="s"/>
      <c r="F155" s="121" t="s"/>
      <c r="G155" s="121" t="s"/>
      <c r="H155" s="121" t="s"/>
      <c r="I155" s="161" t="s"/>
      <c r="J155" s="187" t="s"/>
      <c r="K155" s="187" t="s"/>
      <c r="L155" s="187" t="s"/>
      <c r="M155" s="161" t="s"/>
      <c r="N155" s="161" t="s"/>
      <c r="O155" s="161" t="s"/>
      <c r="P155" s="161" t="s"/>
      <c r="Q155" s="161" t="s"/>
      <c r="R155" s="161" t="s"/>
      <c r="S155" s="161" t="s"/>
      <c r="T155" s="161" t="s"/>
      <c r="U155" s="161" t="s"/>
      <c r="V155" s="161" t="s"/>
      <c r="W155" s="161" t="s"/>
      <c r="X155" s="161" t="s"/>
      <c r="Y155" s="161" t="s"/>
      <c r="Z155" s="161" t="s"/>
      <c r="AA155" s="161" t="s"/>
      <c r="AB155" s="161" t="s"/>
      <c r="AC155" s="161" t="s"/>
      <c r="AD155" s="161" t="s"/>
      <c r="AE155" s="161" t="s"/>
      <c r="AF155" s="161" t="s"/>
      <c r="AG155" s="161" t="s"/>
      <c r="AH155" s="161" t="s"/>
    </row>
    <row r="156" spans="1:34" customHeight="false">
      <c r="A156" s="121" t="s"/>
      <c r="B156" s="188" t="s"/>
      <c r="C156" s="188" t="s"/>
      <c r="D156" s="121" t="s"/>
      <c r="E156" s="121" t="s"/>
      <c r="F156" s="121" t="s"/>
      <c r="G156" s="121" t="s"/>
      <c r="H156" s="121" t="s"/>
      <c r="I156" s="161" t="s"/>
      <c r="J156" s="187" t="s"/>
      <c r="K156" s="187" t="s"/>
      <c r="L156" s="187" t="s"/>
      <c r="M156" s="161" t="s"/>
      <c r="N156" s="161" t="s"/>
      <c r="O156" s="161" t="s"/>
      <c r="P156" s="161" t="s"/>
      <c r="Q156" s="161" t="s"/>
      <c r="R156" s="161" t="s"/>
      <c r="S156" s="161" t="s"/>
      <c r="T156" s="161" t="s"/>
      <c r="U156" s="161" t="s"/>
      <c r="V156" s="161" t="s"/>
      <c r="W156" s="161" t="s"/>
      <c r="X156" s="161" t="s"/>
      <c r="Y156" s="161" t="s"/>
      <c r="Z156" s="161" t="s"/>
      <c r="AA156" s="161" t="s"/>
      <c r="AB156" s="161" t="s"/>
      <c r="AC156" s="161" t="s"/>
      <c r="AD156" s="161" t="s"/>
      <c r="AE156" s="161" t="s"/>
      <c r="AF156" s="161" t="s"/>
      <c r="AG156" s="161" t="s"/>
      <c r="AH156" s="161" t="s"/>
    </row>
    <row r="157" spans="1:34" customHeight="false">
      <c r="A157" s="121" t="s"/>
      <c r="B157" s="188" t="s"/>
      <c r="C157" s="188" t="s"/>
      <c r="D157" s="121" t="s"/>
      <c r="E157" s="121" t="s"/>
      <c r="F157" s="121" t="s"/>
      <c r="G157" s="121" t="s"/>
      <c r="H157" s="121" t="s"/>
      <c r="I157" s="161" t="s"/>
      <c r="J157" s="187" t="s"/>
      <c r="K157" s="187" t="s"/>
      <c r="L157" s="187" t="s"/>
      <c r="M157" s="161" t="s"/>
      <c r="N157" s="161" t="s"/>
      <c r="O157" s="161" t="s"/>
      <c r="P157" s="161" t="s"/>
      <c r="Q157" s="161" t="s"/>
      <c r="R157" s="161" t="s"/>
      <c r="S157" s="161" t="s"/>
      <c r="T157" s="161" t="s"/>
      <c r="U157" s="161" t="s"/>
      <c r="V157" s="161" t="s"/>
      <c r="W157" s="161" t="s"/>
      <c r="X157" s="161" t="s"/>
      <c r="Y157" s="161" t="s"/>
      <c r="Z157" s="161" t="s"/>
      <c r="AA157" s="161" t="s"/>
      <c r="AB157" s="161" t="s"/>
      <c r="AC157" s="161" t="s"/>
      <c r="AD157" s="161" t="s"/>
      <c r="AE157" s="161" t="s"/>
      <c r="AF157" s="161" t="s"/>
      <c r="AG157" s="161" t="s"/>
      <c r="AH157" s="161" t="s"/>
    </row>
    <row r="158" spans="1:34" customHeight="false">
      <c r="A158" s="121" t="s"/>
      <c r="B158" s="188" t="s"/>
      <c r="C158" s="188" t="s"/>
      <c r="D158" s="121" t="s"/>
      <c r="E158" s="121" t="s"/>
      <c r="F158" s="121" t="s"/>
      <c r="G158" s="121" t="s"/>
      <c r="H158" s="121" t="s"/>
      <c r="I158" s="161" t="s"/>
      <c r="J158" s="187" t="s"/>
      <c r="K158" s="187" t="s"/>
      <c r="L158" s="187" t="s"/>
      <c r="M158" s="161" t="s"/>
      <c r="N158" s="161" t="s"/>
      <c r="O158" s="161" t="s"/>
      <c r="P158" s="161" t="s"/>
      <c r="Q158" s="161" t="s"/>
      <c r="R158" s="161" t="s"/>
      <c r="S158" s="161" t="s"/>
      <c r="T158" s="161" t="s"/>
      <c r="U158" s="161" t="s"/>
      <c r="V158" s="161" t="s"/>
      <c r="W158" s="161" t="s"/>
      <c r="X158" s="161" t="s"/>
      <c r="Y158" s="161" t="s"/>
      <c r="Z158" s="161" t="s"/>
      <c r="AA158" s="161" t="s"/>
      <c r="AB158" s="161" t="s"/>
      <c r="AC158" s="161" t="s"/>
      <c r="AD158" s="161" t="s"/>
      <c r="AE158" s="161" t="s"/>
      <c r="AF158" s="161" t="s"/>
      <c r="AG158" s="161" t="s"/>
      <c r="AH158" s="161" t="s"/>
    </row>
    <row r="159" spans="1:34" customHeight="false">
      <c r="A159" s="121" t="s"/>
      <c r="B159" s="188" t="s"/>
      <c r="C159" s="188" t="s"/>
      <c r="D159" s="121" t="s"/>
      <c r="E159" s="121" t="s"/>
      <c r="F159" s="121" t="s"/>
      <c r="G159" s="121" t="s"/>
      <c r="H159" s="121" t="s"/>
      <c r="I159" s="161" t="s"/>
      <c r="J159" s="187" t="s"/>
      <c r="K159" s="187" t="s"/>
      <c r="L159" s="187" t="s"/>
      <c r="M159" s="161" t="s"/>
      <c r="N159" s="161" t="s"/>
      <c r="O159" s="161" t="s"/>
      <c r="P159" s="161" t="s"/>
      <c r="Q159" s="161" t="s"/>
      <c r="R159" s="161" t="s"/>
      <c r="S159" s="161" t="s"/>
      <c r="T159" s="161" t="s"/>
      <c r="U159" s="161" t="s"/>
      <c r="V159" s="161" t="s"/>
      <c r="W159" s="161" t="s"/>
      <c r="X159" s="161" t="s"/>
      <c r="Y159" s="161" t="s"/>
      <c r="Z159" s="161" t="s"/>
      <c r="AA159" s="161" t="s"/>
      <c r="AB159" s="161" t="s"/>
      <c r="AC159" s="161" t="s"/>
      <c r="AD159" s="161" t="s"/>
      <c r="AE159" s="161" t="s"/>
      <c r="AF159" s="161" t="s"/>
      <c r="AG159" s="161" t="s"/>
      <c r="AH159" s="161" t="s"/>
    </row>
    <row r="160" spans="1:34" customHeight="false">
      <c r="A160" s="121" t="s"/>
      <c r="B160" s="188" t="s"/>
      <c r="C160" s="188" t="s"/>
      <c r="D160" s="121" t="s"/>
      <c r="E160" s="121" t="s"/>
      <c r="F160" s="121" t="s"/>
      <c r="G160" s="121" t="s"/>
      <c r="H160" s="121" t="s"/>
      <c r="I160" s="161" t="s"/>
      <c r="J160" s="187" t="s"/>
      <c r="K160" s="187" t="s"/>
      <c r="L160" s="187" t="s"/>
      <c r="M160" s="161" t="s"/>
      <c r="N160" s="161" t="s"/>
      <c r="O160" s="161" t="s"/>
      <c r="P160" s="161" t="s"/>
      <c r="Q160" s="161" t="s"/>
      <c r="R160" s="161" t="s"/>
      <c r="S160" s="161" t="s"/>
      <c r="T160" s="161" t="s"/>
      <c r="U160" s="161" t="s"/>
      <c r="V160" s="161" t="s"/>
      <c r="W160" s="161" t="s"/>
      <c r="X160" s="161" t="s"/>
      <c r="Y160" s="161" t="s"/>
      <c r="Z160" s="161" t="s"/>
      <c r="AA160" s="161" t="s"/>
      <c r="AB160" s="161" t="s"/>
      <c r="AC160" s="161" t="s"/>
      <c r="AD160" s="161" t="s"/>
      <c r="AE160" s="161" t="s"/>
      <c r="AF160" s="161" t="s"/>
      <c r="AG160" s="161" t="s"/>
      <c r="AH160" s="161" t="s"/>
    </row>
    <row r="161" spans="1:34" customHeight="false">
      <c r="A161" s="121" t="s"/>
      <c r="B161" s="188" t="s"/>
      <c r="C161" s="188" t="s"/>
      <c r="D161" s="121" t="s"/>
      <c r="E161" s="121" t="s"/>
      <c r="F161" s="121" t="s"/>
      <c r="G161" s="121" t="s"/>
      <c r="H161" s="121" t="s"/>
      <c r="I161" s="161" t="s"/>
      <c r="J161" s="187" t="s"/>
      <c r="K161" s="187" t="s"/>
      <c r="L161" s="187" t="s"/>
      <c r="M161" s="161" t="s"/>
      <c r="N161" s="161" t="s"/>
      <c r="O161" s="161" t="s"/>
      <c r="P161" s="161" t="s"/>
      <c r="Q161" s="161" t="s"/>
      <c r="R161" s="161" t="s"/>
      <c r="S161" s="161" t="s"/>
      <c r="T161" s="161" t="s"/>
      <c r="U161" s="161" t="s"/>
      <c r="V161" s="161" t="s"/>
      <c r="W161" s="161" t="s"/>
      <c r="X161" s="161" t="s"/>
      <c r="Y161" s="161" t="s"/>
      <c r="Z161" s="161" t="s"/>
      <c r="AA161" s="161" t="s"/>
      <c r="AB161" s="161" t="s"/>
      <c r="AC161" s="161" t="s"/>
      <c r="AD161" s="161" t="s"/>
      <c r="AE161" s="161" t="s"/>
      <c r="AF161" s="161" t="s"/>
      <c r="AG161" s="161" t="s"/>
      <c r="AH161" s="161" t="s"/>
    </row>
    <row r="162" spans="1:34" customHeight="false">
      <c r="A162" s="121" t="s"/>
      <c r="B162" s="188" t="s"/>
      <c r="C162" s="188" t="s"/>
      <c r="D162" s="121" t="s"/>
      <c r="E162" s="121" t="s"/>
      <c r="F162" s="121" t="s"/>
      <c r="G162" s="121" t="s"/>
      <c r="H162" s="121" t="s"/>
      <c r="I162" s="161" t="s"/>
      <c r="J162" s="187" t="s"/>
      <c r="K162" s="187" t="s"/>
      <c r="L162" s="187" t="s"/>
      <c r="M162" s="161" t="s"/>
      <c r="N162" s="161" t="s"/>
      <c r="O162" s="161" t="s"/>
      <c r="P162" s="161" t="s"/>
      <c r="Q162" s="161" t="s"/>
      <c r="R162" s="161" t="s"/>
      <c r="S162" s="161" t="s"/>
      <c r="T162" s="161" t="s"/>
      <c r="U162" s="161" t="s"/>
      <c r="V162" s="161" t="s"/>
      <c r="W162" s="161" t="s"/>
      <c r="X162" s="161" t="s"/>
      <c r="Y162" s="161" t="s"/>
      <c r="Z162" s="161" t="s"/>
      <c r="AA162" s="161" t="s"/>
      <c r="AB162" s="161" t="s"/>
      <c r="AC162" s="161" t="s"/>
      <c r="AD162" s="161" t="s"/>
      <c r="AE162" s="161" t="s"/>
      <c r="AF162" s="161" t="s"/>
      <c r="AG162" s="161" t="s"/>
      <c r="AH162" s="161" t="s"/>
    </row>
    <row r="163" spans="1:34" customHeight="false">
      <c r="A163" s="121" t="s"/>
      <c r="B163" s="188" t="s"/>
      <c r="C163" s="188" t="s"/>
      <c r="D163" s="121" t="s"/>
      <c r="E163" s="121" t="s"/>
      <c r="F163" s="121" t="s"/>
      <c r="G163" s="121" t="s"/>
      <c r="H163" s="121" t="s"/>
      <c r="I163" s="161" t="s"/>
      <c r="J163" s="187" t="s"/>
      <c r="K163" s="187" t="s"/>
      <c r="L163" s="187" t="s"/>
      <c r="M163" s="161" t="s"/>
      <c r="N163" s="161" t="s"/>
      <c r="O163" s="161" t="s"/>
      <c r="P163" s="161" t="s"/>
      <c r="Q163" s="161" t="s"/>
      <c r="R163" s="161" t="s"/>
      <c r="S163" s="161" t="s"/>
      <c r="T163" s="161" t="s"/>
      <c r="U163" s="161" t="s"/>
      <c r="V163" s="161" t="s"/>
      <c r="W163" s="161" t="s"/>
      <c r="X163" s="161" t="s"/>
      <c r="Y163" s="161" t="s"/>
      <c r="Z163" s="161" t="s"/>
      <c r="AA163" s="161" t="s"/>
      <c r="AB163" s="161" t="s"/>
      <c r="AC163" s="161" t="s"/>
      <c r="AD163" s="161" t="s"/>
      <c r="AE163" s="161" t="s"/>
      <c r="AF163" s="161" t="s"/>
      <c r="AG163" s="161" t="s"/>
      <c r="AH163" s="161" t="s"/>
    </row>
    <row r="164" spans="1:34" customHeight="false">
      <c r="A164" s="121" t="s"/>
      <c r="B164" s="188" t="s"/>
      <c r="C164" s="188" t="s"/>
      <c r="D164" s="121" t="s"/>
      <c r="E164" s="121" t="s"/>
      <c r="F164" s="121" t="s"/>
      <c r="G164" s="121" t="s"/>
      <c r="H164" s="121" t="s"/>
      <c r="I164" s="161" t="s"/>
      <c r="J164" s="187" t="s"/>
      <c r="K164" s="187" t="s"/>
      <c r="L164" s="187" t="s"/>
      <c r="M164" s="161" t="s"/>
      <c r="N164" s="161" t="s"/>
      <c r="O164" s="161" t="s"/>
      <c r="P164" s="161" t="s"/>
      <c r="Q164" s="161" t="s"/>
      <c r="R164" s="161" t="s"/>
      <c r="S164" s="161" t="s"/>
      <c r="T164" s="161" t="s"/>
      <c r="U164" s="161" t="s"/>
      <c r="V164" s="161" t="s"/>
      <c r="W164" s="161" t="s"/>
      <c r="X164" s="161" t="s"/>
      <c r="Y164" s="161" t="s"/>
      <c r="Z164" s="161" t="s"/>
      <c r="AA164" s="161" t="s"/>
      <c r="AB164" s="161" t="s"/>
      <c r="AC164" s="161" t="s"/>
      <c r="AD164" s="161" t="s"/>
      <c r="AE164" s="161" t="s"/>
      <c r="AF164" s="161" t="s"/>
      <c r="AG164" s="161" t="s"/>
      <c r="AH164" s="161" t="s"/>
    </row>
    <row r="165" spans="1:34" customHeight="false">
      <c r="A165" s="121" t="s"/>
      <c r="B165" s="188" t="s"/>
      <c r="C165" s="188" t="s"/>
      <c r="D165" s="121" t="s"/>
      <c r="E165" s="121" t="s"/>
      <c r="F165" s="121" t="s"/>
      <c r="G165" s="121" t="s"/>
      <c r="H165" s="121" t="s"/>
      <c r="I165" s="161" t="s"/>
      <c r="J165" s="187" t="s"/>
      <c r="K165" s="187" t="s"/>
      <c r="L165" s="187" t="s"/>
      <c r="M165" s="161" t="s"/>
      <c r="N165" s="161" t="s"/>
      <c r="O165" s="161" t="s"/>
      <c r="P165" s="161" t="s"/>
      <c r="Q165" s="161" t="s"/>
      <c r="R165" s="161" t="s"/>
      <c r="S165" s="161" t="s"/>
      <c r="T165" s="161" t="s"/>
      <c r="U165" s="161" t="s"/>
      <c r="V165" s="161" t="s"/>
      <c r="W165" s="161" t="s"/>
      <c r="X165" s="161" t="s"/>
      <c r="Y165" s="161" t="s"/>
      <c r="Z165" s="161" t="s"/>
      <c r="AA165" s="161" t="s"/>
      <c r="AB165" s="161" t="s"/>
      <c r="AC165" s="161" t="s"/>
      <c r="AD165" s="161" t="s"/>
      <c r="AE165" s="161" t="s"/>
      <c r="AF165" s="161" t="s"/>
      <c r="AG165" s="161" t="s"/>
      <c r="AH165" s="161" t="s"/>
    </row>
    <row r="166" spans="1:34" customHeight="false">
      <c r="A166" s="121" t="s"/>
      <c r="B166" s="188" t="s"/>
      <c r="C166" s="188" t="s"/>
      <c r="D166" s="121" t="s"/>
      <c r="E166" s="121" t="s"/>
      <c r="F166" s="121" t="s"/>
      <c r="G166" s="121" t="s"/>
      <c r="H166" s="121" t="s"/>
      <c r="I166" s="161" t="s"/>
      <c r="J166" s="187" t="s"/>
      <c r="K166" s="187" t="s"/>
      <c r="L166" s="187" t="s"/>
      <c r="M166" s="161" t="s"/>
      <c r="N166" s="161" t="s"/>
      <c r="O166" s="161" t="s"/>
      <c r="P166" s="161" t="s"/>
      <c r="Q166" s="161" t="s"/>
      <c r="R166" s="161" t="s"/>
      <c r="S166" s="161" t="s"/>
      <c r="T166" s="161" t="s"/>
      <c r="U166" s="161" t="s"/>
      <c r="V166" s="161" t="s"/>
      <c r="W166" s="161" t="s"/>
      <c r="X166" s="161" t="s"/>
      <c r="Y166" s="161" t="s"/>
      <c r="Z166" s="161" t="s"/>
      <c r="AA166" s="161" t="s"/>
      <c r="AB166" s="161" t="s"/>
      <c r="AC166" s="161" t="s"/>
      <c r="AD166" s="161" t="s"/>
      <c r="AE166" s="161" t="s"/>
      <c r="AF166" s="161" t="s"/>
      <c r="AG166" s="161" t="s"/>
      <c r="AH166" s="161" t="s"/>
    </row>
    <row r="167" spans="1:34" customHeight="false">
      <c r="A167" s="121" t="s"/>
      <c r="B167" s="188" t="s"/>
      <c r="C167" s="188" t="s"/>
      <c r="D167" s="121" t="s"/>
      <c r="E167" s="121" t="s"/>
      <c r="F167" s="121" t="s"/>
      <c r="G167" s="121" t="s"/>
      <c r="H167" s="121" t="s"/>
      <c r="I167" s="161" t="s"/>
      <c r="J167" s="187" t="s"/>
      <c r="K167" s="187" t="s"/>
      <c r="L167" s="187" t="s"/>
      <c r="M167" s="161" t="s"/>
      <c r="N167" s="161" t="s"/>
      <c r="O167" s="161" t="s"/>
      <c r="P167" s="161" t="s"/>
      <c r="Q167" s="161" t="s"/>
      <c r="R167" s="161" t="s"/>
      <c r="S167" s="161" t="s"/>
      <c r="T167" s="161" t="s"/>
      <c r="U167" s="161" t="s"/>
      <c r="V167" s="161" t="s"/>
      <c r="W167" s="161" t="s"/>
      <c r="X167" s="161" t="s"/>
      <c r="Y167" s="161" t="s"/>
      <c r="Z167" s="161" t="s"/>
      <c r="AA167" s="161" t="s"/>
      <c r="AB167" s="161" t="s"/>
      <c r="AC167" s="161" t="s"/>
      <c r="AD167" s="161" t="s"/>
      <c r="AE167" s="161" t="s"/>
      <c r="AF167" s="161" t="s"/>
      <c r="AG167" s="161" t="s"/>
      <c r="AH167" s="161" t="s"/>
    </row>
    <row r="168" spans="1:34" customHeight="false">
      <c r="A168" s="121" t="s"/>
      <c r="B168" s="188" t="s"/>
      <c r="C168" s="188" t="s"/>
      <c r="D168" s="121" t="s"/>
      <c r="E168" s="121" t="s"/>
      <c r="F168" s="121" t="s"/>
      <c r="G168" s="121" t="s"/>
      <c r="H168" s="121" t="s"/>
      <c r="I168" s="161" t="s"/>
      <c r="J168" s="187" t="s"/>
      <c r="K168" s="187" t="s"/>
      <c r="L168" s="187" t="s"/>
      <c r="M168" s="161" t="s"/>
      <c r="N168" s="161" t="s"/>
      <c r="O168" s="161" t="s"/>
      <c r="P168" s="161" t="s"/>
      <c r="Q168" s="161" t="s"/>
      <c r="R168" s="161" t="s"/>
      <c r="S168" s="161" t="s"/>
      <c r="T168" s="161" t="s"/>
      <c r="U168" s="161" t="s"/>
      <c r="V168" s="161" t="s"/>
      <c r="W168" s="161" t="s"/>
      <c r="X168" s="161" t="s"/>
      <c r="Y168" s="161" t="s"/>
      <c r="Z168" s="161" t="s"/>
      <c r="AA168" s="161" t="s"/>
      <c r="AB168" s="161" t="s"/>
      <c r="AC168" s="161" t="s"/>
      <c r="AD168" s="161" t="s"/>
      <c r="AE168" s="161" t="s"/>
      <c r="AF168" s="161" t="s"/>
      <c r="AG168" s="161" t="s"/>
      <c r="AH168" s="161" t="s"/>
    </row>
    <row r="169" spans="1:34" customHeight="false">
      <c r="A169" s="121" t="s"/>
      <c r="B169" s="188" t="s"/>
      <c r="C169" s="188" t="s"/>
      <c r="D169" s="121" t="s"/>
      <c r="E169" s="121" t="s"/>
      <c r="F169" s="121" t="s"/>
      <c r="G169" s="121" t="s"/>
      <c r="H169" s="121" t="s"/>
      <c r="I169" s="161" t="s"/>
      <c r="J169" s="187" t="s"/>
      <c r="K169" s="187" t="s"/>
      <c r="L169" s="187" t="s"/>
      <c r="M169" s="161" t="s"/>
      <c r="N169" s="161" t="s"/>
      <c r="O169" s="161" t="s"/>
      <c r="P169" s="161" t="s"/>
      <c r="Q169" s="161" t="s"/>
      <c r="R169" s="161" t="s"/>
      <c r="S169" s="161" t="s"/>
      <c r="T169" s="161" t="s"/>
      <c r="U169" s="161" t="s"/>
      <c r="V169" s="161" t="s"/>
      <c r="W169" s="161" t="s"/>
      <c r="X169" s="161" t="s"/>
      <c r="Y169" s="161" t="s"/>
      <c r="Z169" s="161" t="s"/>
      <c r="AA169" s="161" t="s"/>
      <c r="AB169" s="161" t="s"/>
      <c r="AC169" s="161" t="s"/>
      <c r="AD169" s="161" t="s"/>
      <c r="AE169" s="161" t="s"/>
      <c r="AF169" s="161" t="s"/>
      <c r="AG169" s="161" t="s"/>
      <c r="AH169" s="161" t="s"/>
    </row>
    <row r="170" spans="1:34" customHeight="false">
      <c r="A170" s="121" t="s"/>
      <c r="B170" s="188" t="s"/>
      <c r="C170" s="188" t="s"/>
      <c r="D170" s="121" t="s"/>
      <c r="E170" s="121" t="s"/>
      <c r="F170" s="121" t="s"/>
      <c r="G170" s="121" t="s"/>
      <c r="H170" s="121" t="s"/>
      <c r="I170" s="161" t="s"/>
      <c r="J170" s="187" t="s"/>
      <c r="K170" s="187" t="s"/>
      <c r="L170" s="187" t="s"/>
      <c r="M170" s="161" t="s"/>
      <c r="N170" s="161" t="s"/>
      <c r="O170" s="161" t="s"/>
      <c r="P170" s="161" t="s"/>
      <c r="Q170" s="161" t="s"/>
      <c r="R170" s="161" t="s"/>
      <c r="S170" s="161" t="s"/>
      <c r="T170" s="161" t="s"/>
      <c r="U170" s="161" t="s"/>
      <c r="V170" s="161" t="s"/>
      <c r="W170" s="161" t="s"/>
      <c r="X170" s="161" t="s"/>
      <c r="Y170" s="161" t="s"/>
      <c r="Z170" s="161" t="s"/>
      <c r="AA170" s="161" t="s"/>
      <c r="AB170" s="161" t="s"/>
      <c r="AC170" s="161" t="s"/>
      <c r="AD170" s="161" t="s"/>
      <c r="AE170" s="161" t="s"/>
      <c r="AF170" s="161" t="s"/>
      <c r="AG170" s="161" t="s"/>
      <c r="AH170" s="161" t="s"/>
    </row>
    <row r="171" spans="1:34" customHeight="false">
      <c r="A171" s="121" t="s"/>
      <c r="B171" s="188" t="s"/>
      <c r="C171" s="188" t="s"/>
      <c r="D171" s="121" t="s"/>
      <c r="E171" s="121" t="s"/>
      <c r="F171" s="121" t="s"/>
      <c r="G171" s="121" t="s"/>
      <c r="H171" s="121" t="s"/>
      <c r="I171" s="161" t="s"/>
      <c r="J171" s="187" t="s"/>
      <c r="K171" s="187" t="s"/>
      <c r="L171" s="187" t="s"/>
      <c r="M171" s="161" t="s"/>
      <c r="N171" s="161" t="s"/>
      <c r="O171" s="161" t="s"/>
      <c r="P171" s="161" t="s"/>
      <c r="Q171" s="161" t="s"/>
      <c r="R171" s="161" t="s"/>
      <c r="S171" s="161" t="s"/>
      <c r="T171" s="161" t="s"/>
      <c r="U171" s="161" t="s"/>
      <c r="V171" s="161" t="s"/>
      <c r="W171" s="161" t="s"/>
      <c r="X171" s="161" t="s"/>
      <c r="Y171" s="161" t="s"/>
      <c r="Z171" s="161" t="s"/>
      <c r="AA171" s="161" t="s"/>
      <c r="AB171" s="161" t="s"/>
      <c r="AC171" s="161" t="s"/>
      <c r="AD171" s="161" t="s"/>
      <c r="AE171" s="161" t="s"/>
      <c r="AF171" s="161" t="s"/>
      <c r="AG171" s="161" t="s"/>
      <c r="AH171" s="161" t="s"/>
    </row>
    <row r="172" spans="1:34" customHeight="false">
      <c r="A172" s="121" t="s"/>
      <c r="B172" s="188" t="s"/>
      <c r="C172" s="188" t="s"/>
      <c r="D172" s="121" t="s"/>
      <c r="E172" s="121" t="s"/>
      <c r="F172" s="121" t="s"/>
      <c r="G172" s="121" t="s"/>
      <c r="H172" s="121" t="s"/>
      <c r="I172" s="161" t="s"/>
      <c r="J172" s="187" t="s"/>
      <c r="K172" s="187" t="s"/>
      <c r="L172" s="187" t="s"/>
      <c r="M172" s="161" t="s"/>
      <c r="N172" s="161" t="s"/>
      <c r="O172" s="161" t="s"/>
      <c r="P172" s="161" t="s"/>
      <c r="Q172" s="161" t="s"/>
      <c r="R172" s="161" t="s"/>
      <c r="S172" s="161" t="s"/>
      <c r="T172" s="161" t="s"/>
      <c r="U172" s="161" t="s"/>
      <c r="V172" s="161" t="s"/>
      <c r="W172" s="161" t="s"/>
      <c r="X172" s="161" t="s"/>
      <c r="Y172" s="161" t="s"/>
      <c r="Z172" s="161" t="s"/>
      <c r="AA172" s="161" t="s"/>
      <c r="AB172" s="161" t="s"/>
      <c r="AC172" s="161" t="s"/>
      <c r="AD172" s="161" t="s"/>
      <c r="AE172" s="161" t="s"/>
      <c r="AF172" s="161" t="s"/>
      <c r="AG172" s="161" t="s"/>
      <c r="AH172" s="161" t="s"/>
    </row>
    <row r="173" spans="1:34" customHeight="false">
      <c r="A173" s="121" t="s"/>
      <c r="B173" s="188" t="s"/>
      <c r="C173" s="188" t="s"/>
      <c r="D173" s="121" t="s"/>
      <c r="E173" s="121" t="s"/>
      <c r="F173" s="121" t="s"/>
      <c r="G173" s="121" t="s"/>
      <c r="H173" s="121" t="s"/>
      <c r="I173" s="161" t="s"/>
      <c r="J173" s="187" t="s"/>
      <c r="K173" s="187" t="s"/>
      <c r="L173" s="187" t="s"/>
      <c r="M173" s="161" t="s"/>
      <c r="N173" s="161" t="s"/>
      <c r="O173" s="161" t="s"/>
      <c r="P173" s="161" t="s"/>
      <c r="Q173" s="161" t="s"/>
      <c r="R173" s="161" t="s"/>
      <c r="S173" s="161" t="s"/>
      <c r="T173" s="161" t="s"/>
      <c r="U173" s="161" t="s"/>
      <c r="V173" s="161" t="s"/>
      <c r="W173" s="161" t="s"/>
      <c r="X173" s="161" t="s"/>
      <c r="Y173" s="161" t="s"/>
      <c r="Z173" s="161" t="s"/>
      <c r="AA173" s="161" t="s"/>
      <c r="AB173" s="161" t="s"/>
      <c r="AC173" s="161" t="s"/>
      <c r="AD173" s="161" t="s"/>
      <c r="AE173" s="161" t="s"/>
      <c r="AF173" s="161" t="s"/>
      <c r="AG173" s="161" t="s"/>
      <c r="AH173" s="161" t="s"/>
    </row>
    <row r="174" spans="1:34" customHeight="false">
      <c r="A174" s="121" t="s"/>
      <c r="B174" s="188" t="s"/>
      <c r="C174" s="188" t="s"/>
      <c r="D174" s="121" t="s"/>
      <c r="E174" s="121" t="s"/>
      <c r="F174" s="121" t="s"/>
      <c r="G174" s="121" t="s"/>
      <c r="H174" s="121" t="s"/>
      <c r="I174" s="161" t="s"/>
      <c r="J174" s="187" t="s"/>
      <c r="K174" s="187" t="s"/>
      <c r="L174" s="187" t="s"/>
      <c r="M174" s="161" t="s"/>
      <c r="N174" s="161" t="s"/>
      <c r="O174" s="161" t="s"/>
      <c r="P174" s="161" t="s"/>
      <c r="Q174" s="161" t="s"/>
      <c r="R174" s="161" t="s"/>
      <c r="S174" s="161" t="s"/>
      <c r="T174" s="161" t="s"/>
      <c r="U174" s="161" t="s"/>
      <c r="V174" s="161" t="s"/>
      <c r="W174" s="161" t="s"/>
      <c r="X174" s="161" t="s"/>
      <c r="Y174" s="161" t="s"/>
      <c r="Z174" s="161" t="s"/>
      <c r="AA174" s="161" t="s"/>
      <c r="AB174" s="161" t="s"/>
      <c r="AC174" s="161" t="s"/>
      <c r="AD174" s="161" t="s"/>
      <c r="AE174" s="161" t="s"/>
      <c r="AF174" s="161" t="s"/>
      <c r="AG174" s="161" t="s"/>
      <c r="AH174" s="161" t="s"/>
    </row>
    <row r="175" spans="1:34" customHeight="false">
      <c r="A175" s="121" t="s"/>
      <c r="B175" s="188" t="s"/>
      <c r="C175" s="188" t="s"/>
      <c r="D175" s="121" t="s"/>
      <c r="E175" s="121" t="s"/>
      <c r="F175" s="121" t="s"/>
      <c r="G175" s="121" t="s"/>
      <c r="H175" s="121" t="s"/>
      <c r="I175" s="161" t="s"/>
      <c r="J175" s="187" t="s"/>
      <c r="K175" s="187" t="s"/>
      <c r="L175" s="187" t="s"/>
      <c r="M175" s="161" t="s"/>
      <c r="N175" s="161" t="s"/>
      <c r="O175" s="161" t="s"/>
      <c r="P175" s="161" t="s"/>
      <c r="Q175" s="161" t="s"/>
      <c r="R175" s="161" t="s"/>
      <c r="S175" s="161" t="s"/>
      <c r="T175" s="161" t="s"/>
      <c r="U175" s="161" t="s"/>
      <c r="V175" s="161" t="s"/>
      <c r="W175" s="161" t="s"/>
      <c r="X175" s="161" t="s"/>
      <c r="Y175" s="161" t="s"/>
      <c r="Z175" s="161" t="s"/>
      <c r="AA175" s="161" t="s"/>
      <c r="AB175" s="161" t="s"/>
      <c r="AC175" s="161" t="s"/>
      <c r="AD175" s="161" t="s"/>
      <c r="AE175" s="161" t="s"/>
      <c r="AF175" s="161" t="s"/>
      <c r="AG175" s="161" t="s"/>
      <c r="AH175" s="161" t="s"/>
    </row>
    <row r="176" spans="1:34" customHeight="false">
      <c r="A176" s="121" t="s"/>
      <c r="B176" s="188" t="s"/>
      <c r="C176" s="188" t="s"/>
      <c r="D176" s="121" t="s"/>
      <c r="E176" s="121" t="s"/>
      <c r="F176" s="121" t="s"/>
      <c r="G176" s="121" t="s"/>
      <c r="H176" s="121" t="s"/>
      <c r="I176" s="161" t="s"/>
      <c r="J176" s="187" t="s"/>
      <c r="K176" s="187" t="s"/>
      <c r="L176" s="187" t="s"/>
      <c r="M176" s="161" t="s"/>
      <c r="N176" s="161" t="s"/>
      <c r="O176" s="161" t="s"/>
      <c r="P176" s="161" t="s"/>
      <c r="Q176" s="161" t="s"/>
      <c r="R176" s="161" t="s"/>
      <c r="S176" s="161" t="s"/>
      <c r="T176" s="161" t="s"/>
      <c r="U176" s="161" t="s"/>
      <c r="V176" s="161" t="s"/>
      <c r="W176" s="161" t="s"/>
      <c r="X176" s="161" t="s"/>
      <c r="Y176" s="161" t="s"/>
      <c r="Z176" s="161" t="s"/>
      <c r="AA176" s="161" t="s"/>
      <c r="AB176" s="161" t="s"/>
      <c r="AC176" s="161" t="s"/>
      <c r="AD176" s="161" t="s"/>
      <c r="AE176" s="161" t="s"/>
      <c r="AF176" s="161" t="s"/>
      <c r="AG176" s="161" t="s"/>
      <c r="AH176" s="161" t="s"/>
    </row>
    <row r="177" spans="1:34" customHeight="false">
      <c r="A177" s="121" t="s"/>
      <c r="B177" s="188" t="s"/>
      <c r="C177" s="188" t="s"/>
      <c r="D177" s="121" t="s"/>
      <c r="E177" s="121" t="s"/>
      <c r="F177" s="121" t="s"/>
      <c r="G177" s="121" t="s"/>
      <c r="H177" s="121" t="s"/>
      <c r="I177" s="161" t="s"/>
      <c r="J177" s="187" t="s"/>
      <c r="K177" s="187" t="s"/>
      <c r="L177" s="187" t="s"/>
      <c r="M177" s="161" t="s"/>
      <c r="N177" s="161" t="s"/>
      <c r="O177" s="161" t="s"/>
      <c r="P177" s="161" t="s"/>
      <c r="Q177" s="161" t="s"/>
      <c r="R177" s="161" t="s"/>
      <c r="S177" s="161" t="s"/>
      <c r="T177" s="161" t="s"/>
      <c r="U177" s="161" t="s"/>
      <c r="V177" s="161" t="s"/>
      <c r="W177" s="161" t="s"/>
      <c r="X177" s="161" t="s"/>
      <c r="Y177" s="161" t="s"/>
      <c r="Z177" s="161" t="s"/>
      <c r="AA177" s="161" t="s"/>
      <c r="AB177" s="161" t="s"/>
      <c r="AC177" s="161" t="s"/>
      <c r="AD177" s="161" t="s"/>
      <c r="AE177" s="161" t="s"/>
      <c r="AF177" s="161" t="s"/>
      <c r="AG177" s="161" t="s"/>
      <c r="AH177" s="161" t="s"/>
    </row>
    <row r="178" spans="1:34" customHeight="false">
      <c r="A178" s="121" t="s"/>
      <c r="B178" s="188" t="s"/>
      <c r="C178" s="188" t="s"/>
      <c r="D178" s="121" t="s"/>
      <c r="E178" s="121" t="s"/>
      <c r="F178" s="121" t="s"/>
      <c r="G178" s="121" t="s"/>
      <c r="H178" s="121" t="s"/>
      <c r="I178" s="161" t="s"/>
      <c r="J178" s="187" t="s"/>
      <c r="K178" s="187" t="s"/>
      <c r="L178" s="187" t="s"/>
      <c r="M178" s="161" t="s"/>
      <c r="N178" s="161" t="s"/>
      <c r="O178" s="161" t="s"/>
      <c r="P178" s="161" t="s"/>
      <c r="Q178" s="161" t="s"/>
      <c r="R178" s="161" t="s"/>
      <c r="S178" s="161" t="s"/>
      <c r="T178" s="161" t="s"/>
      <c r="U178" s="161" t="s"/>
      <c r="V178" s="161" t="s"/>
      <c r="W178" s="161" t="s"/>
      <c r="X178" s="161" t="s"/>
      <c r="Y178" s="161" t="s"/>
      <c r="Z178" s="161" t="s"/>
      <c r="AA178" s="161" t="s"/>
      <c r="AB178" s="161" t="s"/>
      <c r="AC178" s="161" t="s"/>
      <c r="AD178" s="161" t="s"/>
      <c r="AE178" s="161" t="s"/>
      <c r="AF178" s="161" t="s"/>
      <c r="AG178" s="161" t="s"/>
      <c r="AH178" s="161" t="s"/>
    </row>
    <row r="179" spans="1:34" customHeight="false">
      <c r="A179" s="121" t="s"/>
      <c r="B179" s="188" t="s"/>
      <c r="C179" s="188" t="s"/>
      <c r="D179" s="121" t="s"/>
      <c r="E179" s="121" t="s"/>
      <c r="F179" s="121" t="s"/>
      <c r="G179" s="121" t="s"/>
      <c r="H179" s="121" t="s"/>
      <c r="I179" s="161" t="s"/>
      <c r="J179" s="187" t="s"/>
      <c r="K179" s="187" t="s"/>
      <c r="L179" s="187" t="s"/>
      <c r="M179" s="161" t="s"/>
      <c r="N179" s="161" t="s"/>
      <c r="O179" s="161" t="s"/>
      <c r="P179" s="161" t="s"/>
      <c r="Q179" s="161" t="s"/>
      <c r="R179" s="161" t="s"/>
      <c r="S179" s="161" t="s"/>
      <c r="T179" s="161" t="s"/>
      <c r="U179" s="161" t="s"/>
      <c r="V179" s="161" t="s"/>
      <c r="W179" s="161" t="s"/>
      <c r="X179" s="161" t="s"/>
      <c r="Y179" s="161" t="s"/>
      <c r="Z179" s="161" t="s"/>
      <c r="AA179" s="161" t="s"/>
      <c r="AB179" s="161" t="s"/>
      <c r="AC179" s="161" t="s"/>
      <c r="AD179" s="161" t="s"/>
      <c r="AE179" s="161" t="s"/>
      <c r="AF179" s="161" t="s"/>
      <c r="AG179" s="161" t="s"/>
      <c r="AH179" s="161" t="s"/>
    </row>
    <row r="180" spans="1:34" customHeight="false">
      <c r="A180" s="121" t="s"/>
      <c r="B180" s="188" t="s"/>
      <c r="C180" s="188" t="s"/>
      <c r="D180" s="121" t="s"/>
      <c r="E180" s="121" t="s"/>
      <c r="F180" s="121" t="s"/>
      <c r="G180" s="121" t="s"/>
      <c r="H180" s="121" t="s"/>
      <c r="I180" s="161" t="s"/>
      <c r="J180" s="187" t="s"/>
      <c r="K180" s="187" t="s"/>
      <c r="L180" s="187" t="s"/>
      <c r="M180" s="161" t="s"/>
      <c r="N180" s="161" t="s"/>
      <c r="O180" s="161" t="s"/>
      <c r="P180" s="161" t="s"/>
      <c r="Q180" s="161" t="s"/>
      <c r="R180" s="161" t="s"/>
      <c r="S180" s="161" t="s"/>
      <c r="T180" s="161" t="s"/>
      <c r="U180" s="161" t="s"/>
      <c r="V180" s="161" t="s"/>
      <c r="W180" s="161" t="s"/>
      <c r="X180" s="161" t="s"/>
      <c r="Y180" s="161" t="s"/>
      <c r="Z180" s="161" t="s"/>
      <c r="AA180" s="161" t="s"/>
      <c r="AB180" s="161" t="s"/>
      <c r="AC180" s="161" t="s"/>
      <c r="AD180" s="161" t="s"/>
      <c r="AE180" s="161" t="s"/>
      <c r="AF180" s="161" t="s"/>
      <c r="AG180" s="161" t="s"/>
      <c r="AH180" s="161" t="s"/>
    </row>
    <row r="181" spans="1:34" customHeight="false">
      <c r="A181" s="121" t="s"/>
      <c r="B181" s="188" t="s"/>
      <c r="C181" s="188" t="s"/>
      <c r="D181" s="121" t="s"/>
      <c r="E181" s="121" t="s"/>
      <c r="F181" s="121" t="s"/>
      <c r="G181" s="121" t="s"/>
      <c r="H181" s="121" t="s"/>
      <c r="I181" s="161" t="s"/>
      <c r="J181" s="187" t="s"/>
      <c r="K181" s="187" t="s"/>
      <c r="L181" s="187" t="s"/>
      <c r="M181" s="161" t="s"/>
      <c r="N181" s="161" t="s"/>
      <c r="O181" s="161" t="s"/>
      <c r="P181" s="161" t="s"/>
      <c r="Q181" s="161" t="s"/>
      <c r="R181" s="161" t="s"/>
      <c r="S181" s="161" t="s"/>
      <c r="T181" s="161" t="s"/>
      <c r="U181" s="161" t="s"/>
      <c r="V181" s="161" t="s"/>
      <c r="W181" s="161" t="s"/>
      <c r="X181" s="161" t="s"/>
      <c r="Y181" s="161" t="s"/>
      <c r="Z181" s="161" t="s"/>
      <c r="AA181" s="161" t="s"/>
      <c r="AB181" s="161" t="s"/>
      <c r="AC181" s="161" t="s"/>
      <c r="AD181" s="161" t="s"/>
      <c r="AE181" s="161" t="s"/>
      <c r="AF181" s="161" t="s"/>
      <c r="AG181" s="161" t="s"/>
      <c r="AH181" s="161" t="s"/>
    </row>
    <row r="182" spans="1:34" customHeight="false">
      <c r="A182" s="121" t="s"/>
      <c r="B182" s="188" t="s"/>
      <c r="C182" s="188" t="s"/>
      <c r="D182" s="121" t="s"/>
      <c r="E182" s="121" t="s"/>
      <c r="F182" s="121" t="s"/>
      <c r="G182" s="121" t="s"/>
      <c r="H182" s="121" t="s"/>
      <c r="I182" s="161" t="s"/>
      <c r="J182" s="187" t="s"/>
      <c r="K182" s="187" t="s"/>
      <c r="L182" s="187" t="s"/>
      <c r="M182" s="161" t="s"/>
      <c r="N182" s="161" t="s"/>
      <c r="O182" s="161" t="s"/>
      <c r="P182" s="161" t="s"/>
      <c r="Q182" s="161" t="s"/>
      <c r="R182" s="161" t="s"/>
      <c r="S182" s="161" t="s"/>
      <c r="T182" s="161" t="s"/>
      <c r="U182" s="161" t="s"/>
      <c r="V182" s="161" t="s"/>
      <c r="W182" s="161" t="s"/>
      <c r="X182" s="161" t="s"/>
      <c r="Y182" s="161" t="s"/>
      <c r="Z182" s="161" t="s"/>
      <c r="AA182" s="161" t="s"/>
      <c r="AB182" s="161" t="s"/>
      <c r="AC182" s="161" t="s"/>
      <c r="AD182" s="161" t="s"/>
      <c r="AE182" s="161" t="s"/>
      <c r="AF182" s="161" t="s"/>
      <c r="AG182" s="161" t="s"/>
      <c r="AH182" s="161" t="s"/>
    </row>
    <row r="183" spans="1:34" customHeight="false">
      <c r="A183" s="121" t="s"/>
      <c r="B183" s="188" t="s"/>
      <c r="C183" s="188" t="s"/>
      <c r="D183" s="121" t="s"/>
      <c r="E183" s="121" t="s"/>
      <c r="F183" s="121" t="s"/>
      <c r="G183" s="121" t="s"/>
      <c r="H183" s="121" t="s"/>
      <c r="I183" s="161" t="s"/>
      <c r="J183" s="187" t="s"/>
      <c r="K183" s="187" t="s"/>
      <c r="L183" s="187" t="s"/>
      <c r="M183" s="161" t="s"/>
      <c r="N183" s="161" t="s"/>
      <c r="O183" s="161" t="s"/>
      <c r="P183" s="161" t="s"/>
      <c r="Q183" s="161" t="s"/>
      <c r="R183" s="161" t="s"/>
      <c r="S183" s="161" t="s"/>
      <c r="T183" s="161" t="s"/>
      <c r="U183" s="161" t="s"/>
      <c r="V183" s="161" t="s"/>
      <c r="W183" s="161" t="s"/>
      <c r="X183" s="161" t="s"/>
      <c r="Y183" s="161" t="s"/>
      <c r="Z183" s="161" t="s"/>
      <c r="AA183" s="161" t="s"/>
      <c r="AB183" s="161" t="s"/>
      <c r="AC183" s="161" t="s"/>
      <c r="AD183" s="161" t="s"/>
      <c r="AE183" s="161" t="s"/>
      <c r="AF183" s="161" t="s"/>
      <c r="AG183" s="161" t="s"/>
      <c r="AH183" s="161" t="s"/>
    </row>
    <row r="184" spans="1:34" customHeight="false">
      <c r="A184" s="121" t="s"/>
      <c r="B184" s="188" t="s"/>
      <c r="C184" s="188" t="s"/>
      <c r="D184" s="121" t="s"/>
      <c r="E184" s="121" t="s"/>
      <c r="F184" s="121" t="s"/>
      <c r="G184" s="121" t="s"/>
      <c r="H184" s="121" t="s"/>
      <c r="I184" s="161" t="s"/>
      <c r="J184" s="187" t="s"/>
      <c r="K184" s="187" t="s"/>
      <c r="L184" s="187" t="s"/>
      <c r="M184" s="161" t="s"/>
      <c r="N184" s="161" t="s"/>
      <c r="O184" s="161" t="s"/>
      <c r="P184" s="161" t="s"/>
      <c r="Q184" s="161" t="s"/>
      <c r="R184" s="161" t="s"/>
      <c r="S184" s="161" t="s"/>
      <c r="T184" s="161" t="s"/>
      <c r="U184" s="161" t="s"/>
      <c r="V184" s="161" t="s"/>
      <c r="W184" s="161" t="s"/>
      <c r="X184" s="161" t="s"/>
      <c r="Y184" s="161" t="s"/>
      <c r="Z184" s="161" t="s"/>
      <c r="AA184" s="161" t="s"/>
      <c r="AB184" s="161" t="s"/>
      <c r="AC184" s="161" t="s"/>
      <c r="AD184" s="161" t="s"/>
      <c r="AE184" s="161" t="s"/>
      <c r="AF184" s="161" t="s"/>
      <c r="AG184" s="161" t="s"/>
      <c r="AH184" s="161" t="s"/>
    </row>
    <row r="185" spans="1:34" customHeight="false">
      <c r="A185" s="121" t="s"/>
      <c r="B185" s="188" t="s"/>
      <c r="C185" s="188" t="s"/>
      <c r="D185" s="121" t="s"/>
      <c r="E185" s="121" t="s"/>
      <c r="F185" s="121" t="s"/>
      <c r="G185" s="121" t="s"/>
      <c r="H185" s="121" t="s"/>
      <c r="I185" s="161" t="s"/>
      <c r="J185" s="187" t="s"/>
      <c r="K185" s="187" t="s"/>
      <c r="L185" s="187" t="s"/>
      <c r="M185" s="161" t="s"/>
      <c r="N185" s="161" t="s"/>
      <c r="O185" s="161" t="s"/>
      <c r="P185" s="161" t="s"/>
      <c r="Q185" s="161" t="s"/>
      <c r="R185" s="161" t="s"/>
      <c r="S185" s="161" t="s"/>
      <c r="T185" s="161" t="s"/>
      <c r="U185" s="161" t="s"/>
      <c r="V185" s="161" t="s"/>
      <c r="W185" s="161" t="s"/>
      <c r="X185" s="161" t="s"/>
      <c r="Y185" s="161" t="s"/>
      <c r="Z185" s="161" t="s"/>
      <c r="AA185" s="161" t="s"/>
      <c r="AB185" s="161" t="s"/>
      <c r="AC185" s="161" t="s"/>
      <c r="AD185" s="161" t="s"/>
      <c r="AE185" s="161" t="s"/>
      <c r="AF185" s="161" t="s"/>
      <c r="AG185" s="161" t="s"/>
      <c r="AH185" s="161" t="s"/>
    </row>
    <row r="186" spans="1:34" customHeight="false">
      <c r="A186" s="121" t="s"/>
      <c r="B186" s="188" t="s"/>
      <c r="C186" s="188" t="s"/>
      <c r="D186" s="121" t="s"/>
      <c r="E186" s="121" t="s"/>
      <c r="F186" s="121" t="s"/>
      <c r="G186" s="121" t="s"/>
      <c r="H186" s="121" t="s"/>
      <c r="I186" s="161" t="s"/>
      <c r="J186" s="187" t="s"/>
      <c r="K186" s="187" t="s"/>
      <c r="L186" s="187" t="s"/>
      <c r="M186" s="161" t="s"/>
      <c r="N186" s="161" t="s"/>
      <c r="O186" s="161" t="s"/>
      <c r="P186" s="161" t="s"/>
      <c r="Q186" s="161" t="s"/>
      <c r="R186" s="161" t="s"/>
      <c r="S186" s="161" t="s"/>
      <c r="T186" s="161" t="s"/>
      <c r="U186" s="161" t="s"/>
      <c r="V186" s="161" t="s"/>
      <c r="W186" s="161" t="s"/>
      <c r="X186" s="161" t="s"/>
      <c r="Y186" s="161" t="s"/>
      <c r="Z186" s="161" t="s"/>
      <c r="AA186" s="161" t="s"/>
      <c r="AB186" s="161" t="s"/>
      <c r="AC186" s="161" t="s"/>
      <c r="AD186" s="161" t="s"/>
      <c r="AE186" s="161" t="s"/>
      <c r="AF186" s="161" t="s"/>
      <c r="AG186" s="161" t="s"/>
      <c r="AH186" s="161" t="s"/>
    </row>
    <row r="187" spans="1:34" customHeight="false">
      <c r="A187" s="121" t="s"/>
      <c r="B187" s="188" t="s"/>
      <c r="C187" s="188" t="s"/>
      <c r="D187" s="121" t="s"/>
      <c r="E187" s="121" t="s"/>
      <c r="F187" s="121" t="s"/>
      <c r="G187" s="121" t="s"/>
      <c r="H187" s="121" t="s"/>
      <c r="I187" s="161" t="s"/>
      <c r="J187" s="187" t="s"/>
      <c r="K187" s="187" t="s"/>
      <c r="L187" s="187" t="s"/>
      <c r="M187" s="161" t="s"/>
      <c r="N187" s="161" t="s"/>
      <c r="O187" s="161" t="s"/>
      <c r="P187" s="161" t="s"/>
      <c r="Q187" s="161" t="s"/>
      <c r="R187" s="161" t="s"/>
      <c r="S187" s="161" t="s"/>
      <c r="T187" s="161" t="s"/>
      <c r="U187" s="161" t="s"/>
      <c r="V187" s="161" t="s"/>
      <c r="W187" s="161" t="s"/>
      <c r="X187" s="161" t="s"/>
      <c r="Y187" s="161" t="s"/>
      <c r="Z187" s="161" t="s"/>
      <c r="AA187" s="161" t="s"/>
      <c r="AB187" s="161" t="s"/>
      <c r="AC187" s="161" t="s"/>
      <c r="AD187" s="161" t="s"/>
      <c r="AE187" s="161" t="s"/>
      <c r="AF187" s="161" t="s"/>
      <c r="AG187" s="161" t="s"/>
      <c r="AH187" s="161" t="s"/>
    </row>
    <row r="188" spans="1:34" customHeight="false">
      <c r="A188" s="121" t="s"/>
      <c r="B188" s="188" t="s"/>
      <c r="C188" s="188" t="s"/>
      <c r="D188" s="121" t="s"/>
      <c r="E188" s="121" t="s"/>
      <c r="F188" s="121" t="s"/>
      <c r="G188" s="121" t="s"/>
      <c r="H188" s="121" t="s"/>
      <c r="I188" s="161" t="s"/>
      <c r="J188" s="187" t="s"/>
      <c r="K188" s="187" t="s"/>
      <c r="L188" s="187" t="s"/>
      <c r="M188" s="161" t="s"/>
      <c r="N188" s="161" t="s"/>
      <c r="O188" s="161" t="s"/>
      <c r="P188" s="161" t="s"/>
      <c r="Q188" s="161" t="s"/>
      <c r="R188" s="161" t="s"/>
      <c r="S188" s="161" t="s"/>
      <c r="T188" s="161" t="s"/>
      <c r="U188" s="161" t="s"/>
      <c r="V188" s="161" t="s"/>
      <c r="W188" s="161" t="s"/>
      <c r="X188" s="161" t="s"/>
      <c r="Y188" s="161" t="s"/>
      <c r="Z188" s="161" t="s"/>
      <c r="AA188" s="161" t="s"/>
      <c r="AB188" s="161" t="s"/>
      <c r="AC188" s="161" t="s"/>
      <c r="AD188" s="161" t="s"/>
      <c r="AE188" s="161" t="s"/>
      <c r="AF188" s="161" t="s"/>
      <c r="AG188" s="161" t="s"/>
      <c r="AH188" s="161" t="s"/>
    </row>
    <row r="189" spans="1:34" customHeight="false">
      <c r="A189" s="121" t="s"/>
      <c r="B189" s="188" t="s"/>
      <c r="C189" s="188" t="s"/>
      <c r="D189" s="121" t="s"/>
      <c r="E189" s="121" t="s"/>
      <c r="F189" s="121" t="s"/>
      <c r="G189" s="121" t="s"/>
      <c r="H189" s="121" t="s"/>
      <c r="I189" s="161" t="s"/>
      <c r="J189" s="187" t="s"/>
      <c r="K189" s="187" t="s"/>
      <c r="L189" s="187" t="s"/>
      <c r="M189" s="161" t="s"/>
      <c r="N189" s="161" t="s"/>
      <c r="O189" s="161" t="s"/>
      <c r="P189" s="161" t="s"/>
      <c r="Q189" s="161" t="s"/>
      <c r="R189" s="161" t="s"/>
      <c r="S189" s="161" t="s"/>
      <c r="T189" s="161" t="s"/>
      <c r="U189" s="161" t="s"/>
      <c r="V189" s="161" t="s"/>
      <c r="W189" s="161" t="s"/>
      <c r="X189" s="161" t="s"/>
      <c r="Y189" s="161" t="s"/>
      <c r="Z189" s="161" t="s"/>
      <c r="AA189" s="161" t="s"/>
      <c r="AB189" s="161" t="s"/>
      <c r="AC189" s="161" t="s"/>
      <c r="AD189" s="161" t="s"/>
      <c r="AE189" s="161" t="s"/>
      <c r="AF189" s="161" t="s"/>
      <c r="AG189" s="161" t="s"/>
      <c r="AH189" s="161" t="s"/>
    </row>
    <row r="190" spans="1:34" customHeight="false">
      <c r="A190" s="121" t="s"/>
      <c r="B190" s="188" t="s"/>
      <c r="C190" s="188" t="s"/>
      <c r="D190" s="121" t="s"/>
      <c r="E190" s="121" t="s"/>
      <c r="F190" s="121" t="s"/>
      <c r="G190" s="121" t="s"/>
      <c r="H190" s="121" t="s"/>
      <c r="I190" s="161" t="s"/>
      <c r="J190" s="187" t="s"/>
      <c r="K190" s="187" t="s"/>
      <c r="L190" s="187" t="s"/>
      <c r="M190" s="161" t="s"/>
      <c r="N190" s="161" t="s"/>
      <c r="O190" s="161" t="s"/>
      <c r="P190" s="161" t="s"/>
      <c r="Q190" s="161" t="s"/>
      <c r="R190" s="161" t="s"/>
      <c r="S190" s="161" t="s"/>
      <c r="T190" s="161" t="s"/>
      <c r="U190" s="161" t="s"/>
      <c r="V190" s="161" t="s"/>
      <c r="W190" s="161" t="s"/>
      <c r="X190" s="161" t="s"/>
      <c r="Y190" s="161" t="s"/>
      <c r="Z190" s="161" t="s"/>
      <c r="AA190" s="161" t="s"/>
      <c r="AB190" s="161" t="s"/>
      <c r="AC190" s="161" t="s"/>
      <c r="AD190" s="161" t="s"/>
      <c r="AE190" s="161" t="s"/>
      <c r="AF190" s="161" t="s"/>
      <c r="AG190" s="161" t="s"/>
      <c r="AH190" s="161" t="s"/>
    </row>
    <row r="191" spans="1:34" customHeight="false">
      <c r="A191" s="121" t="s"/>
      <c r="B191" s="188" t="s"/>
      <c r="C191" s="188" t="s"/>
      <c r="D191" s="121" t="s"/>
      <c r="E191" s="121" t="s"/>
      <c r="F191" s="121" t="s"/>
      <c r="G191" s="121" t="s"/>
      <c r="H191" s="121" t="s"/>
      <c r="I191" s="161" t="s"/>
      <c r="J191" s="187" t="s"/>
      <c r="K191" s="187" t="s"/>
      <c r="L191" s="187" t="s"/>
      <c r="M191" s="161" t="s"/>
      <c r="N191" s="161" t="s"/>
      <c r="O191" s="161" t="s"/>
      <c r="P191" s="161" t="s"/>
      <c r="Q191" s="161" t="s"/>
      <c r="R191" s="161" t="s"/>
      <c r="S191" s="161" t="s"/>
      <c r="T191" s="161" t="s"/>
      <c r="U191" s="161" t="s"/>
      <c r="V191" s="161" t="s"/>
      <c r="W191" s="161" t="s"/>
      <c r="X191" s="161" t="s"/>
      <c r="Y191" s="161" t="s"/>
      <c r="Z191" s="161" t="s"/>
      <c r="AA191" s="161" t="s"/>
      <c r="AB191" s="161" t="s"/>
      <c r="AC191" s="161" t="s"/>
      <c r="AD191" s="161" t="s"/>
      <c r="AE191" s="161" t="s"/>
      <c r="AF191" s="161" t="s"/>
      <c r="AG191" s="161" t="s"/>
      <c r="AH191" s="161" t="s"/>
    </row>
    <row r="192" spans="1:34" customHeight="false">
      <c r="A192" s="121" t="s"/>
      <c r="B192" s="188" t="s"/>
      <c r="C192" s="188" t="s"/>
      <c r="D192" s="121" t="s"/>
      <c r="E192" s="121" t="s"/>
      <c r="F192" s="121" t="s"/>
      <c r="G192" s="121" t="s"/>
      <c r="H192" s="121" t="s"/>
      <c r="I192" s="161" t="s"/>
      <c r="J192" s="187" t="s"/>
      <c r="K192" s="187" t="s"/>
      <c r="L192" s="187" t="s"/>
      <c r="M192" s="161" t="s"/>
      <c r="N192" s="161" t="s"/>
      <c r="O192" s="161" t="s"/>
      <c r="P192" s="161" t="s"/>
      <c r="Q192" s="161" t="s"/>
      <c r="R192" s="161" t="s"/>
      <c r="S192" s="161" t="s"/>
      <c r="T192" s="161" t="s"/>
      <c r="U192" s="161" t="s"/>
      <c r="V192" s="161" t="s"/>
      <c r="W192" s="161" t="s"/>
      <c r="X192" s="161" t="s"/>
      <c r="Y192" s="161" t="s"/>
      <c r="Z192" s="161" t="s"/>
      <c r="AA192" s="161" t="s"/>
      <c r="AB192" s="161" t="s"/>
      <c r="AC192" s="161" t="s"/>
      <c r="AD192" s="161" t="s"/>
      <c r="AE192" s="161" t="s"/>
      <c r="AF192" s="161" t="s"/>
      <c r="AG192" s="161" t="s"/>
      <c r="AH192" s="161" t="s"/>
    </row>
    <row r="193" spans="1:34" customHeight="false">
      <c r="A193" s="121" t="s"/>
      <c r="B193" s="188" t="s"/>
      <c r="C193" s="188" t="s"/>
      <c r="D193" s="121" t="s"/>
      <c r="E193" s="121" t="s"/>
      <c r="F193" s="121" t="s"/>
      <c r="G193" s="121" t="s"/>
      <c r="H193" s="121" t="s"/>
      <c r="I193" s="161" t="s"/>
      <c r="J193" s="187" t="s"/>
      <c r="K193" s="187" t="s"/>
      <c r="L193" s="187" t="s"/>
      <c r="M193" s="161" t="s"/>
      <c r="N193" s="161" t="s"/>
      <c r="O193" s="161" t="s"/>
      <c r="P193" s="161" t="s"/>
      <c r="Q193" s="161" t="s"/>
      <c r="R193" s="161" t="s"/>
      <c r="S193" s="161" t="s"/>
      <c r="T193" s="161" t="s"/>
      <c r="U193" s="161" t="s"/>
      <c r="V193" s="161" t="s"/>
      <c r="W193" s="161" t="s"/>
      <c r="X193" s="161" t="s"/>
      <c r="Y193" s="161" t="s"/>
      <c r="Z193" s="161" t="s"/>
      <c r="AA193" s="161" t="s"/>
      <c r="AB193" s="161" t="s"/>
      <c r="AC193" s="161" t="s"/>
      <c r="AD193" s="161" t="s"/>
      <c r="AE193" s="161" t="s"/>
      <c r="AF193" s="161" t="s"/>
      <c r="AG193" s="161" t="s"/>
      <c r="AH193" s="161" t="s"/>
    </row>
    <row r="194" spans="1:34" customHeight="false">
      <c r="A194" s="121" t="s"/>
      <c r="B194" s="188" t="s"/>
      <c r="C194" s="188" t="s"/>
      <c r="D194" s="121" t="s"/>
      <c r="E194" s="121" t="s"/>
      <c r="F194" s="121" t="s"/>
      <c r="G194" s="121" t="s"/>
      <c r="H194" s="121" t="s"/>
      <c r="I194" s="161" t="s"/>
      <c r="J194" s="187" t="s"/>
      <c r="K194" s="187" t="s"/>
      <c r="L194" s="187" t="s"/>
      <c r="M194" s="161" t="s"/>
      <c r="N194" s="161" t="s"/>
      <c r="O194" s="161" t="s"/>
      <c r="P194" s="161" t="s"/>
      <c r="Q194" s="161" t="s"/>
      <c r="R194" s="161" t="s"/>
      <c r="S194" s="161" t="s"/>
      <c r="T194" s="161" t="s"/>
      <c r="U194" s="161" t="s"/>
      <c r="V194" s="161" t="s"/>
      <c r="W194" s="161" t="s"/>
      <c r="X194" s="161" t="s"/>
      <c r="Y194" s="161" t="s"/>
      <c r="Z194" s="161" t="s"/>
      <c r="AA194" s="161" t="s"/>
      <c r="AB194" s="161" t="s"/>
      <c r="AC194" s="161" t="s"/>
      <c r="AD194" s="161" t="s"/>
      <c r="AE194" s="161" t="s"/>
      <c r="AF194" s="161" t="s"/>
      <c r="AG194" s="161" t="s"/>
      <c r="AH194" s="161" t="s"/>
    </row>
    <row r="195" spans="1:34" customHeight="false">
      <c r="A195" s="121" t="s"/>
      <c r="B195" s="188" t="s"/>
      <c r="C195" s="188" t="s"/>
      <c r="D195" s="121" t="s"/>
      <c r="E195" s="121" t="s"/>
      <c r="F195" s="121" t="s"/>
      <c r="G195" s="121" t="s"/>
      <c r="H195" s="121" t="s"/>
      <c r="I195" s="161" t="s"/>
      <c r="J195" s="187" t="s"/>
      <c r="K195" s="187" t="s"/>
      <c r="L195" s="187" t="s"/>
      <c r="M195" s="161" t="s"/>
      <c r="N195" s="161" t="s"/>
      <c r="O195" s="161" t="s"/>
      <c r="P195" s="161" t="s"/>
      <c r="Q195" s="161" t="s"/>
      <c r="R195" s="161" t="s"/>
      <c r="S195" s="161" t="s"/>
      <c r="T195" s="161" t="s"/>
      <c r="U195" s="161" t="s"/>
      <c r="V195" s="161" t="s"/>
      <c r="W195" s="161" t="s"/>
      <c r="X195" s="161" t="s"/>
      <c r="Y195" s="161" t="s"/>
      <c r="Z195" s="161" t="s"/>
      <c r="AA195" s="161" t="s"/>
      <c r="AB195" s="161" t="s"/>
      <c r="AC195" s="161" t="s"/>
      <c r="AD195" s="161" t="s"/>
      <c r="AE195" s="161" t="s"/>
      <c r="AF195" s="161" t="s"/>
      <c r="AG195" s="161" t="s"/>
      <c r="AH195" s="161" t="s"/>
    </row>
    <row r="196" spans="1:34" customHeight="false">
      <c r="A196" s="121" t="s"/>
      <c r="B196" s="188" t="s"/>
      <c r="C196" s="188" t="s"/>
      <c r="D196" s="121" t="s"/>
      <c r="E196" s="121" t="s"/>
      <c r="F196" s="121" t="s"/>
      <c r="G196" s="121" t="s"/>
      <c r="H196" s="121" t="s"/>
      <c r="I196" s="161" t="s"/>
      <c r="J196" s="187" t="s"/>
      <c r="K196" s="187" t="s"/>
      <c r="L196" s="187" t="s"/>
      <c r="M196" s="161" t="s"/>
      <c r="N196" s="161" t="s"/>
      <c r="O196" s="161" t="s"/>
      <c r="P196" s="161" t="s"/>
      <c r="Q196" s="161" t="s"/>
      <c r="R196" s="161" t="s"/>
      <c r="S196" s="161" t="s"/>
      <c r="T196" s="161" t="s"/>
      <c r="U196" s="161" t="s"/>
      <c r="V196" s="161" t="s"/>
      <c r="W196" s="161" t="s"/>
      <c r="X196" s="161" t="s"/>
      <c r="Y196" s="161" t="s"/>
      <c r="Z196" s="161" t="s"/>
      <c r="AA196" s="161" t="s"/>
      <c r="AB196" s="161" t="s"/>
      <c r="AC196" s="161" t="s"/>
      <c r="AD196" s="161" t="s"/>
      <c r="AE196" s="161" t="s"/>
      <c r="AF196" s="161" t="s"/>
      <c r="AG196" s="161" t="s"/>
      <c r="AH196" s="161" t="s"/>
    </row>
    <row r="197" spans="1:34" customHeight="false">
      <c r="A197" s="121" t="s"/>
      <c r="B197" s="188" t="s"/>
      <c r="C197" s="188" t="s"/>
      <c r="D197" s="121" t="s"/>
      <c r="E197" s="121" t="s"/>
      <c r="F197" s="121" t="s"/>
      <c r="G197" s="121" t="s"/>
      <c r="H197" s="121" t="s"/>
      <c r="I197" s="161" t="s"/>
      <c r="J197" s="187" t="s"/>
      <c r="K197" s="187" t="s"/>
      <c r="L197" s="187" t="s"/>
      <c r="M197" s="161" t="s"/>
      <c r="N197" s="161" t="s"/>
      <c r="O197" s="161" t="s"/>
      <c r="P197" s="161" t="s"/>
      <c r="Q197" s="161" t="s"/>
      <c r="R197" s="161" t="s"/>
      <c r="S197" s="161" t="s"/>
      <c r="T197" s="161" t="s"/>
      <c r="U197" s="161" t="s"/>
      <c r="V197" s="161" t="s"/>
      <c r="W197" s="161" t="s"/>
      <c r="X197" s="161" t="s"/>
      <c r="Y197" s="161" t="s"/>
      <c r="Z197" s="161" t="s"/>
      <c r="AA197" s="161" t="s"/>
      <c r="AB197" s="161" t="s"/>
      <c r="AC197" s="161" t="s"/>
      <c r="AD197" s="161" t="s"/>
      <c r="AE197" s="161" t="s"/>
      <c r="AF197" s="161" t="s"/>
      <c r="AG197" s="161" t="s"/>
      <c r="AH197" s="161" t="s"/>
    </row>
    <row r="198" spans="1:34" customHeight="false">
      <c r="A198" s="121" t="s"/>
      <c r="B198" s="188" t="s"/>
      <c r="C198" s="188" t="s"/>
      <c r="D198" s="121" t="s"/>
      <c r="E198" s="121" t="s"/>
      <c r="F198" s="121" t="s"/>
      <c r="G198" s="121" t="s"/>
      <c r="H198" s="121" t="s"/>
      <c r="I198" s="161" t="s"/>
      <c r="J198" s="187" t="s"/>
      <c r="K198" s="187" t="s"/>
      <c r="L198" s="187" t="s"/>
      <c r="M198" s="161" t="s"/>
      <c r="N198" s="161" t="s"/>
      <c r="O198" s="161" t="s"/>
      <c r="P198" s="161" t="s"/>
      <c r="Q198" s="161" t="s"/>
      <c r="R198" s="161" t="s"/>
      <c r="S198" s="161" t="s"/>
      <c r="T198" s="161" t="s"/>
      <c r="U198" s="161" t="s"/>
      <c r="V198" s="161" t="s"/>
      <c r="W198" s="161" t="s"/>
      <c r="X198" s="161" t="s"/>
      <c r="Y198" s="161" t="s"/>
      <c r="Z198" s="161" t="s"/>
      <c r="AA198" s="161" t="s"/>
      <c r="AB198" s="161" t="s"/>
      <c r="AC198" s="161" t="s"/>
      <c r="AD198" s="161" t="s"/>
      <c r="AE198" s="161" t="s"/>
      <c r="AF198" s="161" t="s"/>
      <c r="AG198" s="161" t="s"/>
      <c r="AH198" s="161" t="s"/>
    </row>
    <row r="199" spans="1:34" customHeight="false">
      <c r="A199" s="121" t="s"/>
      <c r="B199" s="188" t="s"/>
      <c r="C199" s="188" t="s"/>
      <c r="D199" s="121" t="s"/>
      <c r="E199" s="121" t="s"/>
      <c r="F199" s="121" t="s"/>
      <c r="G199" s="121" t="s"/>
      <c r="H199" s="121" t="s"/>
      <c r="I199" s="161" t="s"/>
      <c r="J199" s="187" t="s"/>
      <c r="K199" s="187" t="s"/>
      <c r="L199" s="187" t="s"/>
      <c r="M199" s="161" t="s"/>
      <c r="N199" s="161" t="s"/>
      <c r="O199" s="161" t="s"/>
      <c r="P199" s="161" t="s"/>
      <c r="Q199" s="161" t="s"/>
      <c r="R199" s="161" t="s"/>
      <c r="S199" s="161" t="s"/>
      <c r="T199" s="161" t="s"/>
      <c r="U199" s="161" t="s"/>
      <c r="V199" s="161" t="s"/>
      <c r="W199" s="161" t="s"/>
      <c r="X199" s="161" t="s"/>
      <c r="Y199" s="161" t="s"/>
      <c r="Z199" s="161" t="s"/>
      <c r="AA199" s="161" t="s"/>
      <c r="AB199" s="161" t="s"/>
      <c r="AC199" s="161" t="s"/>
      <c r="AD199" s="161" t="s"/>
      <c r="AE199" s="161" t="s"/>
      <c r="AF199" s="161" t="s"/>
      <c r="AG199" s="161" t="s"/>
      <c r="AH199" s="161" t="s"/>
    </row>
    <row r="200" spans="1:34" customHeight="false">
      <c r="A200" s="121" t="s"/>
      <c r="B200" s="188" t="s"/>
      <c r="C200" s="188" t="s"/>
      <c r="D200" s="121" t="s"/>
      <c r="E200" s="121" t="s"/>
      <c r="F200" s="121" t="s"/>
      <c r="G200" s="121" t="s"/>
      <c r="H200" s="121" t="s"/>
      <c r="I200" s="161" t="s"/>
      <c r="J200" s="187" t="s"/>
      <c r="K200" s="187" t="s"/>
      <c r="L200" s="187" t="s"/>
      <c r="M200" s="161" t="s"/>
      <c r="N200" s="161" t="s"/>
      <c r="O200" s="161" t="s"/>
      <c r="P200" s="161" t="s"/>
      <c r="Q200" s="161" t="s"/>
      <c r="R200" s="161" t="s"/>
      <c r="S200" s="161" t="s"/>
      <c r="T200" s="161" t="s"/>
      <c r="U200" s="161" t="s"/>
      <c r="V200" s="161" t="s"/>
      <c r="W200" s="161" t="s"/>
      <c r="X200" s="161" t="s"/>
      <c r="Y200" s="161" t="s"/>
      <c r="Z200" s="161" t="s"/>
      <c r="AA200" s="161" t="s"/>
      <c r="AB200" s="161" t="s"/>
      <c r="AC200" s="161" t="s"/>
      <c r="AD200" s="161" t="s"/>
      <c r="AE200" s="161" t="s"/>
      <c r="AF200" s="161" t="s"/>
      <c r="AG200" s="161" t="s"/>
      <c r="AH200" s="161" t="s"/>
    </row>
    <row r="201" spans="1:34" customHeight="false">
      <c r="A201" s="121" t="s"/>
      <c r="B201" s="188" t="s"/>
      <c r="C201" s="188" t="s"/>
      <c r="D201" s="121" t="s"/>
      <c r="E201" s="121" t="s"/>
      <c r="F201" s="121" t="s"/>
      <c r="G201" s="121" t="s"/>
      <c r="H201" s="121" t="s"/>
      <c r="I201" s="161" t="s"/>
      <c r="J201" s="187" t="s"/>
      <c r="K201" s="187" t="s"/>
      <c r="L201" s="187" t="s"/>
      <c r="M201" s="161" t="s"/>
      <c r="N201" s="161" t="s"/>
      <c r="O201" s="161" t="s"/>
      <c r="P201" s="161" t="s"/>
      <c r="Q201" s="161" t="s"/>
      <c r="R201" s="161" t="s"/>
      <c r="S201" s="161" t="s"/>
      <c r="T201" s="161" t="s"/>
      <c r="U201" s="161" t="s"/>
      <c r="V201" s="161" t="s"/>
      <c r="W201" s="161" t="s"/>
      <c r="X201" s="161" t="s"/>
      <c r="Y201" s="161" t="s"/>
      <c r="Z201" s="161" t="s"/>
      <c r="AA201" s="161" t="s"/>
      <c r="AB201" s="161" t="s"/>
      <c r="AC201" s="161" t="s"/>
      <c r="AD201" s="161" t="s"/>
      <c r="AE201" s="161" t="s"/>
      <c r="AF201" s="161" t="s"/>
      <c r="AG201" s="161" t="s"/>
      <c r="AH201" s="161" t="s"/>
    </row>
    <row r="202" spans="1:34" customHeight="false">
      <c r="A202" s="121" t="s"/>
      <c r="B202" s="188" t="s"/>
      <c r="C202" s="188" t="s"/>
      <c r="D202" s="121" t="s"/>
      <c r="E202" s="121" t="s"/>
      <c r="F202" s="121" t="s"/>
      <c r="G202" s="121" t="s"/>
      <c r="H202" s="121" t="s"/>
      <c r="I202" s="161" t="s"/>
      <c r="J202" s="187" t="s"/>
      <c r="K202" s="187" t="s"/>
      <c r="L202" s="187" t="s"/>
      <c r="M202" s="161" t="s"/>
      <c r="N202" s="161" t="s"/>
      <c r="O202" s="161" t="s"/>
      <c r="P202" s="161" t="s"/>
      <c r="Q202" s="161" t="s"/>
      <c r="R202" s="161" t="s"/>
      <c r="S202" s="161" t="s"/>
      <c r="T202" s="161" t="s"/>
      <c r="U202" s="161" t="s"/>
      <c r="V202" s="161" t="s"/>
      <c r="W202" s="161" t="s"/>
      <c r="X202" s="161" t="s"/>
      <c r="Y202" s="161" t="s"/>
      <c r="Z202" s="161" t="s"/>
      <c r="AA202" s="161" t="s"/>
      <c r="AB202" s="161" t="s"/>
      <c r="AC202" s="161" t="s"/>
      <c r="AD202" s="161" t="s"/>
      <c r="AE202" s="161" t="s"/>
      <c r="AF202" s="161" t="s"/>
      <c r="AG202" s="161" t="s"/>
      <c r="AH202" s="161" t="s"/>
    </row>
    <row r="203" spans="1:34" customHeight="false">
      <c r="A203" s="121" t="s"/>
      <c r="B203" s="188" t="s"/>
      <c r="C203" s="188" t="s"/>
      <c r="D203" s="121" t="s"/>
      <c r="E203" s="121" t="s"/>
      <c r="F203" s="121" t="s"/>
      <c r="G203" s="121" t="s"/>
      <c r="H203" s="121" t="s"/>
      <c r="I203" s="161" t="s"/>
      <c r="J203" s="187" t="s"/>
      <c r="K203" s="187" t="s"/>
      <c r="L203" s="187" t="s"/>
      <c r="M203" s="161" t="s"/>
      <c r="N203" s="161" t="s"/>
      <c r="O203" s="161" t="s"/>
      <c r="P203" s="161" t="s"/>
      <c r="Q203" s="161" t="s"/>
      <c r="R203" s="161" t="s"/>
      <c r="S203" s="161" t="s"/>
      <c r="T203" s="161" t="s"/>
      <c r="U203" s="161" t="s"/>
      <c r="V203" s="161" t="s"/>
      <c r="W203" s="161" t="s"/>
      <c r="X203" s="161" t="s"/>
      <c r="Y203" s="161" t="s"/>
      <c r="Z203" s="161" t="s"/>
      <c r="AA203" s="161" t="s"/>
      <c r="AB203" s="161" t="s"/>
      <c r="AC203" s="161" t="s"/>
      <c r="AD203" s="161" t="s"/>
      <c r="AE203" s="161" t="s"/>
      <c r="AF203" s="161" t="s"/>
      <c r="AG203" s="161" t="s"/>
      <c r="AH203" s="161" t="s"/>
    </row>
  </sheetData>
  <autoFilter ref="A4:H49">
    <sortState ref="A5:H49"/>
  </autoFilter>
  <mergeCells count="20">
    <mergeCell ref="D3:D4"/>
    <mergeCell ref="AG3:AJ3"/>
    <mergeCell ref="B3:B4"/>
    <mergeCell ref="AC3:AF3"/>
    <mergeCell ref="A51:G51"/>
    <mergeCell ref="Y3:AB3"/>
    <mergeCell ref="E3:E4"/>
    <mergeCell ref="U3:X3"/>
    <mergeCell ref="F3:F4"/>
    <mergeCell ref="G3:H3"/>
    <mergeCell ref="I3:I4"/>
    <mergeCell ref="A3:A4"/>
    <mergeCell ref="C3:C4"/>
    <mergeCell ref="J3:L3"/>
    <mergeCell ref="A1:AJ1"/>
    <mergeCell ref="A2:AJ2"/>
    <mergeCell ref="M3:N3"/>
    <mergeCell ref="O3:P3"/>
    <mergeCell ref="Q3:R3"/>
    <mergeCell ref="S3:T3"/>
  </mergeCells>
  <legacyDrawing r:id="rId2"/>
</worksheet>
</file>

<file path=xl/worksheets/sheet5.xml><?xml version="1.0" encoding="utf-8"?>
<worksheet xmlns="http://schemas.openxmlformats.org/spreadsheetml/2006/main">
  <sheetPr codeName="仪表自控专业设备">
    <tabColor rgb="FFFFFFFF"/>
  </sheetPr>
  <dimension ref="Z134"/>
  <sheetViews>
    <sheetView showGridLines="true" rightToLeft="false" workbookViewId="0">
      <pane xSplit="1" ySplit="1" topLeftCell="B2" state="frozen"/>
    </sheetView>
  </sheetViews>
  <cols>
    <col min="1" max="1" width="5.00391" customWidth="true"/>
    <col min="2" max="2" width="17.8633" customWidth="true"/>
    <col min="3" max="3" width="47.8711" customWidth="true"/>
    <col min="4" max="4" width="21.3242" customWidth="true"/>
    <col min="5" max="5" width="6.87109" customWidth="true"/>
    <col min="6" max="6" width="6.74219" customWidth="true"/>
    <col min="7" max="7" width="8.43359" customWidth="true"/>
    <col min="8" max="8" width="11.8633" customWidth="true"/>
    <col min="9" max="9" width="7.71094" customWidth="true"/>
    <col min="10" max="12" width="7.71094" style="1005" customWidth="true"/>
    <col min="13" max="15" width="7.71094" customWidth="true"/>
    <col min="16" max="16" width="9.44141" customWidth="true"/>
    <col min="17" max="19" width="7.71094" customWidth="true"/>
    <col min="20" max="20" width="9.71094" customWidth="true"/>
    <col min="21" max="26" width="7.71094" customWidth="true"/>
    <col min="27" max="32" width="9.71094" customWidth="true"/>
  </cols>
  <sheetData>
    <row r="1" spans="1:28" ht="39" customHeight="true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6" t="s"/>
      <c r="J1" s="7" t="s"/>
      <c r="K1" s="7" t="s"/>
      <c r="L1" s="7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</row>
    <row r="2" spans="1:28" customHeight="false">
      <c r="A2" s="8" t="s">
        <v>2144</v>
      </c>
      <c r="B2" s="9" t="s"/>
      <c r="C2" s="9" t="s"/>
      <c r="D2" s="9" t="s"/>
      <c r="E2" s="9" t="s"/>
      <c r="F2" s="9" t="s"/>
      <c r="G2" s="9" t="s"/>
      <c r="H2" s="9" t="s"/>
      <c r="I2" s="9" t="s"/>
      <c r="J2" s="11" t="s"/>
      <c r="K2" s="11" t="s"/>
      <c r="L2" s="11" t="s"/>
      <c r="M2" s="9" t="s"/>
      <c r="N2" s="9" t="s"/>
      <c r="O2" s="9" t="s"/>
      <c r="P2" s="9" t="s"/>
      <c r="Q2" s="9" t="s"/>
      <c r="R2" s="9" t="s"/>
      <c r="S2" s="9" t="s"/>
      <c r="T2" s="9" t="s"/>
      <c r="U2" s="9" t="s"/>
      <c r="V2" s="9" t="s"/>
      <c r="W2" s="9" t="s"/>
      <c r="X2" s="9" t="s"/>
      <c r="Y2" s="9" t="s"/>
      <c r="Z2" s="9" t="s"/>
      <c r="AA2" s="9" t="s"/>
      <c r="AB2" s="9" t="s"/>
    </row>
    <row r="3" spans="1:28">
      <c r="A3" s="12" t="s">
        <v>3</v>
      </c>
      <c r="B3" s="871" t="s">
        <v>4</v>
      </c>
      <c r="C3" s="41" t="s">
        <v>5</v>
      </c>
      <c r="D3" s="19" t="s">
        <v>6</v>
      </c>
      <c r="E3" s="12" t="s">
        <v>7</v>
      </c>
      <c r="F3" s="12" t="s">
        <v>8</v>
      </c>
      <c r="G3" s="709" t="s">
        <v>9</v>
      </c>
      <c r="H3" s="217" t="s"/>
      <c r="I3" s="215" t="s">
        <v>10</v>
      </c>
      <c r="J3" s="20" t="s">
        <v>11</v>
      </c>
      <c r="K3" s="21" t="s"/>
      <c r="L3" s="21" t="s"/>
      <c r="M3" s="22" t="s">
        <v>12</v>
      </c>
      <c r="N3" s="23" t="s"/>
      <c r="O3" s="23" t="s"/>
      <c r="P3" s="23" t="s"/>
      <c r="Q3" s="22" t="s">
        <v>13</v>
      </c>
      <c r="R3" s="23" t="s"/>
      <c r="S3" s="23" t="s"/>
      <c r="T3" s="23" t="s"/>
      <c r="U3" s="22" t="s">
        <v>14</v>
      </c>
      <c r="V3" s="23" t="s"/>
      <c r="W3" s="23" t="s"/>
      <c r="X3" s="23" t="s"/>
      <c r="Y3" s="22" t="s">
        <v>15</v>
      </c>
      <c r="Z3" s="23" t="s"/>
      <c r="AA3" s="23" t="s"/>
      <c r="AB3" s="23" t="s"/>
    </row>
    <row r="4" spans="1:28" customHeight="false">
      <c r="A4" s="24" t="s"/>
      <c r="B4" s="872" t="s"/>
      <c r="C4" s="18" t="s"/>
      <c r="D4" s="26" t="s"/>
      <c r="E4" s="220" t="s"/>
      <c r="F4" s="220" t="s"/>
      <c r="G4" s="712" t="s">
        <v>16</v>
      </c>
      <c r="H4" s="712" t="s">
        <v>17</v>
      </c>
      <c r="I4" s="220" t="s"/>
      <c r="J4" s="27" t="s">
        <v>18</v>
      </c>
      <c r="K4" s="27" t="s">
        <v>19</v>
      </c>
      <c r="L4" s="27" t="s">
        <v>20</v>
      </c>
      <c r="M4" s="17" t="s">
        <v>21</v>
      </c>
      <c r="N4" s="17" t="s">
        <v>22</v>
      </c>
      <c r="O4" s="17" t="s">
        <v>19</v>
      </c>
      <c r="P4" s="17" t="s">
        <v>20</v>
      </c>
      <c r="Q4" s="17" t="s">
        <v>21</v>
      </c>
      <c r="R4" s="17" t="s">
        <v>22</v>
      </c>
      <c r="S4" s="17" t="s">
        <v>19</v>
      </c>
      <c r="T4" s="17" t="s">
        <v>20</v>
      </c>
      <c r="U4" s="223" t="s">
        <v>21</v>
      </c>
      <c r="V4" s="30" t="s">
        <v>22</v>
      </c>
      <c r="W4" s="17" t="s">
        <v>19</v>
      </c>
      <c r="X4" s="17" t="s">
        <v>20</v>
      </c>
      <c r="Y4" s="17" t="s">
        <v>21</v>
      </c>
      <c r="Z4" s="17" t="s">
        <v>22</v>
      </c>
      <c r="AA4" s="17" t="s">
        <v>19</v>
      </c>
      <c r="AB4" s="17" t="s">
        <v>20</v>
      </c>
    </row>
    <row r="5" spans="1:32" customHeight="false">
      <c r="A5" s="873" t="s">
        <v>377</v>
      </c>
      <c r="B5" s="874" t="s">
        <v>2145</v>
      </c>
      <c r="C5" s="578" t="s"/>
      <c r="D5" s="601" t="s"/>
      <c r="E5" s="714" t="s"/>
      <c r="F5" s="714" t="s"/>
      <c r="G5" s="714" t="s"/>
      <c r="H5" s="875" t="s"/>
      <c r="I5" s="876" t="s"/>
      <c r="J5" s="877" t="s"/>
      <c r="K5" s="877" t="s"/>
      <c r="L5" s="877" t="s"/>
      <c r="M5" s="601" t="s"/>
      <c r="N5" s="601" t="s"/>
      <c r="O5" s="601" t="s"/>
      <c r="P5" s="601" t="s"/>
      <c r="Q5" s="601" t="s"/>
      <c r="R5" s="601" t="s"/>
      <c r="S5" s="601" t="s"/>
      <c r="T5" s="601" t="s"/>
      <c r="U5" s="601" t="s"/>
      <c r="V5" s="601" t="s"/>
      <c r="W5" s="601" t="s"/>
      <c r="X5" s="601" t="s"/>
      <c r="Y5" s="601" t="s"/>
      <c r="Z5" s="601" t="s"/>
      <c r="AA5" s="601" t="s"/>
      <c r="AB5" s="601" t="s"/>
      <c r="AC5" s="601" t="s"/>
      <c r="AD5" s="601" t="s"/>
      <c r="AE5" s="601" t="s"/>
      <c r="AF5" s="601" t="s"/>
    </row>
    <row r="6" spans="1:32" customHeight="false">
      <c r="A6" s="714" t="s"/>
      <c r="B6" s="878" t="s">
        <v>2146</v>
      </c>
      <c r="C6" s="601" t="s"/>
      <c r="D6" s="601" t="s"/>
      <c r="E6" s="714" t="s"/>
      <c r="F6" s="714" t="s"/>
      <c r="G6" s="714" t="s"/>
      <c r="H6" s="875" t="s"/>
      <c r="I6" s="879" t="s"/>
      <c r="J6" s="880" t="s"/>
      <c r="K6" s="880" t="s"/>
      <c r="L6" s="880" t="s"/>
      <c r="M6" s="601" t="s"/>
      <c r="N6" s="601" t="s"/>
      <c r="O6" s="601" t="s"/>
      <c r="P6" s="601" t="s"/>
      <c r="Q6" s="601" t="s"/>
      <c r="R6" s="601" t="s"/>
      <c r="S6" s="601" t="s"/>
      <c r="T6" s="601" t="s"/>
      <c r="U6" s="601" t="s"/>
      <c r="V6" s="601" t="s"/>
      <c r="W6" s="601" t="s"/>
      <c r="X6" s="601" t="s"/>
      <c r="Y6" s="601" t="s"/>
      <c r="Z6" s="601" t="s"/>
      <c r="AA6" s="601" t="s"/>
      <c r="AB6" s="601" t="s"/>
      <c r="AC6" s="601" t="s"/>
      <c r="AD6" s="601" t="s"/>
      <c r="AE6" s="601" t="s"/>
      <c r="AF6" s="601" t="s"/>
    </row>
    <row r="7" spans="1:32" customHeight="false">
      <c r="A7" s="714">
        <v>1</v>
      </c>
      <c r="B7" s="601" t="s">
        <v>2147</v>
      </c>
      <c r="C7" s="881" t="s">
        <v>2148</v>
      </c>
      <c r="D7" s="601" t="s"/>
      <c r="E7" s="714" t="s">
        <v>36</v>
      </c>
      <c r="F7" s="714">
        <v>1</v>
      </c>
      <c r="G7" s="714">
        <v>138600</v>
      </c>
      <c r="H7" s="875">
        <v>138600</v>
      </c>
      <c r="I7" s="601" t="s"/>
      <c r="J7" s="882" t="s"/>
      <c r="K7" s="882">
        <f>=MIN(O7,S7,W7)</f>
        <v>52800</v>
      </c>
      <c r="L7" s="877">
        <f>=F7*K7</f>
        <v>52800</v>
      </c>
      <c r="M7" s="90" t="s"/>
      <c r="N7" s="601" t="s">
        <v>2149</v>
      </c>
      <c r="O7" s="601">
        <v>52800</v>
      </c>
      <c r="P7" s="601">
        <f>=F7*O7</f>
        <v>52800</v>
      </c>
      <c r="Q7" s="90" t="s">
        <v>2150</v>
      </c>
      <c r="R7" s="601" t="s"/>
      <c r="S7" s="601" t="s"/>
      <c r="T7" s="601" t="s"/>
      <c r="U7" s="883" t="s">
        <v>1164</v>
      </c>
      <c r="V7" s="601" t="s">
        <v>2151</v>
      </c>
      <c r="W7" s="601">
        <v>95000</v>
      </c>
      <c r="X7" s="601">
        <f>=F7*W7</f>
        <v>95000</v>
      </c>
      <c r="Y7" s="601" t="s"/>
      <c r="Z7" s="601" t="s"/>
      <c r="AA7" s="601" t="s"/>
      <c r="AB7" s="601" t="s"/>
      <c r="AC7" s="884" t="s"/>
      <c r="AD7" s="884" t="s"/>
      <c r="AE7" s="884" t="s"/>
      <c r="AF7" s="884" t="s"/>
    </row>
    <row r="8" spans="1:32" customHeight="false">
      <c r="A8" s="714">
        <v>2</v>
      </c>
      <c r="B8" s="885" t="s">
        <v>2152</v>
      </c>
      <c r="C8" s="886" t="s">
        <v>2153</v>
      </c>
      <c r="D8" s="601" t="s"/>
      <c r="E8" s="128" t="s">
        <v>36</v>
      </c>
      <c r="F8" s="128">
        <v>1</v>
      </c>
      <c r="G8" s="714">
        <v>138600</v>
      </c>
      <c r="H8" s="875">
        <v>138600</v>
      </c>
      <c r="I8" s="601" t="s"/>
      <c r="J8" s="882" t="s"/>
      <c r="K8" s="882">
        <f>=MIN(O8,S8,W8)</f>
        <v>52800</v>
      </c>
      <c r="L8" s="877">
        <f>=F8*K8</f>
        <v>52800</v>
      </c>
      <c r="M8" s="90" t="s"/>
      <c r="N8" s="601" t="s">
        <v>2149</v>
      </c>
      <c r="O8" s="601">
        <v>52800</v>
      </c>
      <c r="P8" s="601">
        <f>=F8*O8</f>
        <v>52800</v>
      </c>
      <c r="Q8" s="90" t="s">
        <v>2150</v>
      </c>
      <c r="R8" s="601" t="s"/>
      <c r="S8" s="601" t="s"/>
      <c r="T8" s="601" t="s"/>
      <c r="U8" s="883" t="s">
        <v>1164</v>
      </c>
      <c r="V8" s="601" t="s">
        <v>2151</v>
      </c>
      <c r="W8" s="601">
        <v>95000</v>
      </c>
      <c r="X8" s="601">
        <f>=F8*W8</f>
        <v>95000</v>
      </c>
      <c r="Y8" s="601" t="s"/>
      <c r="Z8" s="601" t="s"/>
      <c r="AA8" s="601" t="s"/>
      <c r="AB8" s="601" t="s"/>
      <c r="AC8" s="884" t="s"/>
      <c r="AD8" s="884" t="s"/>
      <c r="AE8" s="884" t="s"/>
      <c r="AF8" s="884" t="s"/>
    </row>
    <row r="9" spans="1:32" customHeight="false">
      <c r="A9" s="714">
        <v>3</v>
      </c>
      <c r="B9" s="128" t="s">
        <v>2154</v>
      </c>
      <c r="C9" s="886" t="s">
        <v>2155</v>
      </c>
      <c r="D9" s="128" t="s"/>
      <c r="E9" s="128" t="s">
        <v>36</v>
      </c>
      <c r="F9" s="128">
        <v>5</v>
      </c>
      <c r="G9" s="714">
        <v>22000</v>
      </c>
      <c r="H9" s="875">
        <v>110000</v>
      </c>
      <c r="I9" s="601" t="s"/>
      <c r="J9" s="882" t="s"/>
      <c r="K9" s="882">
        <f>=MIN(O9,S9,W9)</f>
        <v>56038</v>
      </c>
      <c r="L9" s="877">
        <f>=F9*K9</f>
        <v>280190</v>
      </c>
      <c r="M9" s="90" t="s"/>
      <c r="N9" s="601" t="s">
        <v>2149</v>
      </c>
      <c r="O9" s="601">
        <v>56038</v>
      </c>
      <c r="P9" s="601">
        <f>=F9*O9</f>
        <v>280190</v>
      </c>
      <c r="Q9" s="90" t="s">
        <v>2150</v>
      </c>
      <c r="R9" s="601" t="s"/>
      <c r="S9" s="601" t="s"/>
      <c r="T9" s="601" t="s"/>
      <c r="U9" s="883" t="s">
        <v>1164</v>
      </c>
      <c r="V9" s="601" t="s">
        <v>2151</v>
      </c>
      <c r="W9" s="601">
        <v>77053</v>
      </c>
      <c r="X9" s="601">
        <f>=F9*W9</f>
        <v>385265</v>
      </c>
      <c r="Y9" s="601" t="s"/>
      <c r="Z9" s="601" t="s"/>
      <c r="AA9" s="601" t="s"/>
      <c r="AB9" s="601" t="s"/>
      <c r="AC9" s="884" t="s"/>
      <c r="AD9" s="884" t="s"/>
      <c r="AE9" s="884" t="s"/>
      <c r="AF9" s="884" t="s"/>
    </row>
    <row r="10" spans="1:32" customHeight="false">
      <c r="A10" s="714">
        <v>4</v>
      </c>
      <c r="B10" s="128" t="s">
        <v>2156</v>
      </c>
      <c r="C10" s="886" t="s">
        <v>2157</v>
      </c>
      <c r="D10" s="601" t="s"/>
      <c r="E10" s="128" t="s">
        <v>36</v>
      </c>
      <c r="F10" s="128">
        <v>1</v>
      </c>
      <c r="G10" s="887">
        <v>38500</v>
      </c>
      <c r="H10" s="875">
        <v>38500</v>
      </c>
      <c r="I10" s="601" t="s"/>
      <c r="J10" s="882" t="s"/>
      <c r="K10" s="882">
        <f>=MIN(O10,S10,W10)</f>
        <v>24350</v>
      </c>
      <c r="L10" s="877">
        <f>=F10*K10</f>
        <v>24350</v>
      </c>
      <c r="M10" s="883" t="s">
        <v>2570</v>
      </c>
      <c r="N10" s="601" t="s">
        <v>2158</v>
      </c>
      <c r="O10" s="601">
        <v>24350</v>
      </c>
      <c r="P10" s="601">
        <f>=F10*O10</f>
        <v>24350</v>
      </c>
      <c r="Q10" s="883" t="s">
        <v>2571</v>
      </c>
      <c r="R10" s="601" t="s">
        <v>2159</v>
      </c>
      <c r="S10" s="601">
        <v>37350</v>
      </c>
      <c r="T10" s="601">
        <f>=F10*S10</f>
        <v>37350</v>
      </c>
      <c r="U10" s="883" t="s">
        <v>2572</v>
      </c>
      <c r="V10" s="601" t="s">
        <v>2160</v>
      </c>
      <c r="W10" s="601">
        <v>48500</v>
      </c>
      <c r="X10" s="601">
        <f>=F10*W10</f>
        <v>48500</v>
      </c>
      <c r="Y10" s="883" t="s">
        <v>2573</v>
      </c>
      <c r="Z10" s="888" t="s"/>
      <c r="AA10" s="884" t="s"/>
      <c r="AB10" s="884" t="s"/>
      <c r="AC10" s="883" t="s">
        <v>2161</v>
      </c>
      <c r="AD10" s="884" t="s"/>
      <c r="AE10" s="884" t="s"/>
      <c r="AF10" s="884" t="s"/>
    </row>
    <row r="11" spans="1:32" customHeight="false">
      <c r="A11" s="714">
        <v>5</v>
      </c>
      <c r="B11" s="885" t="s">
        <v>2162</v>
      </c>
      <c r="C11" s="886" t="s">
        <v>2163</v>
      </c>
      <c r="D11" s="601" t="s"/>
      <c r="E11" s="128" t="s">
        <v>36</v>
      </c>
      <c r="F11" s="128">
        <v>1</v>
      </c>
      <c r="G11" s="887">
        <v>379900</v>
      </c>
      <c r="H11" s="875">
        <v>379900</v>
      </c>
      <c r="I11" s="601" t="s"/>
      <c r="J11" s="882" t="s"/>
      <c r="K11" s="882">
        <f>=MIN(O11,S11,W11)</f>
        <v>175180</v>
      </c>
      <c r="L11" s="877">
        <f>=F11*K11</f>
        <v>175180</v>
      </c>
      <c r="M11" s="883" t="s">
        <v>2164</v>
      </c>
      <c r="N11" s="601" t="s"/>
      <c r="O11" s="601" t="s"/>
      <c r="P11" s="601" t="s"/>
      <c r="Q11" s="883" t="s">
        <v>2165</v>
      </c>
      <c r="R11" s="601" t="s"/>
      <c r="S11" s="601" t="s"/>
      <c r="T11" s="601" t="s"/>
      <c r="U11" s="883" t="s">
        <v>2166</v>
      </c>
      <c r="V11" s="601" t="s"/>
      <c r="W11" s="601">
        <v>175180</v>
      </c>
      <c r="X11" s="601">
        <f>=F11*W11</f>
        <v>175180</v>
      </c>
      <c r="Y11" s="601" t="s"/>
      <c r="Z11" s="601" t="s"/>
      <c r="AA11" s="601" t="s"/>
      <c r="AB11" s="601" t="s"/>
      <c r="AC11" s="884" t="s"/>
      <c r="AD11" s="884" t="s"/>
      <c r="AE11" s="884" t="s"/>
      <c r="AF11" s="884" t="s"/>
    </row>
    <row r="12" spans="1:32" customHeight="false">
      <c r="A12" s="714">
        <v>6</v>
      </c>
      <c r="B12" s="128" t="s">
        <v>2167</v>
      </c>
      <c r="C12" s="886" t="s">
        <v>2168</v>
      </c>
      <c r="D12" s="889" t="s"/>
      <c r="E12" s="128" t="s">
        <v>36</v>
      </c>
      <c r="F12" s="128">
        <v>2</v>
      </c>
      <c r="G12" s="887" t="s"/>
      <c r="H12" s="875" t="s"/>
      <c r="I12" s="601" t="s"/>
      <c r="J12" s="882" t="s"/>
      <c r="K12" s="882">
        <f>=MIN(O12,S12,W12)</f>
        <v>28458</v>
      </c>
      <c r="L12" s="877">
        <f>=F12*K12</f>
        <v>56916</v>
      </c>
      <c r="M12" s="883" t="s">
        <v>2169</v>
      </c>
      <c r="N12" s="888" t="s"/>
      <c r="O12" s="881">
        <v>28458</v>
      </c>
      <c r="P12" s="881">
        <f>=F12*O12</f>
        <v>56916</v>
      </c>
      <c r="Q12" s="883" t="s">
        <v>2170</v>
      </c>
      <c r="R12" s="888" t="s"/>
      <c r="S12" s="888" t="s"/>
      <c r="T12" s="888" t="s"/>
      <c r="U12" s="883" t="s">
        <v>2171</v>
      </c>
      <c r="V12" s="888" t="s"/>
      <c r="W12" s="888" t="s"/>
      <c r="X12" s="888" t="s"/>
      <c r="Y12" s="883" t="s">
        <v>2172</v>
      </c>
      <c r="Z12" s="888" t="s"/>
      <c r="AA12" s="601" t="s"/>
      <c r="AB12" s="601" t="s"/>
      <c r="AC12" s="884" t="s"/>
      <c r="AD12" s="884" t="s"/>
      <c r="AE12" s="884" t="s"/>
      <c r="AF12" s="884" t="s"/>
    </row>
    <row r="13" spans="1:32" customHeight="false">
      <c r="A13" s="890" t="s">
        <v>520</v>
      </c>
      <c r="B13" s="891" t="s">
        <v>2173</v>
      </c>
      <c r="C13" s="183" t="s"/>
      <c r="D13" s="601" t="s"/>
      <c r="E13" s="714" t="s"/>
      <c r="F13" s="714" t="s"/>
      <c r="G13" s="714" t="s"/>
      <c r="H13" s="875" t="s"/>
      <c r="I13" s="601" t="s"/>
      <c r="J13" s="882" t="s"/>
      <c r="K13" s="882" t="s"/>
      <c r="L13" s="877" t="s"/>
      <c r="M13" s="601" t="s"/>
      <c r="N13" s="601" t="s"/>
      <c r="O13" s="601" t="s"/>
      <c r="P13" s="601" t="s"/>
      <c r="Q13" s="601" t="s"/>
      <c r="R13" s="601" t="s"/>
      <c r="S13" s="601" t="s"/>
      <c r="T13" s="601" t="s"/>
      <c r="U13" s="601" t="s"/>
      <c r="V13" s="601" t="s"/>
      <c r="W13" s="892" t="s"/>
      <c r="X13" s="892" t="s"/>
      <c r="Y13" s="601" t="s"/>
      <c r="Z13" s="601" t="s"/>
      <c r="AA13" s="601" t="s"/>
      <c r="AB13" s="601" t="s"/>
      <c r="AC13" s="884" t="s"/>
      <c r="AD13" s="884" t="s"/>
      <c r="AE13" s="884" t="s"/>
      <c r="AF13" s="884" t="s"/>
    </row>
    <row r="14" spans="1:32" customHeight="false">
      <c r="A14" s="714">
        <v>1</v>
      </c>
      <c r="B14" s="885" t="s">
        <v>2174</v>
      </c>
      <c r="C14" s="886" t="s">
        <v>2175</v>
      </c>
      <c r="D14" s="601" t="s"/>
      <c r="E14" s="128" t="s">
        <v>36</v>
      </c>
      <c r="F14" s="128">
        <v>3</v>
      </c>
      <c r="G14" s="887">
        <v>118800</v>
      </c>
      <c r="H14" s="875">
        <v>356400</v>
      </c>
      <c r="I14" s="601" t="s"/>
      <c r="J14" s="882" t="s"/>
      <c r="K14" s="882">
        <f>=MIN(O14,S14,W14)</f>
        <v>74267.46</v>
      </c>
      <c r="L14" s="877">
        <f>=F14*K14</f>
        <v>222802.38</v>
      </c>
      <c r="M14" s="893" t="s"/>
      <c r="N14" s="721" t="s"/>
      <c r="O14" s="721" t="s"/>
      <c r="P14" s="721" t="s"/>
      <c r="Q14" s="893" t="s"/>
      <c r="R14" s="721" t="s"/>
      <c r="S14" s="721" t="s"/>
      <c r="T14" s="721" t="s"/>
      <c r="U14" s="894" t="s">
        <v>1164</v>
      </c>
      <c r="V14" s="601" t="s">
        <v>2151</v>
      </c>
      <c r="W14" s="601">
        <v>74267.46</v>
      </c>
      <c r="X14" s="601">
        <f>=F14*W14</f>
        <v>222802.38</v>
      </c>
      <c r="Y14" s="601" t="s"/>
      <c r="Z14" s="601" t="s"/>
      <c r="AA14" s="601" t="s"/>
      <c r="AB14" s="601" t="s"/>
      <c r="AC14" s="884" t="s"/>
      <c r="AD14" s="884" t="s"/>
      <c r="AE14" s="884" t="s"/>
      <c r="AF14" s="884" t="s"/>
    </row>
    <row r="15" spans="1:32" customHeight="false">
      <c r="A15" s="714">
        <v>2</v>
      </c>
      <c r="B15" s="885" t="s">
        <v>2174</v>
      </c>
      <c r="C15" s="886" t="s">
        <v>2176</v>
      </c>
      <c r="D15" s="601" t="s"/>
      <c r="E15" s="128" t="s">
        <v>36</v>
      </c>
      <c r="F15" s="128">
        <v>1</v>
      </c>
      <c r="G15" s="887">
        <v>103700</v>
      </c>
      <c r="H15" s="875">
        <v>103700</v>
      </c>
      <c r="I15" s="601" t="s"/>
      <c r="J15" s="882" t="s"/>
      <c r="K15" s="882">
        <f>=MIN(O15,S15,W15)</f>
        <v>35289.2</v>
      </c>
      <c r="L15" s="877">
        <f>=F15*K15</f>
        <v>35289.2</v>
      </c>
      <c r="M15" s="893" t="s"/>
      <c r="N15" s="721" t="s"/>
      <c r="O15" s="721" t="s"/>
      <c r="P15" s="721" t="s"/>
      <c r="Q15" s="893" t="s"/>
      <c r="R15" s="721" t="s"/>
      <c r="S15" s="721" t="s"/>
      <c r="T15" s="721" t="s"/>
      <c r="U15" s="894" t="s">
        <v>1164</v>
      </c>
      <c r="V15" s="601" t="s">
        <v>2151</v>
      </c>
      <c r="W15" s="601">
        <f>=16165+38248.4/2</f>
        <v>35289.2</v>
      </c>
      <c r="X15" s="601">
        <f>=F15*W15</f>
        <v>35289.2</v>
      </c>
      <c r="Y15" s="601" t="s"/>
      <c r="Z15" s="601" t="s"/>
      <c r="AA15" s="601" t="s"/>
      <c r="AB15" s="601" t="s"/>
      <c r="AC15" s="884" t="s"/>
      <c r="AD15" s="884" t="s"/>
      <c r="AE15" s="884" t="s"/>
      <c r="AF15" s="884" t="s"/>
    </row>
    <row r="16" spans="1:32" customHeight="false">
      <c r="A16" s="714">
        <v>3</v>
      </c>
      <c r="B16" s="885" t="s">
        <v>2177</v>
      </c>
      <c r="C16" s="886" t="s"/>
      <c r="D16" s="601" t="s"/>
      <c r="E16" s="128" t="s">
        <v>36</v>
      </c>
      <c r="F16" s="128">
        <v>1</v>
      </c>
      <c r="G16" s="887">
        <v>8400</v>
      </c>
      <c r="H16" s="875">
        <v>8400</v>
      </c>
      <c r="I16" s="601" t="s"/>
      <c r="J16" s="882" t="s"/>
      <c r="K16" s="882">
        <f>=MIN(O16,S16,W16)</f>
        <v>0</v>
      </c>
      <c r="L16" s="877">
        <f>=F16*K16</f>
        <v>0</v>
      </c>
      <c r="M16" s="893" t="s"/>
      <c r="N16" s="721" t="s"/>
      <c r="O16" s="721" t="s"/>
      <c r="P16" s="721" t="s"/>
      <c r="Q16" s="893" t="s"/>
      <c r="R16" s="721" t="s"/>
      <c r="S16" s="721" t="s"/>
      <c r="T16" s="721" t="s"/>
      <c r="U16" s="893" t="s"/>
      <c r="V16" s="601" t="s"/>
      <c r="W16" s="892" t="s">
        <v>2178</v>
      </c>
      <c r="X16" s="892" t="s"/>
      <c r="Y16" s="601" t="s"/>
      <c r="Z16" s="601" t="s"/>
      <c r="AA16" s="601" t="s"/>
      <c r="AB16" s="601" t="s"/>
      <c r="AC16" s="884" t="s"/>
      <c r="AD16" s="884" t="s"/>
      <c r="AE16" s="884" t="s"/>
      <c r="AF16" s="884" t="s"/>
    </row>
    <row r="17" spans="1:32" customHeight="false">
      <c r="A17" s="714">
        <v>4</v>
      </c>
      <c r="B17" s="885" t="s">
        <v>2179</v>
      </c>
      <c r="C17" s="886" t="s">
        <v>2180</v>
      </c>
      <c r="D17" s="601" t="s"/>
      <c r="E17" s="128" t="s">
        <v>36</v>
      </c>
      <c r="F17" s="128">
        <v>1</v>
      </c>
      <c r="G17" s="887">
        <v>28100</v>
      </c>
      <c r="H17" s="875">
        <v>28100</v>
      </c>
      <c r="I17" s="601" t="s"/>
      <c r="J17" s="882" t="s"/>
      <c r="K17" s="882">
        <f>=MIN(O17,S17,W17)</f>
        <v>0</v>
      </c>
      <c r="L17" s="877">
        <f>=F17*K17</f>
        <v>0</v>
      </c>
      <c r="M17" s="893" t="s"/>
      <c r="N17" s="721" t="s"/>
      <c r="O17" s="721" t="s"/>
      <c r="P17" s="721" t="s"/>
      <c r="Q17" s="893" t="s"/>
      <c r="R17" s="721" t="s"/>
      <c r="S17" s="721" t="s"/>
      <c r="T17" s="721" t="s"/>
      <c r="U17" s="893" t="s"/>
      <c r="V17" s="601" t="s"/>
      <c r="W17" s="892" t="s">
        <v>2178</v>
      </c>
      <c r="X17" s="892" t="s"/>
      <c r="Y17" s="601" t="s"/>
      <c r="Z17" s="601" t="s"/>
      <c r="AA17" s="601" t="s"/>
      <c r="AB17" s="601" t="s"/>
      <c r="AC17" s="884" t="s"/>
      <c r="AD17" s="884" t="s"/>
      <c r="AE17" s="884" t="s"/>
      <c r="AF17" s="884" t="s"/>
    </row>
    <row r="18" spans="1:32" customHeight="false">
      <c r="A18" s="714">
        <v>5</v>
      </c>
      <c r="B18" s="885" t="s">
        <v>2181</v>
      </c>
      <c r="C18" s="886" t="s">
        <v>2182</v>
      </c>
      <c r="D18" s="601" t="s"/>
      <c r="E18" s="128" t="s">
        <v>36</v>
      </c>
      <c r="F18" s="128">
        <v>2</v>
      </c>
      <c r="G18" s="887">
        <v>140732.58</v>
      </c>
      <c r="H18" s="875">
        <v>281465.16</v>
      </c>
      <c r="I18" s="601" t="s"/>
      <c r="J18" s="882" t="s"/>
      <c r="K18" s="882">
        <f>=MIN(O18,S18,W18)</f>
        <v>53512</v>
      </c>
      <c r="L18" s="877">
        <f>=F18*K18</f>
        <v>107024</v>
      </c>
      <c r="M18" s="893" t="s"/>
      <c r="N18" s="721" t="s"/>
      <c r="O18" s="721" t="s"/>
      <c r="P18" s="721" t="s"/>
      <c r="Q18" s="893" t="s"/>
      <c r="R18" s="721" t="s"/>
      <c r="S18" s="721" t="s"/>
      <c r="T18" s="721" t="s"/>
      <c r="U18" s="894" t="s">
        <v>1164</v>
      </c>
      <c r="V18" s="601" t="s">
        <v>2151</v>
      </c>
      <c r="W18" s="166">
        <v>53512</v>
      </c>
      <c r="X18" s="601">
        <f>=F18*W18</f>
        <v>107024</v>
      </c>
      <c r="Y18" s="601" t="s"/>
      <c r="Z18" s="601" t="s"/>
      <c r="AA18" s="601" t="s"/>
      <c r="AB18" s="601" t="s"/>
      <c r="AC18" s="884" t="s"/>
      <c r="AD18" s="884" t="s"/>
      <c r="AE18" s="884" t="s"/>
      <c r="AF18" s="884" t="s"/>
    </row>
    <row r="19" spans="1:32" customHeight="false">
      <c r="A19" s="714">
        <v>6</v>
      </c>
      <c r="B19" s="885" t="s">
        <v>2183</v>
      </c>
      <c r="C19" s="886" t="s">
        <v>2184</v>
      </c>
      <c r="D19" s="601" t="s"/>
      <c r="E19" s="128" t="s">
        <v>36</v>
      </c>
      <c r="F19" s="128">
        <v>1</v>
      </c>
      <c r="G19" s="887">
        <v>70366.31</v>
      </c>
      <c r="H19" s="875">
        <v>70366.31</v>
      </c>
      <c r="I19" s="601" t="s"/>
      <c r="J19" s="882" t="s"/>
      <c r="K19" s="882">
        <f>=MIN(O19,S19,W19)</f>
        <v>414103</v>
      </c>
      <c r="L19" s="877">
        <f>=F19*K19</f>
        <v>414103</v>
      </c>
      <c r="M19" s="893" t="s"/>
      <c r="N19" s="721" t="s"/>
      <c r="O19" s="721" t="s"/>
      <c r="P19" s="721" t="s"/>
      <c r="Q19" s="893" t="s"/>
      <c r="R19" s="721" t="s"/>
      <c r="S19" s="721" t="s"/>
      <c r="T19" s="721" t="s"/>
      <c r="U19" s="894" t="s">
        <v>1164</v>
      </c>
      <c r="V19" s="601" t="s">
        <v>2151</v>
      </c>
      <c r="W19" s="601">
        <v>414103</v>
      </c>
      <c r="X19" s="601">
        <f>=F19*W19</f>
        <v>414103</v>
      </c>
      <c r="Y19" s="601" t="s"/>
      <c r="Z19" s="601" t="s"/>
      <c r="AA19" s="601" t="s"/>
      <c r="AB19" s="601" t="s"/>
      <c r="AC19" s="884" t="s"/>
      <c r="AD19" s="884" t="s"/>
      <c r="AE19" s="884" t="s"/>
      <c r="AF19" s="884" t="s"/>
    </row>
    <row r="20" spans="1:32" customHeight="false">
      <c r="A20" s="714">
        <v>7</v>
      </c>
      <c r="B20" s="885" t="s">
        <v>2185</v>
      </c>
      <c r="C20" s="886" t="s"/>
      <c r="D20" s="601" t="s"/>
      <c r="E20" s="128" t="s">
        <v>36</v>
      </c>
      <c r="F20" s="128">
        <v>1</v>
      </c>
      <c r="G20" s="887">
        <v>140732.58</v>
      </c>
      <c r="H20" s="875">
        <v>140732.58</v>
      </c>
      <c r="I20" s="601" t="s"/>
      <c r="J20" s="882" t="s"/>
      <c r="K20" s="882">
        <f>=MIN(O20,S20,W20)</f>
        <v>0</v>
      </c>
      <c r="L20" s="877">
        <f>=F20*K20</f>
        <v>0</v>
      </c>
      <c r="M20" s="893" t="s"/>
      <c r="N20" s="721" t="s"/>
      <c r="O20" s="721" t="s"/>
      <c r="P20" s="721" t="s"/>
      <c r="Q20" s="893" t="s"/>
      <c r="R20" s="721" t="s"/>
      <c r="S20" s="721" t="s"/>
      <c r="T20" s="721" t="s"/>
      <c r="U20" s="893" t="s"/>
      <c r="V20" s="601" t="s"/>
      <c r="W20" s="892" t="s"/>
      <c r="X20" s="892" t="s"/>
      <c r="Y20" s="601" t="s"/>
      <c r="Z20" s="601" t="s"/>
      <c r="AA20" s="601" t="s"/>
      <c r="AB20" s="601" t="s"/>
      <c r="AC20" s="884" t="s"/>
      <c r="AD20" s="884" t="s"/>
      <c r="AE20" s="884" t="s"/>
      <c r="AF20" s="884" t="s"/>
    </row>
    <row r="21" spans="1:32" customHeight="false">
      <c r="A21" s="873" t="s">
        <v>566</v>
      </c>
      <c r="B21" s="874" t="s">
        <v>2186</v>
      </c>
      <c r="C21" s="895" t="s"/>
      <c r="D21" s="896" t="s"/>
      <c r="E21" s="714" t="s"/>
      <c r="F21" s="714" t="s"/>
      <c r="G21" s="897" t="s"/>
      <c r="H21" s="898" t="s"/>
      <c r="I21" s="601" t="s"/>
      <c r="J21" s="882" t="s"/>
      <c r="K21" s="882" t="s"/>
      <c r="L21" s="877" t="s"/>
      <c r="M21" s="601" t="s"/>
      <c r="N21" s="601" t="s"/>
      <c r="O21" s="601" t="s"/>
      <c r="P21" s="601" t="s"/>
      <c r="Q21" s="601" t="s"/>
      <c r="R21" s="601" t="s"/>
      <c r="S21" s="601" t="s"/>
      <c r="T21" s="601" t="s"/>
      <c r="U21" s="601" t="s"/>
      <c r="V21" s="601" t="s"/>
      <c r="W21" s="892" t="s"/>
      <c r="X21" s="892" t="s"/>
      <c r="Y21" s="601" t="s"/>
      <c r="Z21" s="601" t="s"/>
      <c r="AA21" s="601" t="s"/>
      <c r="AB21" s="601" t="s"/>
      <c r="AC21" s="884" t="s"/>
      <c r="AD21" s="884" t="s"/>
      <c r="AE21" s="884" t="s"/>
      <c r="AF21" s="884" t="s"/>
    </row>
    <row r="22" spans="1:32" customHeight="false">
      <c r="A22" s="714">
        <v>1</v>
      </c>
      <c r="B22" s="899" t="s">
        <v>2187</v>
      </c>
      <c r="C22" s="886" t="s">
        <v>2188</v>
      </c>
      <c r="D22" s="601" t="s"/>
      <c r="E22" s="128" t="s">
        <v>32</v>
      </c>
      <c r="F22" s="128">
        <v>11</v>
      </c>
      <c r="G22" s="900">
        <v>20200</v>
      </c>
      <c r="H22" s="875">
        <v>222200</v>
      </c>
      <c r="I22" s="601" t="s"/>
      <c r="J22" s="882" t="s"/>
      <c r="K22" s="882">
        <f>=MIN(O22,S22,W22)</f>
        <v>250</v>
      </c>
      <c r="L22" s="877">
        <f>=F22*K22</f>
        <v>2750</v>
      </c>
      <c r="M22" s="883" t="s">
        <v>2189</v>
      </c>
      <c r="N22" s="601" t="s">
        <v>2190</v>
      </c>
      <c r="O22" s="601">
        <v>260</v>
      </c>
      <c r="P22" s="601">
        <f>=F22*O22</f>
        <v>2860</v>
      </c>
      <c r="Q22" s="883" t="s">
        <v>2191</v>
      </c>
      <c r="R22" s="601" t="s">
        <v>2192</v>
      </c>
      <c r="S22" s="601">
        <v>250</v>
      </c>
      <c r="T22" s="601">
        <f>=F22*S22</f>
        <v>2750</v>
      </c>
      <c r="U22" s="883" t="s">
        <v>2193</v>
      </c>
      <c r="V22" s="601" t="s"/>
      <c r="W22" s="601">
        <v>300</v>
      </c>
      <c r="X22" s="601">
        <f>=F22*W22</f>
        <v>3300</v>
      </c>
      <c r="Y22" s="601" t="s"/>
      <c r="Z22" s="601" t="s"/>
      <c r="AA22" s="601" t="s"/>
      <c r="AB22" s="601" t="s"/>
      <c r="AC22" s="884" t="s"/>
      <c r="AD22" s="884" t="s"/>
      <c r="AE22" s="884" t="s"/>
      <c r="AF22" s="884" t="s"/>
    </row>
    <row r="23" spans="1:32" customHeight="false">
      <c r="A23" s="714">
        <v>2</v>
      </c>
      <c r="B23" s="899" t="s">
        <v>2194</v>
      </c>
      <c r="C23" s="886" t="s">
        <v>2195</v>
      </c>
      <c r="D23" s="601" t="s"/>
      <c r="E23" s="128" t="s">
        <v>36</v>
      </c>
      <c r="F23" s="128">
        <v>1</v>
      </c>
      <c r="G23" s="900">
        <v>7700</v>
      </c>
      <c r="H23" s="875">
        <v>7700</v>
      </c>
      <c r="I23" s="601" t="s"/>
      <c r="J23" s="882" t="s"/>
      <c r="K23" s="882">
        <f>=MIN(O23,S23,W23)</f>
        <v>3520</v>
      </c>
      <c r="L23" s="877">
        <f>=F23*K23</f>
        <v>3520</v>
      </c>
      <c r="M23" s="883" t="s">
        <v>2196</v>
      </c>
      <c r="N23" s="601" t="s">
        <v>2190</v>
      </c>
      <c r="O23" s="601">
        <v>11680</v>
      </c>
      <c r="P23" s="601">
        <f>=F23*O23</f>
        <v>11680</v>
      </c>
      <c r="Q23" s="883" t="s">
        <v>2197</v>
      </c>
      <c r="R23" s="601" t="s">
        <v>2192</v>
      </c>
      <c r="S23" s="601">
        <v>3520</v>
      </c>
      <c r="T23" s="601">
        <f>=F23*S23</f>
        <v>3520</v>
      </c>
      <c r="U23" s="883" t="s">
        <v>2193</v>
      </c>
      <c r="V23" s="601" t="s"/>
      <c r="W23" s="601">
        <v>42000</v>
      </c>
      <c r="X23" s="601">
        <f>=F23*W23</f>
        <v>42000</v>
      </c>
      <c r="Y23" s="601" t="s"/>
      <c r="Z23" s="601" t="s"/>
      <c r="AA23" s="601" t="s"/>
      <c r="AB23" s="601" t="s"/>
      <c r="AC23" s="884" t="s"/>
      <c r="AD23" s="884" t="s"/>
      <c r="AE23" s="884" t="s"/>
      <c r="AF23" s="884" t="s"/>
    </row>
    <row r="24" spans="1:32" customHeight="false">
      <c r="A24" s="714" t="s"/>
      <c r="B24" s="899" t="s">
        <v>2198</v>
      </c>
      <c r="C24" s="886" t="s">
        <v>2199</v>
      </c>
      <c r="D24" s="601" t="s"/>
      <c r="E24" s="128" t="s">
        <v>36</v>
      </c>
      <c r="F24" s="128">
        <v>1</v>
      </c>
      <c r="G24" s="900">
        <v>6100</v>
      </c>
      <c r="H24" s="875">
        <v>6100</v>
      </c>
      <c r="I24" s="601" t="s"/>
      <c r="J24" s="882" t="s"/>
      <c r="K24" s="882" t="s"/>
      <c r="L24" s="877" t="s"/>
      <c r="M24" s="883" t="s">
        <v>2200</v>
      </c>
      <c r="N24" s="601" t="s">
        <v>2201</v>
      </c>
      <c r="O24" s="601" t="s"/>
      <c r="P24" s="601" t="s"/>
      <c r="Q24" s="883" t="s">
        <v>2202</v>
      </c>
      <c r="R24" s="601" t="s">
        <v>2201</v>
      </c>
      <c r="S24" s="601" t="s"/>
      <c r="T24" s="601" t="s"/>
      <c r="U24" s="883" t="s">
        <v>2193</v>
      </c>
      <c r="V24" s="601" t="s">
        <v>2201</v>
      </c>
      <c r="W24" s="892" t="s"/>
      <c r="X24" s="892" t="s"/>
      <c r="Y24" s="601" t="s"/>
      <c r="Z24" s="601" t="s"/>
      <c r="AA24" s="601" t="s"/>
      <c r="AB24" s="601" t="s"/>
      <c r="AC24" s="884" t="s"/>
      <c r="AD24" s="884" t="s"/>
      <c r="AE24" s="884" t="s"/>
      <c r="AF24" s="884" t="s"/>
    </row>
    <row r="25" spans="1:32" customHeight="false">
      <c r="A25" s="873" t="s">
        <v>572</v>
      </c>
      <c r="B25" s="901" t="s">
        <v>2203</v>
      </c>
      <c r="C25" s="76" t="s"/>
      <c r="D25" s="714" t="s"/>
      <c r="E25" s="714" t="s"/>
      <c r="F25" s="714" t="s"/>
      <c r="G25" s="714" t="s"/>
      <c r="H25" s="902" t="s"/>
      <c r="I25" s="903" t="s"/>
      <c r="J25" s="904" t="s"/>
      <c r="K25" s="904" t="s"/>
      <c r="L25" s="905" t="s"/>
      <c r="M25" s="888" t="s"/>
      <c r="N25" s="888" t="s"/>
      <c r="O25" s="888" t="s"/>
      <c r="P25" s="888" t="s"/>
      <c r="Q25" s="888" t="s"/>
      <c r="R25" s="888" t="s"/>
      <c r="S25" s="888" t="s"/>
      <c r="T25" s="888" t="s"/>
      <c r="U25" s="888" t="s"/>
      <c r="V25" s="888" t="s"/>
      <c r="W25" s="888" t="s"/>
      <c r="X25" s="888" t="s"/>
      <c r="Y25" s="888" t="s"/>
      <c r="Z25" s="888" t="s"/>
      <c r="AA25" s="884" t="s"/>
      <c r="AB25" s="884" t="s"/>
      <c r="AC25" s="884" t="s"/>
      <c r="AD25" s="884" t="s"/>
      <c r="AE25" s="884" t="s"/>
      <c r="AF25" s="884" t="s"/>
    </row>
    <row r="26" spans="1:32" customHeight="false">
      <c r="A26" s="714">
        <v>1</v>
      </c>
      <c r="B26" s="899" t="s">
        <v>2204</v>
      </c>
      <c r="C26" s="886" t="s">
        <v>2205</v>
      </c>
      <c r="D26" s="714" t="s"/>
      <c r="E26" s="128" t="s">
        <v>36</v>
      </c>
      <c r="F26" s="128">
        <v>1</v>
      </c>
      <c r="G26" s="900">
        <v>347050</v>
      </c>
      <c r="H26" s="875">
        <v>347050</v>
      </c>
      <c r="I26" s="601" t="s"/>
      <c r="J26" s="882" t="s"/>
      <c r="K26" s="882">
        <f>=MIN(O26,S26,W26)</f>
        <v>179000</v>
      </c>
      <c r="L26" s="877">
        <f>=F26*K26</f>
        <v>179000</v>
      </c>
      <c r="M26" s="90" t="s"/>
      <c r="N26" s="601" t="s">
        <v>2149</v>
      </c>
      <c r="O26" s="881">
        <v>179000</v>
      </c>
      <c r="P26" s="601">
        <f>=F26*O26</f>
        <v>179000</v>
      </c>
      <c r="Q26" s="90" t="s">
        <v>2150</v>
      </c>
      <c r="R26" s="601" t="s"/>
      <c r="S26" s="601" t="s"/>
      <c r="T26" s="601" t="s"/>
      <c r="U26" s="883" t="s">
        <v>1164</v>
      </c>
      <c r="V26" s="601" t="s">
        <v>2151</v>
      </c>
      <c r="W26" s="601">
        <v>310000</v>
      </c>
      <c r="X26" s="601">
        <f>=F26*W26</f>
        <v>310000</v>
      </c>
      <c r="Y26" s="883" t="s">
        <v>2206</v>
      </c>
      <c r="Z26" s="601" t="s">
        <v>2207</v>
      </c>
      <c r="AA26" s="884" t="s"/>
      <c r="AB26" s="884" t="s"/>
      <c r="AC26" s="884" t="s"/>
      <c r="AD26" s="884" t="s"/>
      <c r="AE26" s="884" t="s"/>
      <c r="AF26" s="884" t="s"/>
    </row>
    <row r="27" spans="1:32" customHeight="false">
      <c r="A27" s="714">
        <v>2</v>
      </c>
      <c r="B27" s="886" t="s">
        <v>2208</v>
      </c>
      <c r="C27" s="886" t="s">
        <v>2209</v>
      </c>
      <c r="D27" s="714" t="s"/>
      <c r="E27" s="128" t="s">
        <v>36</v>
      </c>
      <c r="F27" s="128">
        <v>1</v>
      </c>
      <c r="G27" s="900">
        <v>30000</v>
      </c>
      <c r="H27" s="875">
        <v>30000</v>
      </c>
      <c r="I27" s="903" t="s"/>
      <c r="J27" s="904" t="s"/>
      <c r="K27" s="882">
        <f>=MIN(O27,S27,W27)</f>
        <v>28458</v>
      </c>
      <c r="L27" s="877">
        <f>=F27*K27</f>
        <v>28458</v>
      </c>
      <c r="M27" s="883" t="s">
        <v>2169</v>
      </c>
      <c r="N27" s="888" t="s"/>
      <c r="O27" s="881">
        <v>28458</v>
      </c>
      <c r="P27" s="881">
        <f>=F27*O27</f>
        <v>28458</v>
      </c>
      <c r="Q27" s="883" t="s">
        <v>2170</v>
      </c>
      <c r="R27" s="888" t="s"/>
      <c r="S27" s="888" t="s"/>
      <c r="T27" s="888" t="s"/>
      <c r="U27" s="883" t="s">
        <v>2171</v>
      </c>
      <c r="V27" s="888" t="s"/>
      <c r="W27" s="888" t="s"/>
      <c r="X27" s="888" t="s"/>
      <c r="Y27" s="883" t="s">
        <v>2172</v>
      </c>
      <c r="Z27" s="888" t="s"/>
      <c r="AA27" s="884" t="s"/>
      <c r="AB27" s="884" t="s"/>
      <c r="AC27" s="884" t="s"/>
      <c r="AD27" s="884" t="s"/>
      <c r="AE27" s="884" t="s"/>
      <c r="AF27" s="884" t="s"/>
    </row>
    <row r="28" spans="1:32" customHeight="false">
      <c r="A28" s="873" t="s">
        <v>811</v>
      </c>
      <c r="B28" s="901" t="s">
        <v>452</v>
      </c>
      <c r="C28" s="76" t="s"/>
      <c r="D28" s="714" t="s"/>
      <c r="E28" s="714" t="s"/>
      <c r="F28" s="714" t="s"/>
      <c r="G28" s="714" t="s"/>
      <c r="H28" s="902" t="s"/>
      <c r="I28" s="903" t="s"/>
      <c r="J28" s="904" t="s"/>
      <c r="K28" s="904" t="s"/>
      <c r="L28" s="905" t="s"/>
      <c r="M28" s="888" t="s"/>
      <c r="N28" s="888" t="s"/>
      <c r="O28" s="888" t="s"/>
      <c r="P28" s="888" t="s"/>
      <c r="Q28" s="888" t="s"/>
      <c r="R28" s="888" t="s"/>
      <c r="S28" s="888" t="s"/>
      <c r="T28" s="888" t="s"/>
      <c r="U28" s="888" t="s"/>
      <c r="V28" s="888" t="s"/>
      <c r="W28" s="888" t="s"/>
      <c r="X28" s="888" t="s"/>
      <c r="Y28" s="888" t="s"/>
      <c r="Z28" s="888" t="s"/>
      <c r="AA28" s="884" t="s"/>
      <c r="AB28" s="884" t="s"/>
      <c r="AC28" s="884" t="s"/>
      <c r="AD28" s="884" t="s"/>
      <c r="AE28" s="884" t="s"/>
      <c r="AF28" s="884" t="s"/>
    </row>
    <row r="29" spans="1:32" customHeight="false">
      <c r="A29" s="714">
        <v>1</v>
      </c>
      <c r="B29" s="899" t="s">
        <v>2210</v>
      </c>
      <c r="C29" s="886" t="s">
        <v>2211</v>
      </c>
      <c r="D29" s="714" t="s"/>
      <c r="E29" s="128" t="s">
        <v>36</v>
      </c>
      <c r="F29" s="128">
        <v>1</v>
      </c>
      <c r="G29" s="900">
        <v>347050</v>
      </c>
      <c r="H29" s="875">
        <v>347050</v>
      </c>
      <c r="I29" s="903" t="s"/>
      <c r="J29" s="904" t="s"/>
      <c r="K29" s="882">
        <f>=MIN(O29,S29,W29)</f>
        <v>179000</v>
      </c>
      <c r="L29" s="877">
        <f>=F29*K29</f>
        <v>179000</v>
      </c>
      <c r="M29" s="90" t="s"/>
      <c r="N29" s="601" t="s">
        <v>2149</v>
      </c>
      <c r="O29" s="881">
        <v>179000</v>
      </c>
      <c r="P29" s="601">
        <f>=F29*O29</f>
        <v>179000</v>
      </c>
      <c r="Q29" s="90" t="s">
        <v>2150</v>
      </c>
      <c r="R29" s="601" t="s"/>
      <c r="S29" s="601" t="s"/>
      <c r="T29" s="601" t="s"/>
      <c r="U29" s="883" t="s">
        <v>1164</v>
      </c>
      <c r="V29" s="601" t="s">
        <v>2151</v>
      </c>
      <c r="W29" s="601">
        <v>490000</v>
      </c>
      <c r="X29" s="884">
        <f>=F29*W29</f>
        <v>490000</v>
      </c>
      <c r="Y29" s="883" t="s">
        <v>2206</v>
      </c>
      <c r="Z29" s="601" t="s">
        <v>2207</v>
      </c>
      <c r="AA29" s="884" t="s"/>
      <c r="AB29" s="884" t="s"/>
      <c r="AC29" s="884" t="s"/>
      <c r="AD29" s="884" t="s"/>
      <c r="AE29" s="884" t="s"/>
      <c r="AF29" s="884" t="s"/>
    </row>
    <row r="30" spans="1:32" customHeight="false">
      <c r="A30" s="714">
        <v>2</v>
      </c>
      <c r="B30" s="899" t="s">
        <v>2147</v>
      </c>
      <c r="C30" s="886" t="s">
        <v>2212</v>
      </c>
      <c r="D30" s="714" t="s"/>
      <c r="E30" s="128" t="s">
        <v>36</v>
      </c>
      <c r="F30" s="128">
        <v>5</v>
      </c>
      <c r="G30" s="900">
        <v>138621.61</v>
      </c>
      <c r="H30" s="875">
        <v>693108.05</v>
      </c>
      <c r="I30" s="903" t="s"/>
      <c r="J30" s="904" t="s"/>
      <c r="K30" s="882">
        <f>=MIN(O30,S30,W30)</f>
        <v>27000</v>
      </c>
      <c r="L30" s="877">
        <f>=F30*K30</f>
        <v>135000</v>
      </c>
      <c r="M30" s="90" t="s"/>
      <c r="N30" s="601" t="s">
        <v>2149</v>
      </c>
      <c r="O30" s="884">
        <v>27000</v>
      </c>
      <c r="P30" s="601">
        <f>=F30*O30</f>
        <v>135000</v>
      </c>
      <c r="Q30" s="90" t="s">
        <v>2150</v>
      </c>
      <c r="R30" s="601" t="s"/>
      <c r="S30" s="601" t="s"/>
      <c r="T30" s="601" t="s"/>
      <c r="U30" s="883" t="s">
        <v>1164</v>
      </c>
      <c r="V30" s="601" t="s">
        <v>2151</v>
      </c>
      <c r="W30" s="601">
        <v>65000</v>
      </c>
      <c r="X30" s="884">
        <f>=F30*W30</f>
        <v>325000</v>
      </c>
      <c r="Y30" s="883" t="s">
        <v>2206</v>
      </c>
      <c r="Z30" s="601" t="s">
        <v>2207</v>
      </c>
      <c r="AA30" s="884" t="s"/>
      <c r="AB30" s="884" t="s"/>
      <c r="AC30" s="884" t="s"/>
      <c r="AD30" s="884" t="s"/>
      <c r="AE30" s="884" t="s"/>
      <c r="AF30" s="884" t="s"/>
    </row>
    <row r="31" spans="1:32" customHeight="false">
      <c r="A31" s="714">
        <v>3</v>
      </c>
      <c r="B31" s="899" t="s">
        <v>1363</v>
      </c>
      <c r="C31" s="886" t="s">
        <v>2213</v>
      </c>
      <c r="D31" s="714" t="s"/>
      <c r="E31" s="128" t="s">
        <v>36</v>
      </c>
      <c r="F31" s="128">
        <v>9</v>
      </c>
      <c r="G31" s="900">
        <v>8700</v>
      </c>
      <c r="H31" s="875">
        <v>78300</v>
      </c>
      <c r="I31" s="903" t="s"/>
      <c r="J31" s="904" t="s"/>
      <c r="K31" s="882">
        <f>=MIN(O31,S31,W31)</f>
        <v>18392</v>
      </c>
      <c r="L31" s="877">
        <f>=F31*K31</f>
        <v>165528</v>
      </c>
      <c r="M31" s="90" t="s">
        <v>1313</v>
      </c>
      <c r="N31" s="601" t="s">
        <v>2214</v>
      </c>
      <c r="O31" s="881">
        <v>18392</v>
      </c>
      <c r="P31" s="601">
        <f>=F31*O31</f>
        <v>165528</v>
      </c>
      <c r="Q31" s="90" t="s"/>
      <c r="R31" s="601" t="s">
        <v>2149</v>
      </c>
      <c r="S31" s="884">
        <v>21072</v>
      </c>
      <c r="T31" s="884">
        <f>=F31*S31</f>
        <v>189648</v>
      </c>
      <c r="U31" s="883" t="s">
        <v>1164</v>
      </c>
      <c r="V31" s="601" t="s">
        <v>2151</v>
      </c>
      <c r="W31" s="601">
        <v>55000</v>
      </c>
      <c r="X31" s="884">
        <f>=F31*W31</f>
        <v>495000</v>
      </c>
      <c r="Y31" s="888" t="s"/>
      <c r="Z31" s="888" t="s"/>
      <c r="AA31" s="884" t="s"/>
      <c r="AB31" s="884" t="s"/>
      <c r="AC31" s="884" t="s"/>
      <c r="AD31" s="884" t="s"/>
      <c r="AE31" s="884" t="s"/>
      <c r="AF31" s="884" t="s"/>
    </row>
    <row r="32" spans="1:32" customHeight="false">
      <c r="A32" s="714">
        <v>4</v>
      </c>
      <c r="B32" s="899" t="s">
        <v>1107</v>
      </c>
      <c r="C32" s="886" t="s">
        <v>2215</v>
      </c>
      <c r="D32" s="714" t="s"/>
      <c r="E32" s="128" t="s">
        <v>36</v>
      </c>
      <c r="F32" s="128">
        <v>1</v>
      </c>
      <c r="G32" s="900">
        <v>28408.156</v>
      </c>
      <c r="H32" s="875">
        <v>28408.16</v>
      </c>
      <c r="I32" s="903" t="s"/>
      <c r="J32" s="904" t="s"/>
      <c r="K32" s="882">
        <f>=MIN(O32,S32,W32)</f>
        <v>96000</v>
      </c>
      <c r="L32" s="877">
        <f>=F32*K32</f>
        <v>96000</v>
      </c>
      <c r="M32" s="90" t="s">
        <v>1313</v>
      </c>
      <c r="N32" s="601" t="s">
        <v>2214</v>
      </c>
      <c r="O32" s="881">
        <v>136800</v>
      </c>
      <c r="P32" s="601">
        <f>=F32*O32</f>
        <v>136800</v>
      </c>
      <c r="Q32" s="90" t="s"/>
      <c r="R32" s="601" t="s">
        <v>2149</v>
      </c>
      <c r="S32" s="884">
        <v>96000</v>
      </c>
      <c r="T32" s="884">
        <f>=F32*S32</f>
        <v>96000</v>
      </c>
      <c r="U32" s="883" t="s">
        <v>1164</v>
      </c>
      <c r="V32" s="601" t="s">
        <v>2151</v>
      </c>
      <c r="W32" s="601">
        <v>167000</v>
      </c>
      <c r="X32" s="601">
        <f>=F32*W32</f>
        <v>167000</v>
      </c>
      <c r="Y32" s="883" t="s">
        <v>2574</v>
      </c>
      <c r="Z32" s="888" t="s"/>
      <c r="AA32" s="884" t="s"/>
      <c r="AB32" s="884" t="s"/>
      <c r="AC32" s="884" t="s"/>
      <c r="AD32" s="884" t="s"/>
      <c r="AE32" s="884" t="s"/>
      <c r="AF32" s="884" t="s"/>
    </row>
    <row r="33" spans="1:32" customHeight="false">
      <c r="A33" s="714">
        <v>5</v>
      </c>
      <c r="B33" s="899" t="s">
        <v>1107</v>
      </c>
      <c r="C33" s="886" t="s">
        <v>2216</v>
      </c>
      <c r="D33" s="714" t="s"/>
      <c r="E33" s="128" t="s">
        <v>36</v>
      </c>
      <c r="F33" s="128">
        <v>2</v>
      </c>
      <c r="G33" s="900">
        <v>23400</v>
      </c>
      <c r="H33" s="875">
        <v>46800</v>
      </c>
      <c r="I33" s="903" t="s"/>
      <c r="J33" s="904" t="s"/>
      <c r="K33" s="882">
        <f>=MIN(O33,S33,W33)</f>
        <v>68000</v>
      </c>
      <c r="L33" s="877">
        <f>=F33*K33</f>
        <v>136000</v>
      </c>
      <c r="M33" s="90" t="s">
        <v>1313</v>
      </c>
      <c r="N33" s="601" t="s">
        <v>2214</v>
      </c>
      <c r="O33" s="881">
        <v>76320</v>
      </c>
      <c r="P33" s="601">
        <f>=F33*O33</f>
        <v>152640</v>
      </c>
      <c r="Q33" s="90" t="s"/>
      <c r="R33" s="601" t="s">
        <v>2149</v>
      </c>
      <c r="S33" s="884">
        <v>68000</v>
      </c>
      <c r="T33" s="884">
        <f>=F33*S33</f>
        <v>136000</v>
      </c>
      <c r="U33" s="883" t="s">
        <v>1164</v>
      </c>
      <c r="V33" s="601" t="s">
        <v>2151</v>
      </c>
      <c r="W33" s="601">
        <v>115000</v>
      </c>
      <c r="X33" s="601">
        <f>=F33*W33</f>
        <v>230000</v>
      </c>
      <c r="Y33" s="883" t="s">
        <v>2574</v>
      </c>
      <c r="Z33" s="888" t="s"/>
      <c r="AA33" s="884" t="s"/>
      <c r="AB33" s="884" t="s"/>
      <c r="AC33" s="884" t="s"/>
      <c r="AD33" s="884" t="s"/>
      <c r="AE33" s="884" t="s"/>
      <c r="AF33" s="884" t="s"/>
    </row>
    <row r="34" spans="1:32" customHeight="false">
      <c r="A34" s="714">
        <v>6</v>
      </c>
      <c r="B34" s="886" t="s">
        <v>2208</v>
      </c>
      <c r="C34" s="886" t="s">
        <v>2209</v>
      </c>
      <c r="D34" s="714" t="s"/>
      <c r="E34" s="128" t="s">
        <v>36</v>
      </c>
      <c r="F34" s="128">
        <v>9</v>
      </c>
      <c r="G34" s="900">
        <v>30000</v>
      </c>
      <c r="H34" s="875">
        <v>270000</v>
      </c>
      <c r="I34" s="903" t="s"/>
      <c r="J34" s="904" t="s"/>
      <c r="K34" s="882">
        <f>=MIN(O34,S34,W34)</f>
        <v>28458</v>
      </c>
      <c r="L34" s="877">
        <f>=F34*K34</f>
        <v>256122</v>
      </c>
      <c r="M34" s="883" t="s">
        <v>2169</v>
      </c>
      <c r="N34" s="888" t="s"/>
      <c r="O34" s="881">
        <v>28458</v>
      </c>
      <c r="P34" s="881">
        <f>=F34*O34</f>
        <v>256122</v>
      </c>
      <c r="Q34" s="883" t="s">
        <v>2170</v>
      </c>
      <c r="R34" s="888" t="s"/>
      <c r="S34" s="888" t="s"/>
      <c r="T34" s="888" t="s"/>
      <c r="U34" s="883" t="s">
        <v>2171</v>
      </c>
      <c r="V34" s="888" t="s"/>
      <c r="W34" s="888" t="s"/>
      <c r="X34" s="888" t="s"/>
      <c r="Y34" s="883" t="s">
        <v>2172</v>
      </c>
      <c r="Z34" s="888" t="s"/>
      <c r="AA34" s="884" t="s"/>
      <c r="AB34" s="884" t="s"/>
      <c r="AC34" s="884" t="s"/>
      <c r="AD34" s="884" t="s"/>
      <c r="AE34" s="884" t="s"/>
      <c r="AF34" s="884" t="s"/>
    </row>
    <row r="35" spans="1:32" customHeight="false">
      <c r="A35" s="873" t="s">
        <v>830</v>
      </c>
      <c r="B35" s="901" t="s">
        <v>398</v>
      </c>
      <c r="C35" s="76" t="s"/>
      <c r="D35" s="714" t="s"/>
      <c r="E35" s="714" t="s"/>
      <c r="F35" s="714" t="s"/>
      <c r="G35" s="714" t="s"/>
      <c r="H35" s="902" t="s"/>
      <c r="I35" s="903" t="s"/>
      <c r="J35" s="904" t="s"/>
      <c r="K35" s="904" t="s"/>
      <c r="L35" s="905" t="s"/>
      <c r="M35" s="888" t="s"/>
      <c r="N35" s="888" t="s"/>
      <c r="O35" s="888" t="s"/>
      <c r="P35" s="888" t="s"/>
      <c r="Q35" s="888" t="s"/>
      <c r="R35" s="888" t="s"/>
      <c r="S35" s="888" t="s"/>
      <c r="T35" s="888" t="s"/>
      <c r="U35" s="888" t="s"/>
      <c r="V35" s="888" t="s"/>
      <c r="W35" s="888" t="s"/>
      <c r="X35" s="888" t="s"/>
      <c r="Y35" s="888" t="s"/>
      <c r="Z35" s="888" t="s"/>
      <c r="AA35" s="884" t="s"/>
      <c r="AB35" s="884" t="s"/>
      <c r="AC35" s="884" t="s"/>
      <c r="AD35" s="884" t="s"/>
      <c r="AE35" s="884" t="s"/>
      <c r="AF35" s="884" t="s"/>
    </row>
    <row r="36" spans="1:32" customHeight="false">
      <c r="A36" s="714">
        <v>1</v>
      </c>
      <c r="B36" s="899" t="s">
        <v>2217</v>
      </c>
      <c r="C36" s="886" t="s">
        <v>2218</v>
      </c>
      <c r="D36" s="714" t="s"/>
      <c r="E36" s="128" t="s">
        <v>36</v>
      </c>
      <c r="F36" s="128">
        <v>1</v>
      </c>
      <c r="G36" s="900">
        <v>347050</v>
      </c>
      <c r="H36" s="875">
        <v>347050</v>
      </c>
      <c r="I36" s="903" t="s"/>
      <c r="J36" s="904" t="s"/>
      <c r="K36" s="882">
        <f>=MIN(O36,S36,W36)</f>
        <v>190000</v>
      </c>
      <c r="L36" s="877">
        <f>=F36*K36</f>
        <v>190000</v>
      </c>
      <c r="M36" s="90" t="s">
        <v>2219</v>
      </c>
      <c r="N36" s="601" t="s">
        <v>2220</v>
      </c>
      <c r="O36" s="601" t="s"/>
      <c r="P36" s="601" t="s"/>
      <c r="Q36" s="90" t="s"/>
      <c r="R36" s="601" t="s">
        <v>2149</v>
      </c>
      <c r="S36" s="881">
        <v>190000</v>
      </c>
      <c r="T36" s="884">
        <f>=F36*S36</f>
        <v>190000</v>
      </c>
      <c r="U36" s="883" t="s">
        <v>1164</v>
      </c>
      <c r="V36" s="601" t="s">
        <v>2151</v>
      </c>
      <c r="W36" s="601">
        <v>390000</v>
      </c>
      <c r="X36" s="601">
        <f>=F36*W36</f>
        <v>390000</v>
      </c>
      <c r="Y36" s="883" t="s">
        <v>2206</v>
      </c>
      <c r="Z36" s="601" t="s">
        <v>2207</v>
      </c>
      <c r="AA36" s="884" t="s"/>
      <c r="AB36" s="884" t="s"/>
      <c r="AC36" s="884" t="s"/>
      <c r="AD36" s="884" t="s"/>
      <c r="AE36" s="884" t="s"/>
      <c r="AF36" s="884" t="s"/>
    </row>
    <row r="37" spans="1:32" customHeight="false">
      <c r="A37" s="714">
        <v>2</v>
      </c>
      <c r="B37" s="899" t="s">
        <v>2147</v>
      </c>
      <c r="C37" s="886" t="s">
        <v>2212</v>
      </c>
      <c r="D37" s="714" t="s"/>
      <c r="E37" s="128" t="s">
        <v>36</v>
      </c>
      <c r="F37" s="128">
        <v>9</v>
      </c>
      <c r="G37" s="900">
        <v>138621.61</v>
      </c>
      <c r="H37" s="875">
        <v>1247594.49</v>
      </c>
      <c r="I37" s="903" t="s"/>
      <c r="J37" s="904" t="s"/>
      <c r="K37" s="882">
        <f>=MIN(O37,S37,W37)</f>
        <v>27000</v>
      </c>
      <c r="L37" s="877">
        <f>=F37*K37</f>
        <v>243000</v>
      </c>
      <c r="M37" s="90" t="s">
        <v>2219</v>
      </c>
      <c r="N37" s="601" t="s">
        <v>2220</v>
      </c>
      <c r="O37" s="601" t="s"/>
      <c r="P37" s="601" t="s"/>
      <c r="Q37" s="90" t="s"/>
      <c r="R37" s="601" t="s">
        <v>2149</v>
      </c>
      <c r="S37" s="884">
        <v>27000</v>
      </c>
      <c r="T37" s="884">
        <f>=F37*S37</f>
        <v>243000</v>
      </c>
      <c r="U37" s="883" t="s">
        <v>1164</v>
      </c>
      <c r="V37" s="601" t="s">
        <v>2151</v>
      </c>
      <c r="W37" s="601">
        <v>65000</v>
      </c>
      <c r="X37" s="601">
        <f>=F37*W37</f>
        <v>585000</v>
      </c>
      <c r="Y37" s="883" t="s">
        <v>2206</v>
      </c>
      <c r="Z37" s="601" t="s">
        <v>2207</v>
      </c>
      <c r="AA37" s="884" t="s"/>
      <c r="AB37" s="884" t="s"/>
      <c r="AC37" s="884" t="s"/>
      <c r="AD37" s="884" t="s"/>
      <c r="AE37" s="884" t="s"/>
      <c r="AF37" s="884" t="s"/>
    </row>
    <row r="38" spans="1:32" customHeight="false">
      <c r="A38" s="714">
        <v>4</v>
      </c>
      <c r="B38" s="899" t="s">
        <v>2221</v>
      </c>
      <c r="C38" s="886" t="s">
        <v>2222</v>
      </c>
      <c r="D38" s="714" t="s"/>
      <c r="E38" s="128" t="s">
        <v>36</v>
      </c>
      <c r="F38" s="128">
        <v>8</v>
      </c>
      <c r="G38" s="900">
        <v>71998</v>
      </c>
      <c r="H38" s="875">
        <v>575984</v>
      </c>
      <c r="I38" s="903" t="s"/>
      <c r="J38" s="904" t="s"/>
      <c r="K38" s="882">
        <f>=MIN(O38,S38,W38)</f>
        <v>5000</v>
      </c>
      <c r="L38" s="877">
        <f>=F38*K38</f>
        <v>40000</v>
      </c>
      <c r="M38" s="906" t="s">
        <v>2223</v>
      </c>
      <c r="N38" s="601" t="s">
        <v>1312</v>
      </c>
      <c r="O38" s="907">
        <v>5000</v>
      </c>
      <c r="P38" s="881">
        <f>=F38*O38</f>
        <v>40000</v>
      </c>
      <c r="Q38" s="90" t="s">
        <v>1313</v>
      </c>
      <c r="R38" s="601" t="s">
        <v>2214</v>
      </c>
      <c r="S38" s="881">
        <v>33710</v>
      </c>
      <c r="T38" s="884">
        <f>=F38*S38</f>
        <v>269680</v>
      </c>
      <c r="U38" s="906" t="s">
        <v>1315</v>
      </c>
      <c r="V38" s="601" t="s">
        <v>2224</v>
      </c>
      <c r="W38" s="884">
        <v>45825</v>
      </c>
      <c r="X38" s="884">
        <f>=F38*W38</f>
        <v>366600</v>
      </c>
      <c r="Y38" s="888" t="s"/>
      <c r="Z38" s="888" t="s"/>
      <c r="AA38" s="884" t="s"/>
      <c r="AB38" s="884" t="s"/>
      <c r="AC38" s="884" t="s"/>
      <c r="AD38" s="884" t="s"/>
      <c r="AE38" s="884" t="s"/>
      <c r="AF38" s="884" t="s"/>
    </row>
    <row r="39" spans="1:32" customHeight="false">
      <c r="A39" s="714">
        <v>5</v>
      </c>
      <c r="B39" s="899" t="s">
        <v>2225</v>
      </c>
      <c r="C39" s="886" t="s">
        <v>2226</v>
      </c>
      <c r="D39" s="714" t="s"/>
      <c r="E39" s="128" t="s">
        <v>36</v>
      </c>
      <c r="F39" s="128">
        <v>10</v>
      </c>
      <c r="G39" s="900">
        <v>44000</v>
      </c>
      <c r="H39" s="875">
        <v>440000</v>
      </c>
      <c r="I39" s="903" t="s"/>
      <c r="J39" s="904" t="s"/>
      <c r="K39" s="882">
        <f>=MIN(O39,S39,W39)</f>
        <v>26500</v>
      </c>
      <c r="L39" s="877">
        <f>=F39*K39</f>
        <v>265000</v>
      </c>
      <c r="M39" s="906" t="s">
        <v>2223</v>
      </c>
      <c r="N39" s="601" t="s">
        <v>1312</v>
      </c>
      <c r="O39" s="907">
        <v>53000</v>
      </c>
      <c r="P39" s="881">
        <f>=F39*O39</f>
        <v>530000</v>
      </c>
      <c r="Q39" s="90" t="s">
        <v>1313</v>
      </c>
      <c r="R39" s="601" t="s">
        <v>2214</v>
      </c>
      <c r="S39" s="881">
        <v>26500</v>
      </c>
      <c r="T39" s="884">
        <f>=F39*S39</f>
        <v>265000</v>
      </c>
      <c r="U39" s="906" t="s">
        <v>1315</v>
      </c>
      <c r="V39" s="601" t="s">
        <v>2224</v>
      </c>
      <c r="W39" s="884">
        <v>27243</v>
      </c>
      <c r="X39" s="884">
        <f>=F39*W39</f>
        <v>272430</v>
      </c>
      <c r="Y39" s="888" t="s"/>
      <c r="Z39" s="888" t="s"/>
      <c r="AA39" s="884" t="s"/>
      <c r="AB39" s="884" t="s"/>
      <c r="AC39" s="884" t="s"/>
      <c r="AD39" s="884" t="s"/>
      <c r="AE39" s="884" t="s"/>
      <c r="AF39" s="884" t="s"/>
    </row>
    <row r="40" spans="1:32" customHeight="false">
      <c r="A40" s="714">
        <v>6</v>
      </c>
      <c r="B40" s="899" t="s">
        <v>2227</v>
      </c>
      <c r="C40" s="886" t="s">
        <v>2228</v>
      </c>
      <c r="D40" s="714" t="s"/>
      <c r="E40" s="128" t="s">
        <v>36</v>
      </c>
      <c r="F40" s="128">
        <v>6</v>
      </c>
      <c r="G40" s="900">
        <v>30000</v>
      </c>
      <c r="H40" s="875">
        <v>180000</v>
      </c>
      <c r="I40" s="903" t="s"/>
      <c r="J40" s="904" t="s"/>
      <c r="K40" s="882">
        <f>=MIN(O40,S40,W40)</f>
        <v>12585</v>
      </c>
      <c r="L40" s="877">
        <f>=F40*K40</f>
        <v>75510</v>
      </c>
      <c r="M40" s="906" t="s">
        <v>2223</v>
      </c>
      <c r="N40" s="601" t="s">
        <v>1312</v>
      </c>
      <c r="O40" s="907">
        <v>35000</v>
      </c>
      <c r="P40" s="881">
        <f>=F40*O40</f>
        <v>210000</v>
      </c>
      <c r="Q40" s="90" t="s">
        <v>1313</v>
      </c>
      <c r="R40" s="601" t="s">
        <v>2214</v>
      </c>
      <c r="S40" s="881">
        <v>12585</v>
      </c>
      <c r="T40" s="884">
        <f>=F40*S40</f>
        <v>75510</v>
      </c>
      <c r="U40" s="906" t="s">
        <v>1315</v>
      </c>
      <c r="V40" s="601" t="s">
        <v>2224</v>
      </c>
      <c r="W40" s="884">
        <v>23085</v>
      </c>
      <c r="X40" s="884">
        <f>=F40*W40</f>
        <v>138510</v>
      </c>
      <c r="Y40" s="888" t="s"/>
      <c r="Z40" s="888" t="s"/>
      <c r="AA40" s="884" t="s"/>
      <c r="AB40" s="884" t="s"/>
      <c r="AC40" s="884" t="s"/>
      <c r="AD40" s="884" t="s"/>
      <c r="AE40" s="884" t="s"/>
      <c r="AF40" s="884" t="s"/>
    </row>
    <row r="41" spans="1:32" customHeight="false">
      <c r="A41" s="714">
        <v>7</v>
      </c>
      <c r="B41" s="899" t="s">
        <v>2229</v>
      </c>
      <c r="C41" s="886" t="s">
        <v>2230</v>
      </c>
      <c r="D41" s="714" t="s"/>
      <c r="E41" s="128" t="s">
        <v>36</v>
      </c>
      <c r="F41" s="128">
        <v>2</v>
      </c>
      <c r="G41" s="900">
        <v>38300</v>
      </c>
      <c r="H41" s="875">
        <v>76600</v>
      </c>
      <c r="I41" s="903" t="s"/>
      <c r="J41" s="904" t="s"/>
      <c r="K41" s="882">
        <f>=MIN(O41,S41,W41)</f>
        <v>45980</v>
      </c>
      <c r="L41" s="877">
        <f>=F41*K41</f>
        <v>91960</v>
      </c>
      <c r="M41" s="906" t="s">
        <v>2223</v>
      </c>
      <c r="N41" s="601" t="s">
        <v>1312</v>
      </c>
      <c r="O41" s="907">
        <v>100000</v>
      </c>
      <c r="P41" s="881">
        <f>=F41*O41</f>
        <v>200000</v>
      </c>
      <c r="Q41" s="90" t="s">
        <v>1313</v>
      </c>
      <c r="R41" s="601" t="s">
        <v>2214</v>
      </c>
      <c r="S41" s="881">
        <v>45980</v>
      </c>
      <c r="T41" s="884">
        <f>=F41*S41</f>
        <v>91960</v>
      </c>
      <c r="U41" s="906" t="s">
        <v>1315</v>
      </c>
      <c r="V41" s="601" t="s">
        <v>2224</v>
      </c>
      <c r="W41" s="884">
        <v>63800</v>
      </c>
      <c r="X41" s="884">
        <f>=F41*W41</f>
        <v>127600</v>
      </c>
      <c r="Y41" s="888" t="s"/>
      <c r="Z41" s="888" t="s"/>
      <c r="AA41" s="884" t="s"/>
      <c r="AB41" s="884" t="s"/>
      <c r="AC41" s="884" t="s"/>
      <c r="AD41" s="884" t="s"/>
      <c r="AE41" s="884" t="s"/>
      <c r="AF41" s="884" t="s"/>
    </row>
    <row r="42" spans="1:32" customHeight="false">
      <c r="A42" s="714">
        <v>8</v>
      </c>
      <c r="B42" s="899" t="s">
        <v>1363</v>
      </c>
      <c r="C42" s="886" t="s">
        <v>2231</v>
      </c>
      <c r="D42" s="714" t="s"/>
      <c r="E42" s="128" t="s">
        <v>36</v>
      </c>
      <c r="F42" s="128">
        <v>4</v>
      </c>
      <c r="G42" s="900">
        <v>8700</v>
      </c>
      <c r="H42" s="875">
        <v>34800</v>
      </c>
      <c r="I42" s="903" t="s"/>
      <c r="J42" s="904" t="s"/>
      <c r="K42" s="882">
        <f>=MIN(O42,S42,W42)</f>
        <v>11000</v>
      </c>
      <c r="L42" s="877">
        <f>=F42*K42</f>
        <v>44000</v>
      </c>
      <c r="M42" s="90" t="s">
        <v>1313</v>
      </c>
      <c r="N42" s="601" t="s">
        <v>2214</v>
      </c>
      <c r="O42" s="881">
        <v>16362</v>
      </c>
      <c r="P42" s="881">
        <f>=F42*O42</f>
        <v>65448</v>
      </c>
      <c r="Q42" s="90" t="s"/>
      <c r="R42" s="601" t="s">
        <v>2149</v>
      </c>
      <c r="S42" s="884">
        <v>11000</v>
      </c>
      <c r="T42" s="884">
        <f>=F42*S42</f>
        <v>44000</v>
      </c>
      <c r="U42" s="883" t="s">
        <v>1164</v>
      </c>
      <c r="V42" s="601" t="s">
        <v>2151</v>
      </c>
      <c r="W42" s="601">
        <v>20000</v>
      </c>
      <c r="X42" s="601">
        <f>=F42*W42</f>
        <v>80000</v>
      </c>
      <c r="Y42" s="888" t="s"/>
      <c r="Z42" s="888" t="s"/>
      <c r="AA42" s="884" t="s"/>
      <c r="AB42" s="884" t="s"/>
      <c r="AC42" s="884" t="s"/>
      <c r="AD42" s="884" t="s"/>
      <c r="AE42" s="884" t="s"/>
      <c r="AF42" s="884" t="s"/>
    </row>
    <row r="43" spans="1:32" customHeight="false">
      <c r="A43" s="714">
        <v>9</v>
      </c>
      <c r="B43" s="886" t="s">
        <v>2208</v>
      </c>
      <c r="C43" s="886" t="s">
        <v>2209</v>
      </c>
      <c r="D43" s="714" t="s"/>
      <c r="E43" s="128" t="s">
        <v>36</v>
      </c>
      <c r="F43" s="128">
        <v>4</v>
      </c>
      <c r="G43" s="900">
        <v>30000</v>
      </c>
      <c r="H43" s="875">
        <v>120000</v>
      </c>
      <c r="I43" s="903" t="s"/>
      <c r="J43" s="904" t="s"/>
      <c r="K43" s="882">
        <f>=MIN(O43,S43,W43)</f>
        <v>28458</v>
      </c>
      <c r="L43" s="877">
        <f>=F43*K43</f>
        <v>113832</v>
      </c>
      <c r="M43" s="883" t="s">
        <v>2169</v>
      </c>
      <c r="N43" s="888" t="s"/>
      <c r="O43" s="881">
        <v>28458</v>
      </c>
      <c r="P43" s="881">
        <f>=F43*O43</f>
        <v>113832</v>
      </c>
      <c r="Q43" s="883" t="s">
        <v>2170</v>
      </c>
      <c r="R43" s="888" t="s"/>
      <c r="S43" s="888" t="s"/>
      <c r="T43" s="888" t="s"/>
      <c r="U43" s="883" t="s">
        <v>2171</v>
      </c>
      <c r="V43" s="888" t="s"/>
      <c r="W43" s="888" t="s"/>
      <c r="X43" s="888" t="s"/>
      <c r="Y43" s="883" t="s">
        <v>2172</v>
      </c>
      <c r="Z43" s="888" t="s"/>
      <c r="AA43" s="884" t="s"/>
      <c r="AB43" s="884" t="s"/>
      <c r="AC43" s="884" t="s"/>
      <c r="AD43" s="884" t="s"/>
      <c r="AE43" s="884" t="s"/>
      <c r="AF43" s="884" t="s"/>
    </row>
    <row r="44" spans="1:32" customHeight="false">
      <c r="A44" s="873" t="s">
        <v>850</v>
      </c>
      <c r="B44" s="901" t="s">
        <v>831</v>
      </c>
      <c r="C44" s="76" t="s"/>
      <c r="D44" s="714" t="s"/>
      <c r="E44" s="714" t="s"/>
      <c r="F44" s="714" t="s"/>
      <c r="G44" s="714" t="s"/>
      <c r="H44" s="902" t="s"/>
      <c r="I44" s="903" t="s"/>
      <c r="J44" s="904" t="s"/>
      <c r="K44" s="904" t="s"/>
      <c r="L44" s="905" t="s"/>
      <c r="M44" s="888" t="s"/>
      <c r="N44" s="888" t="s"/>
      <c r="O44" s="888" t="s"/>
      <c r="P44" s="888" t="s"/>
      <c r="Q44" s="888" t="s"/>
      <c r="R44" s="888" t="s"/>
      <c r="S44" s="888" t="s"/>
      <c r="T44" s="888" t="s"/>
      <c r="U44" s="888" t="s"/>
      <c r="V44" s="888" t="s"/>
      <c r="W44" s="888" t="s"/>
      <c r="X44" s="888" t="s"/>
      <c r="Y44" s="888" t="s"/>
      <c r="Z44" s="888" t="s"/>
      <c r="AA44" s="884" t="s"/>
      <c r="AB44" s="884" t="s"/>
      <c r="AC44" s="884" t="s"/>
      <c r="AD44" s="884" t="s"/>
      <c r="AE44" s="884" t="s"/>
      <c r="AF44" s="884" t="s"/>
    </row>
    <row r="45" spans="1:32" customHeight="false">
      <c r="A45" s="714">
        <v>1</v>
      </c>
      <c r="B45" s="899" t="s">
        <v>2232</v>
      </c>
      <c r="C45" s="886" t="s">
        <v>2233</v>
      </c>
      <c r="D45" s="714" t="s"/>
      <c r="E45" s="128" t="s">
        <v>36</v>
      </c>
      <c r="F45" s="128">
        <v>1</v>
      </c>
      <c r="G45" s="900">
        <v>347050</v>
      </c>
      <c r="H45" s="875">
        <v>347050</v>
      </c>
      <c r="I45" s="903" t="s"/>
      <c r="J45" s="904" t="s"/>
      <c r="K45" s="882">
        <f>=MIN(O45,S45,W45)</f>
        <v>170000</v>
      </c>
      <c r="L45" s="877">
        <f>=F45*K45</f>
        <v>170000</v>
      </c>
      <c r="M45" s="90" t="s">
        <v>2219</v>
      </c>
      <c r="N45" s="601" t="s">
        <v>2220</v>
      </c>
      <c r="O45" s="601" t="s"/>
      <c r="P45" s="601" t="s"/>
      <c r="Q45" s="90" t="s"/>
      <c r="R45" s="601" t="s">
        <v>2149</v>
      </c>
      <c r="S45" s="881">
        <v>170000</v>
      </c>
      <c r="T45" s="884">
        <f>=F45*S45</f>
        <v>170000</v>
      </c>
      <c r="U45" s="883" t="s">
        <v>1164</v>
      </c>
      <c r="V45" s="601" t="s">
        <v>2151</v>
      </c>
      <c r="W45" s="601">
        <v>350000</v>
      </c>
      <c r="X45" s="601">
        <f>=F45*W45</f>
        <v>350000</v>
      </c>
      <c r="Y45" s="883" t="s">
        <v>2206</v>
      </c>
      <c r="Z45" s="601" t="s">
        <v>2207</v>
      </c>
      <c r="AA45" s="884" t="s"/>
      <c r="AB45" s="884" t="s"/>
      <c r="AC45" s="884" t="s"/>
      <c r="AD45" s="884" t="s"/>
      <c r="AE45" s="884" t="s"/>
      <c r="AF45" s="884" t="s"/>
    </row>
    <row r="46" spans="1:32" customHeight="false">
      <c r="A46" s="714">
        <v>2</v>
      </c>
      <c r="B46" s="899" t="s">
        <v>2147</v>
      </c>
      <c r="C46" s="886" t="s">
        <v>2212</v>
      </c>
      <c r="D46" s="714" t="s"/>
      <c r="E46" s="128" t="s">
        <v>36</v>
      </c>
      <c r="F46" s="128">
        <v>2</v>
      </c>
      <c r="G46" s="900">
        <v>138621.61</v>
      </c>
      <c r="H46" s="875">
        <v>277243.22</v>
      </c>
      <c r="I46" s="903" t="s"/>
      <c r="J46" s="904" t="s"/>
      <c r="K46" s="882">
        <f>=MIN(O46,S46,W46)</f>
        <v>27000</v>
      </c>
      <c r="L46" s="877">
        <f>=F46*K46</f>
        <v>54000</v>
      </c>
      <c r="M46" s="90" t="s">
        <v>2219</v>
      </c>
      <c r="N46" s="601" t="s">
        <v>2220</v>
      </c>
      <c r="O46" s="601" t="s"/>
      <c r="P46" s="601" t="s"/>
      <c r="Q46" s="90" t="s"/>
      <c r="R46" s="601" t="s">
        <v>2149</v>
      </c>
      <c r="S46" s="884">
        <v>27000</v>
      </c>
      <c r="T46" s="884">
        <f>=F46*S46</f>
        <v>54000</v>
      </c>
      <c r="U46" s="883" t="s">
        <v>1164</v>
      </c>
      <c r="V46" s="601" t="s">
        <v>2151</v>
      </c>
      <c r="W46" s="601">
        <v>65000</v>
      </c>
      <c r="X46" s="601">
        <f>=F46*W46</f>
        <v>130000</v>
      </c>
      <c r="Y46" s="883" t="s">
        <v>2206</v>
      </c>
      <c r="Z46" s="601" t="s">
        <v>2207</v>
      </c>
      <c r="AA46" s="884" t="s"/>
      <c r="AB46" s="884" t="s"/>
      <c r="AC46" s="884" t="s"/>
      <c r="AD46" s="884" t="s"/>
      <c r="AE46" s="884" t="s"/>
      <c r="AF46" s="884" t="s"/>
    </row>
    <row r="47" spans="1:32" customHeight="false">
      <c r="A47" s="714">
        <v>3</v>
      </c>
      <c r="B47" s="899" t="s">
        <v>1363</v>
      </c>
      <c r="C47" s="886" t="s">
        <v>2234</v>
      </c>
      <c r="D47" s="714" t="s"/>
      <c r="E47" s="128" t="s">
        <v>36</v>
      </c>
      <c r="F47" s="128">
        <v>2</v>
      </c>
      <c r="G47" s="900">
        <v>8700</v>
      </c>
      <c r="H47" s="875">
        <v>17400</v>
      </c>
      <c r="I47" s="903" t="s"/>
      <c r="J47" s="904" t="s"/>
      <c r="K47" s="882">
        <f>=MIN(O47,S47,W47)</f>
        <v>11000</v>
      </c>
      <c r="L47" s="877">
        <f>=F47*K47</f>
        <v>22000</v>
      </c>
      <c r="M47" s="90" t="s">
        <v>1313</v>
      </c>
      <c r="N47" s="601" t="s">
        <v>2214</v>
      </c>
      <c r="O47" s="881">
        <v>16362</v>
      </c>
      <c r="P47" s="881">
        <f>=F47*O47</f>
        <v>32724</v>
      </c>
      <c r="Q47" s="90" t="s"/>
      <c r="R47" s="601" t="s">
        <v>2149</v>
      </c>
      <c r="S47" s="884">
        <v>11000</v>
      </c>
      <c r="T47" s="884">
        <f>=F47*S47</f>
        <v>22000</v>
      </c>
      <c r="U47" s="883" t="s">
        <v>1164</v>
      </c>
      <c r="V47" s="601" t="s">
        <v>2151</v>
      </c>
      <c r="W47" s="601">
        <v>20000</v>
      </c>
      <c r="X47" s="601">
        <f>=F47*W47</f>
        <v>40000</v>
      </c>
      <c r="Y47" s="888" t="s"/>
      <c r="Z47" s="888" t="s"/>
      <c r="AA47" s="884" t="s"/>
      <c r="AB47" s="884" t="s"/>
      <c r="AC47" s="884" t="s"/>
      <c r="AD47" s="884" t="s"/>
      <c r="AE47" s="884" t="s"/>
      <c r="AF47" s="884" t="s"/>
    </row>
    <row r="48" spans="1:32" customHeight="false">
      <c r="A48" s="714">
        <v>4</v>
      </c>
      <c r="B48" s="899" t="s">
        <v>2235</v>
      </c>
      <c r="C48" s="886" t="s">
        <v>2236</v>
      </c>
      <c r="D48" s="714" t="s"/>
      <c r="E48" s="128" t="s">
        <v>36</v>
      </c>
      <c r="F48" s="128">
        <v>2</v>
      </c>
      <c r="G48" s="900">
        <v>17900</v>
      </c>
      <c r="H48" s="875">
        <v>35800</v>
      </c>
      <c r="I48" s="903" t="s"/>
      <c r="J48" s="904" t="s"/>
      <c r="K48" s="882">
        <f>=MIN(O48,S48,W48)</f>
        <v>5400</v>
      </c>
      <c r="L48" s="877">
        <f>=F48*K48</f>
        <v>10800</v>
      </c>
      <c r="M48" s="90" t="s">
        <v>1313</v>
      </c>
      <c r="N48" s="601" t="s">
        <v>2214</v>
      </c>
      <c r="O48" s="881">
        <v>6000</v>
      </c>
      <c r="P48" s="881">
        <f>=F48*O48</f>
        <v>12000</v>
      </c>
      <c r="Q48" s="90" t="s"/>
      <c r="R48" s="601" t="s">
        <v>2149</v>
      </c>
      <c r="S48" s="881">
        <v>5400</v>
      </c>
      <c r="T48" s="884">
        <f>=F48*S48</f>
        <v>10800</v>
      </c>
      <c r="U48" s="883" t="s">
        <v>1164</v>
      </c>
      <c r="V48" s="601" t="s">
        <v>2151</v>
      </c>
      <c r="W48" s="601">
        <v>6000</v>
      </c>
      <c r="X48" s="601">
        <f>=F48*W48</f>
        <v>12000</v>
      </c>
      <c r="Y48" s="888" t="s"/>
      <c r="Z48" s="888" t="s"/>
      <c r="AA48" s="884" t="s"/>
      <c r="AB48" s="884" t="s"/>
      <c r="AC48" s="884" t="s"/>
      <c r="AD48" s="884" t="s"/>
      <c r="AE48" s="884" t="s"/>
      <c r="AF48" s="884" t="s"/>
    </row>
    <row r="49" spans="1:32" customHeight="false">
      <c r="A49" s="714">
        <v>5</v>
      </c>
      <c r="B49" s="886" t="s">
        <v>2208</v>
      </c>
      <c r="C49" s="886" t="s">
        <v>2209</v>
      </c>
      <c r="D49" s="714" t="s"/>
      <c r="E49" s="128" t="s">
        <v>36</v>
      </c>
      <c r="F49" s="128">
        <v>10</v>
      </c>
      <c r="G49" s="900">
        <v>30000</v>
      </c>
      <c r="H49" s="875">
        <v>300000</v>
      </c>
      <c r="I49" s="903" t="s"/>
      <c r="J49" s="904" t="s"/>
      <c r="K49" s="882">
        <f>=MIN(O49,S49,W49)</f>
        <v>28458</v>
      </c>
      <c r="L49" s="877">
        <f>=F49*K49</f>
        <v>284580</v>
      </c>
      <c r="M49" s="883" t="s">
        <v>2169</v>
      </c>
      <c r="N49" s="888" t="s"/>
      <c r="O49" s="881">
        <v>28458</v>
      </c>
      <c r="P49" s="881">
        <f>=F49*O49</f>
        <v>284580</v>
      </c>
      <c r="Q49" s="883" t="s">
        <v>2170</v>
      </c>
      <c r="R49" s="888" t="s"/>
      <c r="S49" s="888" t="s"/>
      <c r="T49" s="888" t="s"/>
      <c r="U49" s="883" t="s">
        <v>2171</v>
      </c>
      <c r="V49" s="888" t="s"/>
      <c r="W49" s="888" t="s"/>
      <c r="X49" s="888" t="s"/>
      <c r="Y49" s="883" t="s">
        <v>2172</v>
      </c>
      <c r="Z49" s="888" t="s"/>
      <c r="AA49" s="884" t="s"/>
      <c r="AB49" s="884" t="s"/>
      <c r="AC49" s="884" t="s"/>
      <c r="AD49" s="884" t="s"/>
      <c r="AE49" s="884" t="s"/>
      <c r="AF49" s="884" t="s"/>
    </row>
    <row r="50" spans="1:32" customHeight="false">
      <c r="A50" s="873" t="s">
        <v>855</v>
      </c>
      <c r="B50" s="901" t="s">
        <v>2237</v>
      </c>
      <c r="C50" s="76" t="s"/>
      <c r="D50" s="714" t="s"/>
      <c r="E50" s="714" t="s"/>
      <c r="F50" s="714" t="s"/>
      <c r="G50" s="714" t="s"/>
      <c r="H50" s="902" t="s"/>
      <c r="I50" s="903" t="s"/>
      <c r="J50" s="904" t="s"/>
      <c r="K50" s="904" t="s"/>
      <c r="L50" s="905" t="s"/>
      <c r="M50" s="888" t="s"/>
      <c r="N50" s="888" t="s"/>
      <c r="O50" s="888" t="s"/>
      <c r="P50" s="888" t="s"/>
      <c r="Q50" s="888" t="s"/>
      <c r="R50" s="888" t="s"/>
      <c r="S50" s="888" t="s"/>
      <c r="T50" s="888" t="s"/>
      <c r="U50" s="888" t="s"/>
      <c r="V50" s="888" t="s"/>
      <c r="W50" s="888" t="s"/>
      <c r="X50" s="888" t="s"/>
      <c r="Y50" s="888" t="s"/>
      <c r="Z50" s="888" t="s"/>
      <c r="AA50" s="884" t="s"/>
      <c r="AB50" s="884" t="s"/>
      <c r="AC50" s="884" t="s"/>
      <c r="AD50" s="884" t="s"/>
      <c r="AE50" s="884" t="s"/>
      <c r="AF50" s="884" t="s"/>
    </row>
    <row r="51" spans="1:32" customHeight="false">
      <c r="A51" s="714">
        <v>1</v>
      </c>
      <c r="B51" s="899" t="s">
        <v>2238</v>
      </c>
      <c r="C51" s="886" t="s">
        <v>2239</v>
      </c>
      <c r="D51" s="714" t="s"/>
      <c r="E51" s="128" t="s">
        <v>36</v>
      </c>
      <c r="F51" s="128">
        <v>1</v>
      </c>
      <c r="G51" s="900">
        <v>347050</v>
      </c>
      <c r="H51" s="875">
        <v>347050</v>
      </c>
      <c r="I51" s="903" t="s"/>
      <c r="J51" s="904" t="s"/>
      <c r="K51" s="882">
        <f>=MIN(O51,S51,W51)</f>
        <v>170000</v>
      </c>
      <c r="L51" s="877">
        <f>=F51*K51</f>
        <v>170000</v>
      </c>
      <c r="M51" s="90" t="s">
        <v>2219</v>
      </c>
      <c r="N51" s="601" t="s"/>
      <c r="O51" s="601" t="s"/>
      <c r="P51" s="601" t="s"/>
      <c r="Q51" s="90" t="s"/>
      <c r="R51" s="601" t="s">
        <v>2149</v>
      </c>
      <c r="S51" s="881">
        <v>170000</v>
      </c>
      <c r="T51" s="884">
        <f>=F51*S51</f>
        <v>170000</v>
      </c>
      <c r="U51" s="883" t="s">
        <v>1164</v>
      </c>
      <c r="V51" s="601" t="s">
        <v>2151</v>
      </c>
      <c r="W51" s="601">
        <v>350000</v>
      </c>
      <c r="X51" s="601">
        <f>=F51*W51</f>
        <v>350000</v>
      </c>
      <c r="Y51" s="883" t="s">
        <v>2206</v>
      </c>
      <c r="Z51" s="601" t="s">
        <v>2207</v>
      </c>
      <c r="AA51" s="884" t="s"/>
      <c r="AB51" s="884" t="s"/>
      <c r="AC51" s="884" t="s"/>
      <c r="AD51" s="884" t="s"/>
      <c r="AE51" s="884" t="s"/>
      <c r="AF51" s="884" t="s"/>
    </row>
    <row r="52" spans="1:32" customHeight="false">
      <c r="A52" s="714">
        <v>2</v>
      </c>
      <c r="B52" s="899" t="s">
        <v>2147</v>
      </c>
      <c r="C52" s="886" t="s">
        <v>2212</v>
      </c>
      <c r="D52" s="714" t="s"/>
      <c r="E52" s="128" t="s">
        <v>36</v>
      </c>
      <c r="F52" s="128">
        <v>6</v>
      </c>
      <c r="G52" s="900">
        <v>138621.61</v>
      </c>
      <c r="H52" s="875">
        <v>831729.66</v>
      </c>
      <c r="I52" s="903" t="s"/>
      <c r="J52" s="904" t="s"/>
      <c r="K52" s="882">
        <f>=MIN(O52,S52,W52)</f>
        <v>27000</v>
      </c>
      <c r="L52" s="877">
        <f>=F52*K52</f>
        <v>162000</v>
      </c>
      <c r="M52" s="90" t="s">
        <v>2219</v>
      </c>
      <c r="N52" s="601" t="s"/>
      <c r="O52" s="601" t="s"/>
      <c r="P52" s="601" t="s"/>
      <c r="Q52" s="90" t="s"/>
      <c r="R52" s="601" t="s">
        <v>2149</v>
      </c>
      <c r="S52" s="884">
        <v>27000</v>
      </c>
      <c r="T52" s="884">
        <f>=F52*S52</f>
        <v>162000</v>
      </c>
      <c r="U52" s="883" t="s">
        <v>1164</v>
      </c>
      <c r="V52" s="601" t="s">
        <v>2151</v>
      </c>
      <c r="W52" s="601">
        <v>65000</v>
      </c>
      <c r="X52" s="601">
        <f>=F52*W52</f>
        <v>390000</v>
      </c>
      <c r="Y52" s="883" t="s">
        <v>2206</v>
      </c>
      <c r="Z52" s="601" t="s">
        <v>2207</v>
      </c>
      <c r="AA52" s="884" t="s"/>
      <c r="AB52" s="884" t="s"/>
      <c r="AC52" s="884" t="s"/>
      <c r="AD52" s="884" t="s"/>
      <c r="AE52" s="884" t="s"/>
      <c r="AF52" s="884" t="s"/>
    </row>
    <row r="53" spans="1:32" customHeight="false">
      <c r="A53" s="714">
        <v>3</v>
      </c>
      <c r="B53" s="899" t="s">
        <v>1107</v>
      </c>
      <c r="C53" s="886" t="s">
        <v>2240</v>
      </c>
      <c r="D53" s="714" t="s"/>
      <c r="E53" s="128" t="s">
        <v>36</v>
      </c>
      <c r="F53" s="128">
        <v>1</v>
      </c>
      <c r="G53" s="900">
        <v>39600</v>
      </c>
      <c r="H53" s="875">
        <v>39600</v>
      </c>
      <c r="I53" s="903" t="s"/>
      <c r="J53" s="904" t="s"/>
      <c r="K53" s="882">
        <f>=MIN(O53,S53,W53)</f>
        <v>17000</v>
      </c>
      <c r="L53" s="877">
        <f>=F53*K53</f>
        <v>17000</v>
      </c>
      <c r="M53" s="90" t="s">
        <v>1313</v>
      </c>
      <c r="N53" s="601" t="s">
        <v>2214</v>
      </c>
      <c r="O53" s="881">
        <v>22898</v>
      </c>
      <c r="P53" s="881">
        <f>=F53*O53</f>
        <v>22898</v>
      </c>
      <c r="Q53" s="90" t="s"/>
      <c r="R53" s="601" t="s">
        <v>2149</v>
      </c>
      <c r="S53" s="884">
        <v>17000</v>
      </c>
      <c r="T53" s="884">
        <f>=F53*S53</f>
        <v>17000</v>
      </c>
      <c r="U53" s="883" t="s">
        <v>1164</v>
      </c>
      <c r="V53" s="601" t="s">
        <v>2151</v>
      </c>
      <c r="W53" s="601">
        <v>26000</v>
      </c>
      <c r="X53" s="601">
        <f>=F53*W53</f>
        <v>26000</v>
      </c>
      <c r="Y53" s="883" t="s">
        <v>2574</v>
      </c>
      <c r="Z53" s="888" t="s"/>
      <c r="AA53" s="884" t="s"/>
      <c r="AB53" s="884" t="s"/>
      <c r="AC53" s="884" t="s"/>
      <c r="AD53" s="884" t="s"/>
      <c r="AE53" s="884" t="s"/>
      <c r="AF53" s="884" t="s"/>
    </row>
    <row r="54" spans="1:32" customHeight="false">
      <c r="A54" s="714">
        <v>4</v>
      </c>
      <c r="B54" s="899" t="s">
        <v>1107</v>
      </c>
      <c r="C54" s="886" t="s">
        <v>2241</v>
      </c>
      <c r="D54" s="714" t="s"/>
      <c r="E54" s="128" t="s">
        <v>36</v>
      </c>
      <c r="F54" s="128">
        <v>1</v>
      </c>
      <c r="G54" s="900">
        <v>76000</v>
      </c>
      <c r="H54" s="875">
        <v>76000</v>
      </c>
      <c r="I54" s="903" t="s"/>
      <c r="J54" s="904" t="s"/>
      <c r="K54" s="882">
        <f>=MIN(O54,S54,W54)</f>
        <v>31960</v>
      </c>
      <c r="L54" s="877">
        <f>=F54*K54</f>
        <v>31960</v>
      </c>
      <c r="M54" s="90" t="s">
        <v>1313</v>
      </c>
      <c r="N54" s="601" t="s">
        <v>2214</v>
      </c>
      <c r="O54" s="881">
        <v>31960</v>
      </c>
      <c r="P54" s="881">
        <f>=F54*O54</f>
        <v>31960</v>
      </c>
      <c r="Q54" s="90" t="s"/>
      <c r="R54" s="601" t="s">
        <v>2149</v>
      </c>
      <c r="S54" s="881">
        <v>33000</v>
      </c>
      <c r="T54" s="884">
        <f>=F54*S54</f>
        <v>33000</v>
      </c>
      <c r="U54" s="883" t="s">
        <v>1164</v>
      </c>
      <c r="V54" s="601" t="s">
        <v>2151</v>
      </c>
      <c r="W54" s="601">
        <v>35400</v>
      </c>
      <c r="X54" s="601">
        <f>=F54*W54</f>
        <v>35400</v>
      </c>
      <c r="Y54" s="883" t="s">
        <v>2574</v>
      </c>
      <c r="Z54" s="888" t="s"/>
      <c r="AA54" s="884" t="s"/>
      <c r="AB54" s="884" t="s"/>
      <c r="AC54" s="884" t="s"/>
      <c r="AD54" s="884" t="s"/>
      <c r="AE54" s="884" t="s"/>
      <c r="AF54" s="884" t="s"/>
    </row>
    <row r="55" spans="1:32" customHeight="false">
      <c r="A55" s="714">
        <v>5</v>
      </c>
      <c r="B55" s="899" t="s">
        <v>1107</v>
      </c>
      <c r="C55" s="886" t="s">
        <v>2242</v>
      </c>
      <c r="D55" s="714" t="s"/>
      <c r="E55" s="128" t="s">
        <v>36</v>
      </c>
      <c r="F55" s="128">
        <v>1</v>
      </c>
      <c r="G55" s="900">
        <v>18200</v>
      </c>
      <c r="H55" s="875">
        <v>18200</v>
      </c>
      <c r="I55" s="903" t="s"/>
      <c r="J55" s="904" t="s"/>
      <c r="K55" s="882">
        <f>=MIN(O55,S55,W55)</f>
        <v>14890</v>
      </c>
      <c r="L55" s="877">
        <f>=F55*K55</f>
        <v>14890</v>
      </c>
      <c r="M55" s="90" t="s">
        <v>1313</v>
      </c>
      <c r="N55" s="601" t="s">
        <v>2214</v>
      </c>
      <c r="O55" s="881">
        <v>14890</v>
      </c>
      <c r="P55" s="881">
        <f>=F55*O55</f>
        <v>14890</v>
      </c>
      <c r="Q55" s="90" t="s"/>
      <c r="R55" s="601" t="s">
        <v>2149</v>
      </c>
      <c r="S55" s="881">
        <v>24350</v>
      </c>
      <c r="T55" s="884">
        <f>=F55*S55</f>
        <v>24350</v>
      </c>
      <c r="U55" s="883" t="s">
        <v>1164</v>
      </c>
      <c r="V55" s="601" t="s">
        <v>2151</v>
      </c>
      <c r="W55" s="601">
        <v>30000</v>
      </c>
      <c r="X55" s="601">
        <f>=F55*W55</f>
        <v>30000</v>
      </c>
      <c r="Y55" s="883" t="s">
        <v>2574</v>
      </c>
      <c r="Z55" s="888" t="s"/>
      <c r="AA55" s="884" t="s"/>
      <c r="AB55" s="884" t="s"/>
      <c r="AC55" s="884" t="s"/>
      <c r="AD55" s="884" t="s"/>
      <c r="AE55" s="884" t="s"/>
      <c r="AF55" s="884" t="s"/>
    </row>
    <row r="56" spans="1:32" customHeight="false">
      <c r="A56" s="714">
        <v>6</v>
      </c>
      <c r="B56" s="886" t="s">
        <v>2208</v>
      </c>
      <c r="C56" s="886" t="s">
        <v>2209</v>
      </c>
      <c r="D56" s="714" t="s"/>
      <c r="E56" s="128" t="s">
        <v>36</v>
      </c>
      <c r="F56" s="128">
        <v>6</v>
      </c>
      <c r="G56" s="900">
        <v>30000</v>
      </c>
      <c r="H56" s="875">
        <v>180000</v>
      </c>
      <c r="I56" s="903" t="s"/>
      <c r="J56" s="904" t="s"/>
      <c r="K56" s="882">
        <f>=MIN(O56,S56,W56)</f>
        <v>28458</v>
      </c>
      <c r="L56" s="877">
        <f>=F56*K56</f>
        <v>170748</v>
      </c>
      <c r="M56" s="883" t="s">
        <v>2169</v>
      </c>
      <c r="N56" s="888" t="s"/>
      <c r="O56" s="881">
        <v>28458</v>
      </c>
      <c r="P56" s="881">
        <f>=F56*O56</f>
        <v>170748</v>
      </c>
      <c r="Q56" s="883" t="s">
        <v>2170</v>
      </c>
      <c r="R56" s="888" t="s"/>
      <c r="S56" s="888" t="s"/>
      <c r="T56" s="888" t="s"/>
      <c r="U56" s="883" t="s">
        <v>2171</v>
      </c>
      <c r="V56" s="888" t="s"/>
      <c r="W56" s="888" t="s"/>
      <c r="X56" s="888" t="s"/>
      <c r="Y56" s="883" t="s">
        <v>2172</v>
      </c>
      <c r="Z56" s="888" t="s"/>
      <c r="AA56" s="884" t="s"/>
      <c r="AB56" s="884" t="s"/>
      <c r="AC56" s="884" t="s"/>
      <c r="AD56" s="884" t="s"/>
      <c r="AE56" s="884" t="s"/>
      <c r="AF56" s="884" t="s"/>
    </row>
    <row r="57" spans="1:32" customHeight="false">
      <c r="A57" s="873" t="s">
        <v>909</v>
      </c>
      <c r="B57" s="901" t="s">
        <v>2243</v>
      </c>
      <c r="C57" s="76" t="s"/>
      <c r="D57" s="714" t="s"/>
      <c r="E57" s="714" t="s"/>
      <c r="F57" s="714" t="s"/>
      <c r="G57" s="714" t="s"/>
      <c r="H57" s="902" t="s"/>
      <c r="I57" s="903" t="s"/>
      <c r="J57" s="904" t="s"/>
      <c r="K57" s="904" t="s"/>
      <c r="L57" s="905" t="s"/>
      <c r="M57" s="888" t="s"/>
      <c r="N57" s="888" t="s"/>
      <c r="O57" s="888" t="s"/>
      <c r="P57" s="888" t="s"/>
      <c r="Q57" s="888" t="s"/>
      <c r="R57" s="888" t="s"/>
      <c r="S57" s="888" t="s"/>
      <c r="T57" s="888" t="s"/>
      <c r="U57" s="888" t="s"/>
      <c r="V57" s="888" t="s"/>
      <c r="W57" s="888" t="s"/>
      <c r="X57" s="888" t="s"/>
      <c r="Y57" s="888" t="s"/>
      <c r="Z57" s="888" t="s"/>
      <c r="AA57" s="884" t="s"/>
      <c r="AB57" s="884" t="s"/>
      <c r="AC57" s="884" t="s"/>
      <c r="AD57" s="884" t="s"/>
      <c r="AE57" s="884" t="s"/>
      <c r="AF57" s="884" t="s"/>
    </row>
    <row r="58" spans="1:32" customHeight="false">
      <c r="A58" s="714">
        <v>1</v>
      </c>
      <c r="B58" s="899" t="s">
        <v>2244</v>
      </c>
      <c r="C58" s="886" t="s">
        <v>2245</v>
      </c>
      <c r="D58" s="714" t="s"/>
      <c r="E58" s="128" t="s">
        <v>36</v>
      </c>
      <c r="F58" s="128">
        <v>1</v>
      </c>
      <c r="G58" s="900">
        <v>95954.046</v>
      </c>
      <c r="H58" s="875">
        <v>95954.05</v>
      </c>
      <c r="I58" s="903" t="s"/>
      <c r="J58" s="904" t="s"/>
      <c r="K58" s="882">
        <f>=MIN(O58,S58,W58)</f>
        <v>53000</v>
      </c>
      <c r="L58" s="877">
        <f>=F58*K58</f>
        <v>53000</v>
      </c>
      <c r="M58" s="908" t="s">
        <v>2223</v>
      </c>
      <c r="N58" s="601" t="s">
        <v>1312</v>
      </c>
      <c r="O58" s="601">
        <v>170000</v>
      </c>
      <c r="P58" s="881">
        <f>=F58*O58</f>
        <v>170000</v>
      </c>
      <c r="Q58" s="908" t="s">
        <v>2246</v>
      </c>
      <c r="R58" s="601" t="s">
        <v>2214</v>
      </c>
      <c r="S58" s="881">
        <v>53000</v>
      </c>
      <c r="T58" s="884">
        <f>=F58*S58</f>
        <v>53000</v>
      </c>
      <c r="U58" s="90" t="s">
        <v>2247</v>
      </c>
      <c r="V58" s="888" t="s"/>
      <c r="W58" s="888" t="s"/>
      <c r="X58" s="888" t="s"/>
      <c r="Y58" s="888" t="s"/>
      <c r="Z58" s="888" t="s"/>
      <c r="AA58" s="884" t="s"/>
      <c r="AB58" s="884" t="s"/>
      <c r="AC58" s="884" t="s"/>
      <c r="AD58" s="884" t="s"/>
      <c r="AE58" s="884" t="s"/>
      <c r="AF58" s="884" t="s"/>
    </row>
    <row r="59" spans="1:32" customHeight="false">
      <c r="A59" s="714">
        <v>2</v>
      </c>
      <c r="B59" s="899" t="s">
        <v>2248</v>
      </c>
      <c r="C59" s="886" t="s">
        <v>2249</v>
      </c>
      <c r="D59" s="714" t="s"/>
      <c r="E59" s="128" t="s">
        <v>36</v>
      </c>
      <c r="F59" s="128">
        <v>1</v>
      </c>
      <c r="G59" s="900">
        <v>22389.279</v>
      </c>
      <c r="H59" s="875">
        <v>22389.28</v>
      </c>
      <c r="I59" s="903" t="s"/>
      <c r="J59" s="904" t="s"/>
      <c r="K59" s="882">
        <f>=MIN(O59,S59,W59)</f>
        <v>8000</v>
      </c>
      <c r="L59" s="877">
        <f>=F59*K59</f>
        <v>8000</v>
      </c>
      <c r="M59" s="893" t="s">
        <v>2250</v>
      </c>
      <c r="N59" s="721" t="s">
        <v>1312</v>
      </c>
      <c r="O59" s="721">
        <v>10000</v>
      </c>
      <c r="P59" s="909">
        <f>=F59*O59</f>
        <v>10000</v>
      </c>
      <c r="Q59" s="910" t="s">
        <v>2251</v>
      </c>
      <c r="R59" s="721" t="s">
        <v>2214</v>
      </c>
      <c r="S59" s="909">
        <v>8000</v>
      </c>
      <c r="T59" s="911">
        <f>=F59*S59</f>
        <v>8000</v>
      </c>
      <c r="U59" s="893" t="s"/>
      <c r="V59" s="912" t="s"/>
      <c r="W59" s="888" t="s"/>
      <c r="X59" s="888" t="s"/>
      <c r="Y59" s="913" t="s"/>
      <c r="Z59" s="888" t="s"/>
      <c r="AA59" s="884" t="s"/>
      <c r="AB59" s="884" t="s"/>
      <c r="AC59" s="884" t="s"/>
      <c r="AD59" s="884" t="s"/>
      <c r="AE59" s="884" t="s"/>
      <c r="AF59" s="884" t="s"/>
    </row>
    <row r="60" spans="1:32" customHeight="false">
      <c r="A60" s="873" t="s">
        <v>912</v>
      </c>
      <c r="B60" s="901" t="s">
        <v>2252</v>
      </c>
      <c r="C60" s="76" t="s"/>
      <c r="D60" s="714" t="s"/>
      <c r="E60" s="714" t="s"/>
      <c r="F60" s="714" t="s"/>
      <c r="G60" s="714" t="s"/>
      <c r="H60" s="902" t="s"/>
      <c r="I60" s="903" t="s"/>
      <c r="J60" s="904" t="s"/>
      <c r="K60" s="904" t="s"/>
      <c r="L60" s="905" t="s"/>
      <c r="M60" s="912" t="s"/>
      <c r="N60" s="912" t="s"/>
      <c r="O60" s="912" t="s"/>
      <c r="P60" s="912" t="s"/>
      <c r="Q60" s="912" t="s"/>
      <c r="R60" s="912" t="s"/>
      <c r="S60" s="912" t="s"/>
      <c r="T60" s="912" t="s"/>
      <c r="U60" s="912" t="s"/>
      <c r="V60" s="912" t="s"/>
      <c r="W60" s="888" t="s"/>
      <c r="X60" s="888" t="s"/>
      <c r="Y60" s="888" t="s"/>
      <c r="Z60" s="888" t="s"/>
      <c r="AA60" s="884" t="s"/>
      <c r="AB60" s="884" t="s"/>
      <c r="AC60" s="884" t="s"/>
      <c r="AD60" s="884" t="s"/>
      <c r="AE60" s="884" t="s"/>
      <c r="AF60" s="884" t="s"/>
    </row>
    <row r="61" spans="1:32" customHeight="false">
      <c r="A61" s="714">
        <v>1</v>
      </c>
      <c r="B61" s="899" t="s">
        <v>2253</v>
      </c>
      <c r="C61" s="886" t="s">
        <v>2245</v>
      </c>
      <c r="D61" s="714" t="s"/>
      <c r="E61" s="128" t="s">
        <v>36</v>
      </c>
      <c r="F61" s="128">
        <v>1</v>
      </c>
      <c r="G61" s="714">
        <v>95954.05</v>
      </c>
      <c r="H61" s="875">
        <v>95954.05</v>
      </c>
      <c r="I61" s="903" t="s"/>
      <c r="J61" s="904" t="s"/>
      <c r="K61" s="882">
        <f>=MIN(O61,S61,W61)</f>
        <v>75300</v>
      </c>
      <c r="L61" s="877">
        <f>=F61*K61</f>
        <v>75300</v>
      </c>
      <c r="M61" s="910" t="s">
        <v>2223</v>
      </c>
      <c r="N61" s="721" t="s">
        <v>1312</v>
      </c>
      <c r="O61" s="721">
        <v>170000</v>
      </c>
      <c r="P61" s="909">
        <f>=F61*O61</f>
        <v>170000</v>
      </c>
      <c r="Q61" s="910" t="s">
        <v>2254</v>
      </c>
      <c r="R61" s="721" t="s">
        <v>2214</v>
      </c>
      <c r="S61" s="909">
        <v>75300</v>
      </c>
      <c r="T61" s="911">
        <f>=F61*S61</f>
        <v>75300</v>
      </c>
      <c r="U61" s="893" t="s">
        <v>2247</v>
      </c>
      <c r="V61" s="912" t="s"/>
      <c r="W61" s="888" t="s"/>
      <c r="X61" s="888" t="s"/>
      <c r="Y61" s="888" t="s"/>
      <c r="Z61" s="888" t="s"/>
      <c r="AA61" s="884" t="s"/>
      <c r="AB61" s="884" t="s"/>
      <c r="AC61" s="884" t="s"/>
      <c r="AD61" s="884" t="s"/>
      <c r="AE61" s="884" t="s"/>
      <c r="AF61" s="884" t="s"/>
    </row>
    <row r="62" spans="1:32" customHeight="false">
      <c r="A62" s="714">
        <v>2</v>
      </c>
      <c r="B62" s="899" t="s">
        <v>2248</v>
      </c>
      <c r="C62" s="886" t="s">
        <v>2249</v>
      </c>
      <c r="D62" s="714" t="s"/>
      <c r="E62" s="128" t="s">
        <v>36</v>
      </c>
      <c r="F62" s="128">
        <v>1</v>
      </c>
      <c r="G62" s="714">
        <v>22389.279</v>
      </c>
      <c r="H62" s="875">
        <v>22389.28</v>
      </c>
      <c r="I62" s="903" t="s"/>
      <c r="J62" s="904" t="s"/>
      <c r="K62" s="882">
        <f>=MIN(O62,S62,W62)</f>
        <v>8000</v>
      </c>
      <c r="L62" s="877">
        <f>=F62*K62</f>
        <v>8000</v>
      </c>
      <c r="M62" s="893" t="s">
        <v>2250</v>
      </c>
      <c r="N62" s="721" t="s">
        <v>1312</v>
      </c>
      <c r="O62" s="721">
        <v>10000</v>
      </c>
      <c r="P62" s="909">
        <f>=F62*O62</f>
        <v>10000</v>
      </c>
      <c r="Q62" s="910" t="s">
        <v>2251</v>
      </c>
      <c r="R62" s="721" t="s">
        <v>2214</v>
      </c>
      <c r="S62" s="909">
        <v>8000</v>
      </c>
      <c r="T62" s="911">
        <f>=F62*S62</f>
        <v>8000</v>
      </c>
      <c r="U62" s="893" t="s"/>
      <c r="V62" s="912" t="s"/>
      <c r="W62" s="888" t="s"/>
      <c r="X62" s="888" t="s"/>
      <c r="Y62" s="913" t="s"/>
      <c r="Z62" s="888" t="s"/>
      <c r="AA62" s="884" t="s"/>
      <c r="AB62" s="884" t="s"/>
      <c r="AC62" s="884" t="s"/>
      <c r="AD62" s="884" t="s"/>
      <c r="AE62" s="884" t="s"/>
      <c r="AF62" s="884" t="s"/>
    </row>
    <row r="63" spans="1:32" customHeight="false">
      <c r="A63" s="873" t="s">
        <v>2255</v>
      </c>
      <c r="B63" s="901" t="s">
        <v>2256</v>
      </c>
      <c r="C63" s="76" t="s"/>
      <c r="D63" s="714" t="s"/>
      <c r="E63" s="714" t="s"/>
      <c r="F63" s="714" t="s"/>
      <c r="G63" s="714" t="s"/>
      <c r="H63" s="902" t="s"/>
      <c r="I63" s="903" t="s"/>
      <c r="J63" s="904" t="s"/>
      <c r="K63" s="904" t="s"/>
      <c r="L63" s="905" t="s"/>
      <c r="M63" s="912" t="s"/>
      <c r="N63" s="912" t="s"/>
      <c r="O63" s="912" t="s"/>
      <c r="P63" s="912" t="s"/>
      <c r="Q63" s="912" t="s"/>
      <c r="R63" s="912" t="s"/>
      <c r="S63" s="912" t="s"/>
      <c r="T63" s="912" t="s"/>
      <c r="U63" s="912" t="s"/>
      <c r="V63" s="912" t="s"/>
      <c r="W63" s="888" t="s"/>
      <c r="X63" s="888" t="s"/>
      <c r="Y63" s="888" t="s"/>
      <c r="Z63" s="888" t="s"/>
      <c r="AA63" s="884" t="s"/>
      <c r="AB63" s="884" t="s"/>
      <c r="AC63" s="884" t="s"/>
      <c r="AD63" s="884" t="s"/>
      <c r="AE63" s="884" t="s"/>
      <c r="AF63" s="884" t="s"/>
    </row>
    <row r="64" spans="1:32" customHeight="false">
      <c r="A64" s="714">
        <v>1</v>
      </c>
      <c r="B64" s="601" t="s">
        <v>2257</v>
      </c>
      <c r="C64" s="881" t="s">
        <v>2258</v>
      </c>
      <c r="D64" s="714" t="s"/>
      <c r="E64" s="714" t="s">
        <v>36</v>
      </c>
      <c r="F64" s="714">
        <v>3</v>
      </c>
      <c r="G64" s="714">
        <v>40479.809</v>
      </c>
      <c r="H64" s="875">
        <v>121439.43</v>
      </c>
      <c r="I64" s="903" t="s"/>
      <c r="J64" s="904" t="s"/>
      <c r="K64" s="882">
        <f>=MIN(O64,S64,W64)</f>
        <v>15600</v>
      </c>
      <c r="L64" s="877">
        <f>=F64*K64</f>
        <v>46800</v>
      </c>
      <c r="M64" s="894" t="s">
        <v>2259</v>
      </c>
      <c r="N64" s="912" t="s"/>
      <c r="O64" s="721">
        <v>111480</v>
      </c>
      <c r="P64" s="909">
        <f>=F64*O64</f>
        <v>334440</v>
      </c>
      <c r="Q64" s="894" t="s">
        <v>2260</v>
      </c>
      <c r="R64" s="721" t="s">
        <v>2261</v>
      </c>
      <c r="S64" s="909">
        <v>15600</v>
      </c>
      <c r="T64" s="911">
        <f>=F64*S64</f>
        <v>46800</v>
      </c>
      <c r="U64" s="894" t="s">
        <v>2262</v>
      </c>
      <c r="V64" s="912" t="s"/>
      <c r="W64" s="888" t="s"/>
      <c r="X64" s="888" t="s"/>
      <c r="Y64" s="883" t="s">
        <v>2263</v>
      </c>
      <c r="Z64" s="888" t="s"/>
      <c r="AA64" s="884" t="s"/>
      <c r="AB64" s="884" t="s"/>
      <c r="AC64" s="884" t="s"/>
      <c r="AD64" s="884" t="s"/>
      <c r="AE64" s="884" t="s"/>
      <c r="AF64" s="884" t="s"/>
    </row>
    <row r="65" spans="1:32" customHeight="false">
      <c r="A65" s="714">
        <v>2</v>
      </c>
      <c r="B65" s="601" t="s">
        <v>2264</v>
      </c>
      <c r="C65" s="881" t="s">
        <v>2265</v>
      </c>
      <c r="D65" s="714" t="s"/>
      <c r="E65" s="128" t="s">
        <v>36</v>
      </c>
      <c r="F65" s="128">
        <v>1</v>
      </c>
      <c r="G65" s="714">
        <v>36142.688</v>
      </c>
      <c r="H65" s="875">
        <v>36142.69</v>
      </c>
      <c r="I65" s="903" t="s"/>
      <c r="J65" s="904" t="s"/>
      <c r="K65" s="882">
        <f>=MIN(O65,S65,W65)</f>
        <v>13850</v>
      </c>
      <c r="L65" s="877">
        <f>=F65*K65</f>
        <v>13850</v>
      </c>
      <c r="M65" s="894" t="s">
        <v>2259</v>
      </c>
      <c r="N65" s="912" t="s"/>
      <c r="O65" s="721">
        <v>29500</v>
      </c>
      <c r="P65" s="909">
        <f>=F65*O65</f>
        <v>29500</v>
      </c>
      <c r="Q65" s="894" t="s">
        <v>2260</v>
      </c>
      <c r="R65" s="721" t="s">
        <v>2261</v>
      </c>
      <c r="S65" s="909">
        <v>13850</v>
      </c>
      <c r="T65" s="911">
        <f>=F65*S65</f>
        <v>13850</v>
      </c>
      <c r="U65" s="894" t="s">
        <v>2262</v>
      </c>
      <c r="V65" s="912" t="s"/>
      <c r="W65" s="888" t="s"/>
      <c r="X65" s="888" t="s"/>
      <c r="Y65" s="883" t="s">
        <v>2263</v>
      </c>
      <c r="Z65" s="888" t="s"/>
      <c r="AA65" s="884" t="s"/>
      <c r="AB65" s="884" t="s"/>
      <c r="AC65" s="884" t="s"/>
      <c r="AD65" s="884" t="s"/>
      <c r="AE65" s="884" t="s"/>
      <c r="AF65" s="884" t="s"/>
    </row>
    <row r="66" spans="1:32" customHeight="false">
      <c r="A66" s="714">
        <v>3</v>
      </c>
      <c r="B66" s="601" t="s">
        <v>2266</v>
      </c>
      <c r="C66" s="881" t="s">
        <v>2267</v>
      </c>
      <c r="D66" s="714" t="s"/>
      <c r="E66" s="128" t="s">
        <v>36</v>
      </c>
      <c r="F66" s="128">
        <v>1</v>
      </c>
      <c r="G66" s="714">
        <v>57828.301</v>
      </c>
      <c r="H66" s="875">
        <v>57828.3</v>
      </c>
      <c r="I66" s="903" t="s"/>
      <c r="J66" s="904" t="s"/>
      <c r="K66" s="882">
        <f>=MIN(O66,S66,W66)</f>
        <v>57400</v>
      </c>
      <c r="L66" s="877">
        <f>=F66*K66</f>
        <v>57400</v>
      </c>
      <c r="M66" s="894" t="s">
        <v>2259</v>
      </c>
      <c r="N66" s="912" t="s"/>
      <c r="O66" s="721">
        <v>67040</v>
      </c>
      <c r="P66" s="909">
        <f>=F66*O66</f>
        <v>67040</v>
      </c>
      <c r="Q66" s="894" t="s">
        <v>2260</v>
      </c>
      <c r="R66" s="721" t="s">
        <v>2261</v>
      </c>
      <c r="S66" s="909">
        <v>57400</v>
      </c>
      <c r="T66" s="911">
        <f>=F66*S66</f>
        <v>57400</v>
      </c>
      <c r="U66" s="894" t="s">
        <v>2262</v>
      </c>
      <c r="V66" s="912" t="s"/>
      <c r="W66" s="888" t="s"/>
      <c r="X66" s="888" t="s"/>
      <c r="Y66" s="883" t="s">
        <v>2263</v>
      </c>
      <c r="Z66" s="888" t="s"/>
      <c r="AA66" s="884" t="s"/>
      <c r="AB66" s="884" t="s"/>
      <c r="AC66" s="884" t="s"/>
      <c r="AD66" s="884" t="s"/>
      <c r="AE66" s="884" t="s"/>
      <c r="AF66" s="884" t="s"/>
    </row>
    <row r="67" spans="1:32" customHeight="false">
      <c r="A67" s="714">
        <v>4</v>
      </c>
      <c r="B67" s="601" t="s">
        <v>2268</v>
      </c>
      <c r="C67" s="881" t="s">
        <v>2269</v>
      </c>
      <c r="D67" s="714" t="s"/>
      <c r="E67" s="128" t="s">
        <v>36</v>
      </c>
      <c r="F67" s="128">
        <v>1</v>
      </c>
      <c r="G67" s="714">
        <v>46262.64</v>
      </c>
      <c r="H67" s="875">
        <v>46262.64</v>
      </c>
      <c r="I67" s="903" t="s"/>
      <c r="J67" s="904" t="s"/>
      <c r="K67" s="882">
        <f>=MIN(O67,S67,W67)</f>
        <v>39600</v>
      </c>
      <c r="L67" s="877">
        <f>=F67*K67</f>
        <v>39600</v>
      </c>
      <c r="M67" s="894" t="s">
        <v>2259</v>
      </c>
      <c r="N67" s="912" t="s"/>
      <c r="O67" s="721">
        <v>39600</v>
      </c>
      <c r="P67" s="909">
        <f>=F67*O67</f>
        <v>39600</v>
      </c>
      <c r="Q67" s="894" t="s">
        <v>2260</v>
      </c>
      <c r="R67" s="721" t="s">
        <v>2261</v>
      </c>
      <c r="S67" s="909">
        <v>49600</v>
      </c>
      <c r="T67" s="911">
        <f>=F67*S67</f>
        <v>49600</v>
      </c>
      <c r="U67" s="894" t="s">
        <v>2262</v>
      </c>
      <c r="V67" s="912" t="s"/>
      <c r="W67" s="888" t="s"/>
      <c r="X67" s="888" t="s"/>
      <c r="Y67" s="883" t="s">
        <v>2263</v>
      </c>
      <c r="Z67" s="888" t="s"/>
      <c r="AA67" s="884" t="s"/>
      <c r="AB67" s="884" t="s"/>
      <c r="AC67" s="884" t="s"/>
      <c r="AD67" s="884" t="s"/>
      <c r="AE67" s="884" t="s"/>
      <c r="AF67" s="884" t="s"/>
    </row>
    <row r="68" spans="1:32" customHeight="false">
      <c r="A68" s="714">
        <v>5</v>
      </c>
      <c r="B68" s="601" t="s">
        <v>2270</v>
      </c>
      <c r="C68" s="881" t="s">
        <v>2271</v>
      </c>
      <c r="D68" s="714" t="s"/>
      <c r="E68" s="128" t="s">
        <v>36</v>
      </c>
      <c r="F68" s="128">
        <v>1</v>
      </c>
      <c r="G68" s="714">
        <v>86742.85</v>
      </c>
      <c r="H68" s="875">
        <v>86742.85</v>
      </c>
      <c r="I68" s="903" t="s"/>
      <c r="J68" s="904" t="s"/>
      <c r="K68" s="882">
        <f>=MIN(O68,S68,W68)</f>
        <v>39800</v>
      </c>
      <c r="L68" s="877">
        <f>=F68*K68</f>
        <v>39800</v>
      </c>
      <c r="M68" s="894" t="s">
        <v>2259</v>
      </c>
      <c r="N68" s="912" t="s"/>
      <c r="O68" s="721">
        <v>39800</v>
      </c>
      <c r="P68" s="909">
        <f>=F68*O68</f>
        <v>39800</v>
      </c>
      <c r="Q68" s="894" t="s">
        <v>2260</v>
      </c>
      <c r="R68" s="721" t="s">
        <v>2261</v>
      </c>
      <c r="S68" s="909">
        <v>48800</v>
      </c>
      <c r="T68" s="911">
        <f>=F68*S68</f>
        <v>48800</v>
      </c>
      <c r="U68" s="894" t="s">
        <v>2262</v>
      </c>
      <c r="V68" s="912" t="s"/>
      <c r="W68" s="888" t="s"/>
      <c r="X68" s="888" t="s"/>
      <c r="Y68" s="883" t="s">
        <v>2263</v>
      </c>
      <c r="Z68" s="888" t="s"/>
      <c r="AA68" s="884" t="s"/>
      <c r="AB68" s="884" t="s"/>
      <c r="AC68" s="884" t="s"/>
      <c r="AD68" s="884" t="s"/>
      <c r="AE68" s="884" t="s"/>
      <c r="AF68" s="884" t="s"/>
    </row>
    <row r="69" spans="1:32" customHeight="false">
      <c r="A69" s="714">
        <v>6</v>
      </c>
      <c r="B69" s="601" t="s">
        <v>2272</v>
      </c>
      <c r="C69" s="881" t="s">
        <v>2273</v>
      </c>
      <c r="D69" s="714" t="s"/>
      <c r="E69" s="128" t="s">
        <v>36</v>
      </c>
      <c r="F69" s="128">
        <v>1</v>
      </c>
      <c r="G69" s="714">
        <v>46262.64</v>
      </c>
      <c r="H69" s="875">
        <v>46262.64</v>
      </c>
      <c r="I69" s="903" t="s"/>
      <c r="J69" s="904" t="s"/>
      <c r="K69" s="882">
        <f>=MIN(O69,S69,W69)</f>
        <v>49500</v>
      </c>
      <c r="L69" s="877">
        <f>=F69*K69</f>
        <v>49500</v>
      </c>
      <c r="M69" s="894" t="s">
        <v>2259</v>
      </c>
      <c r="N69" s="912" t="s"/>
      <c r="O69" s="721">
        <v>49500</v>
      </c>
      <c r="P69" s="909">
        <f>=F69*O69</f>
        <v>49500</v>
      </c>
      <c r="Q69" s="894" t="s">
        <v>2260</v>
      </c>
      <c r="R69" s="721" t="s">
        <v>2261</v>
      </c>
      <c r="S69" s="909">
        <v>53800</v>
      </c>
      <c r="T69" s="911">
        <f>=F69*S69</f>
        <v>53800</v>
      </c>
      <c r="U69" s="894" t="s">
        <v>2262</v>
      </c>
      <c r="V69" s="912" t="s"/>
      <c r="W69" s="888" t="s"/>
      <c r="X69" s="888" t="s"/>
      <c r="Y69" s="883" t="s">
        <v>2263</v>
      </c>
      <c r="Z69" s="888" t="s"/>
      <c r="AA69" s="884" t="s"/>
      <c r="AB69" s="884" t="s"/>
      <c r="AC69" s="884" t="s"/>
      <c r="AD69" s="884" t="s"/>
      <c r="AE69" s="884" t="s"/>
      <c r="AF69" s="884" t="s"/>
    </row>
    <row r="70" spans="1:32" customHeight="false">
      <c r="A70" s="714">
        <v>7</v>
      </c>
      <c r="B70" s="601" t="s">
        <v>2274</v>
      </c>
      <c r="C70" s="881" t="s">
        <v>2275</v>
      </c>
      <c r="D70" s="714" t="s"/>
      <c r="E70" s="128" t="s">
        <v>36</v>
      </c>
      <c r="F70" s="128">
        <v>1</v>
      </c>
      <c r="G70" s="714">
        <v>43371.24</v>
      </c>
      <c r="H70" s="875">
        <v>43371.24</v>
      </c>
      <c r="I70" s="903" t="s"/>
      <c r="J70" s="904" t="s"/>
      <c r="K70" s="882">
        <f>=MIN(O70,S70,W70)</f>
        <v>29920</v>
      </c>
      <c r="L70" s="877">
        <f>=F70*K70</f>
        <v>29920</v>
      </c>
      <c r="M70" s="894" t="s">
        <v>2259</v>
      </c>
      <c r="N70" s="912" t="s"/>
      <c r="O70" s="721">
        <v>29920</v>
      </c>
      <c r="P70" s="909">
        <f>=F70*O70</f>
        <v>29920</v>
      </c>
      <c r="Q70" s="894" t="s">
        <v>2260</v>
      </c>
      <c r="R70" s="721" t="s">
        <v>2261</v>
      </c>
      <c r="S70" s="909">
        <v>38600</v>
      </c>
      <c r="T70" s="911">
        <f>=F70*S70</f>
        <v>38600</v>
      </c>
      <c r="U70" s="894" t="s">
        <v>2262</v>
      </c>
      <c r="V70" s="912" t="s"/>
      <c r="W70" s="888" t="s"/>
      <c r="X70" s="888" t="s"/>
      <c r="Y70" s="883" t="s">
        <v>2263</v>
      </c>
      <c r="Z70" s="888" t="s"/>
      <c r="AA70" s="884" t="s"/>
      <c r="AB70" s="884" t="s"/>
      <c r="AC70" s="884" t="s"/>
      <c r="AD70" s="884" t="s"/>
      <c r="AE70" s="884" t="s"/>
      <c r="AF70" s="884" t="s"/>
    </row>
    <row r="71" spans="1:32" customHeight="false">
      <c r="A71" s="714">
        <v>8</v>
      </c>
      <c r="B71" s="601" t="s">
        <v>2276</v>
      </c>
      <c r="C71" s="881" t="s">
        <v>2277</v>
      </c>
      <c r="D71" s="714" t="s"/>
      <c r="E71" s="128" t="s">
        <v>36</v>
      </c>
      <c r="F71" s="128">
        <v>8</v>
      </c>
      <c r="G71" s="714">
        <v>3614.27</v>
      </c>
      <c r="H71" s="875">
        <v>28914.16</v>
      </c>
      <c r="I71" s="903" t="s"/>
      <c r="J71" s="904" t="s"/>
      <c r="K71" s="882">
        <f>=MIN(O71,S71,W71)</f>
        <v>1880</v>
      </c>
      <c r="L71" s="877">
        <f>=F71*K71</f>
        <v>15040</v>
      </c>
      <c r="M71" s="894" t="s">
        <v>2259</v>
      </c>
      <c r="N71" s="912" t="s"/>
      <c r="O71" s="721">
        <v>16000</v>
      </c>
      <c r="P71" s="909">
        <f>=F71*O71</f>
        <v>128000</v>
      </c>
      <c r="Q71" s="894" t="s">
        <v>2260</v>
      </c>
      <c r="R71" s="721" t="s">
        <v>2261</v>
      </c>
      <c r="S71" s="909">
        <v>1880</v>
      </c>
      <c r="T71" s="911">
        <f>=F71*S71</f>
        <v>15040</v>
      </c>
      <c r="U71" s="894" t="s">
        <v>2262</v>
      </c>
      <c r="V71" s="912" t="s"/>
      <c r="W71" s="888" t="s"/>
      <c r="X71" s="888" t="s"/>
      <c r="Y71" s="883" t="s">
        <v>2263</v>
      </c>
      <c r="Z71" s="888" t="s"/>
      <c r="AA71" s="884" t="s"/>
      <c r="AB71" s="884" t="s"/>
      <c r="AC71" s="884" t="s"/>
      <c r="AD71" s="884" t="s"/>
      <c r="AE71" s="884" t="s"/>
      <c r="AF71" s="884" t="s"/>
    </row>
    <row r="72" spans="1:32" customHeight="false">
      <c r="A72" s="714">
        <v>9</v>
      </c>
      <c r="B72" s="601" t="s">
        <v>2278</v>
      </c>
      <c r="C72" s="601" t="s">
        <v>2279</v>
      </c>
      <c r="D72" s="714" t="s"/>
      <c r="E72" s="128" t="s">
        <v>36</v>
      </c>
      <c r="F72" s="128">
        <v>1</v>
      </c>
      <c r="G72" s="714" t="s"/>
      <c r="H72" s="902" t="s"/>
      <c r="I72" s="903" t="s"/>
      <c r="J72" s="904" t="s"/>
      <c r="K72" s="882">
        <f>=MIN(O72,S72,W72)</f>
        <v>47400</v>
      </c>
      <c r="L72" s="877">
        <f>=F72*K72</f>
        <v>47400</v>
      </c>
      <c r="M72" s="894" t="s">
        <v>2259</v>
      </c>
      <c r="N72" s="912" t="s"/>
      <c r="O72" s="721">
        <v>52300</v>
      </c>
      <c r="P72" s="909">
        <f>=F72*O72</f>
        <v>52300</v>
      </c>
      <c r="Q72" s="894" t="s">
        <v>2260</v>
      </c>
      <c r="R72" s="721" t="s">
        <v>2261</v>
      </c>
      <c r="S72" s="909">
        <v>47400</v>
      </c>
      <c r="T72" s="911">
        <f>=F72*S72</f>
        <v>47400</v>
      </c>
      <c r="U72" s="894" t="s">
        <v>2262</v>
      </c>
      <c r="V72" s="912" t="s"/>
      <c r="W72" s="888" t="s"/>
      <c r="X72" s="888" t="s"/>
      <c r="Y72" s="883" t="s">
        <v>2263</v>
      </c>
      <c r="Z72" s="888" t="s"/>
      <c r="AA72" s="884" t="s"/>
      <c r="AB72" s="884" t="s"/>
      <c r="AC72" s="884" t="s"/>
      <c r="AD72" s="884" t="s"/>
      <c r="AE72" s="884" t="s"/>
      <c r="AF72" s="884" t="s"/>
    </row>
    <row r="73" spans="1:32" customHeight="false">
      <c r="A73" s="873" t="s">
        <v>2280</v>
      </c>
      <c r="B73" s="901" t="s">
        <v>2281</v>
      </c>
      <c r="C73" s="76" t="s"/>
      <c r="D73" s="714" t="s"/>
      <c r="E73" s="714" t="s"/>
      <c r="F73" s="714" t="s"/>
      <c r="G73" s="714" t="s"/>
      <c r="H73" s="902" t="s"/>
      <c r="I73" s="903" t="s"/>
      <c r="J73" s="904" t="s"/>
      <c r="K73" s="904" t="s"/>
      <c r="L73" s="905" t="s"/>
      <c r="M73" s="912" t="s"/>
      <c r="N73" s="912" t="s"/>
      <c r="O73" s="912" t="s"/>
      <c r="P73" s="912" t="s"/>
      <c r="Q73" s="912" t="s"/>
      <c r="R73" s="912" t="s"/>
      <c r="S73" s="912" t="s"/>
      <c r="T73" s="912" t="s"/>
      <c r="U73" s="912" t="s"/>
      <c r="V73" s="912" t="s"/>
      <c r="W73" s="888" t="s"/>
      <c r="X73" s="888" t="s"/>
      <c r="Y73" s="888" t="s"/>
      <c r="Z73" s="888" t="s"/>
      <c r="AA73" s="884" t="s"/>
      <c r="AB73" s="884" t="s"/>
      <c r="AC73" s="884" t="s"/>
      <c r="AD73" s="884" t="s"/>
      <c r="AE73" s="884" t="s"/>
      <c r="AF73" s="884" t="s"/>
    </row>
    <row r="74" spans="1:32" customHeight="false">
      <c r="A74" s="714" t="s"/>
      <c r="B74" s="878" t="s">
        <v>2281</v>
      </c>
      <c r="C74" s="601" t="s"/>
      <c r="D74" s="714" t="s"/>
      <c r="E74" s="714" t="s"/>
      <c r="F74" s="714" t="s"/>
      <c r="G74" s="714" t="s"/>
      <c r="H74" s="902" t="s"/>
      <c r="I74" s="903" t="s"/>
      <c r="J74" s="904" t="s"/>
      <c r="K74" s="904" t="s"/>
      <c r="L74" s="905" t="s"/>
      <c r="M74" s="912" t="s"/>
      <c r="N74" s="912" t="s"/>
      <c r="O74" s="912" t="s"/>
      <c r="P74" s="912" t="s"/>
      <c r="Q74" s="912" t="s"/>
      <c r="R74" s="912" t="s"/>
      <c r="S74" s="912" t="s"/>
      <c r="T74" s="912" t="s"/>
      <c r="U74" s="912" t="s"/>
      <c r="V74" s="912" t="s"/>
      <c r="W74" s="888" t="s"/>
      <c r="X74" s="888" t="s"/>
      <c r="Y74" s="888" t="s"/>
      <c r="Z74" s="888" t="s"/>
      <c r="AA74" s="884" t="s"/>
      <c r="AB74" s="884" t="s"/>
      <c r="AC74" s="884" t="s"/>
      <c r="AD74" s="884" t="s"/>
      <c r="AE74" s="884" t="s"/>
      <c r="AF74" s="884" t="s"/>
    </row>
    <row r="75" spans="1:32" customHeight="false">
      <c r="A75" s="714">
        <v>1</v>
      </c>
      <c r="B75" s="601" t="s">
        <v>2282</v>
      </c>
      <c r="C75" s="601" t="s">
        <v>2283</v>
      </c>
      <c r="D75" s="714" t="s"/>
      <c r="E75" s="90" t="s">
        <v>36</v>
      </c>
      <c r="F75" s="90">
        <v>12</v>
      </c>
      <c r="G75" s="714" t="s"/>
      <c r="H75" s="902" t="s"/>
      <c r="I75" s="903" t="s"/>
      <c r="J75" s="904" t="s"/>
      <c r="K75" s="882">
        <f>=MIN(O75,S75,W75)</f>
        <v>3800</v>
      </c>
      <c r="L75" s="877">
        <f>=F75*K75</f>
        <v>45600</v>
      </c>
      <c r="M75" s="894" t="s">
        <v>2284</v>
      </c>
      <c r="N75" s="721" t="s">
        <v>2285</v>
      </c>
      <c r="O75" s="721">
        <v>5500</v>
      </c>
      <c r="P75" s="909">
        <f>=F75*O75</f>
        <v>66000</v>
      </c>
      <c r="Q75" s="894" t="s">
        <v>2286</v>
      </c>
      <c r="R75" s="721" t="s">
        <v>2287</v>
      </c>
      <c r="S75" s="721">
        <v>3800</v>
      </c>
      <c r="T75" s="909">
        <f>=F75*S75</f>
        <v>45600</v>
      </c>
      <c r="U75" s="894" t="s">
        <v>2288</v>
      </c>
      <c r="V75" s="912" t="s"/>
      <c r="W75" s="888" t="s"/>
      <c r="X75" s="888" t="s"/>
      <c r="Y75" s="883" t="s">
        <v>2289</v>
      </c>
      <c r="Z75" s="888" t="s"/>
      <c r="AA75" s="884" t="s"/>
      <c r="AB75" s="884" t="s"/>
      <c r="AC75" s="884" t="s"/>
      <c r="AD75" s="884" t="s"/>
      <c r="AE75" s="884" t="s"/>
      <c r="AF75" s="884" t="s"/>
    </row>
    <row r="76" spans="1:32" customHeight="false">
      <c r="A76" s="714">
        <v>2</v>
      </c>
      <c r="B76" s="601" t="s">
        <v>2290</v>
      </c>
      <c r="C76" s="601" t="s">
        <v>2291</v>
      </c>
      <c r="D76" s="714" t="s"/>
      <c r="E76" s="90" t="s">
        <v>36</v>
      </c>
      <c r="F76" s="90">
        <v>6</v>
      </c>
      <c r="G76" s="714" t="s"/>
      <c r="H76" s="902" t="s"/>
      <c r="I76" s="903" t="s"/>
      <c r="J76" s="904" t="s"/>
      <c r="K76" s="882">
        <f>=MIN(O76,S76,W76)</f>
        <v>2500</v>
      </c>
      <c r="L76" s="877">
        <f>=F76*K76</f>
        <v>15000</v>
      </c>
      <c r="M76" s="894" t="s">
        <v>2284</v>
      </c>
      <c r="N76" s="721" t="s">
        <v>2285</v>
      </c>
      <c r="O76" s="721">
        <v>2500</v>
      </c>
      <c r="P76" s="909">
        <f>=F76*O76</f>
        <v>15000</v>
      </c>
      <c r="Q76" s="894" t="s">
        <v>2286</v>
      </c>
      <c r="R76" s="721" t="s">
        <v>2287</v>
      </c>
      <c r="S76" s="721">
        <v>29700</v>
      </c>
      <c r="T76" s="909">
        <f>=F76*S76</f>
        <v>178200</v>
      </c>
      <c r="U76" s="894" t="s">
        <v>2288</v>
      </c>
      <c r="V76" s="912" t="s"/>
      <c r="W76" s="888" t="s"/>
      <c r="X76" s="888" t="s"/>
      <c r="Y76" s="883" t="s">
        <v>2289</v>
      </c>
      <c r="Z76" s="888" t="s"/>
      <c r="AA76" s="884" t="s"/>
      <c r="AB76" s="884" t="s"/>
      <c r="AC76" s="884" t="s"/>
      <c r="AD76" s="884" t="s"/>
      <c r="AE76" s="884" t="s"/>
      <c r="AF76" s="884" t="s"/>
    </row>
    <row r="77" spans="1:32" customHeight="false">
      <c r="A77" s="714">
        <v>3</v>
      </c>
      <c r="B77" s="601" t="s">
        <v>2292</v>
      </c>
      <c r="C77" s="601" t="s"/>
      <c r="D77" s="714" t="s"/>
      <c r="E77" s="90" t="s">
        <v>36</v>
      </c>
      <c r="F77" s="90">
        <v>12</v>
      </c>
      <c r="G77" s="714" t="s"/>
      <c r="H77" s="902" t="s"/>
      <c r="I77" s="903" t="s"/>
      <c r="J77" s="904" t="s"/>
      <c r="K77" s="882">
        <f>=MIN(O77,S77,W77)</f>
        <v>264</v>
      </c>
      <c r="L77" s="877">
        <f>=F77*K77</f>
        <v>3168</v>
      </c>
      <c r="M77" s="894" t="s">
        <v>2284</v>
      </c>
      <c r="N77" s="721" t="s">
        <v>2285</v>
      </c>
      <c r="O77" s="721">
        <v>300</v>
      </c>
      <c r="P77" s="909">
        <f>=F77*O77</f>
        <v>3600</v>
      </c>
      <c r="Q77" s="894" t="s">
        <v>2286</v>
      </c>
      <c r="R77" s="721" t="s">
        <v>2287</v>
      </c>
      <c r="S77" s="721">
        <v>264</v>
      </c>
      <c r="T77" s="909">
        <f>=F77*S77</f>
        <v>3168</v>
      </c>
      <c r="U77" s="894" t="s">
        <v>2288</v>
      </c>
      <c r="V77" s="912" t="s"/>
      <c r="W77" s="888" t="s"/>
      <c r="X77" s="888" t="s"/>
      <c r="Y77" s="883" t="s">
        <v>2289</v>
      </c>
      <c r="Z77" s="888" t="s"/>
      <c r="AA77" s="884" t="s"/>
      <c r="AB77" s="884" t="s"/>
      <c r="AC77" s="884" t="s"/>
      <c r="AD77" s="884" t="s"/>
      <c r="AE77" s="884" t="s"/>
      <c r="AF77" s="884" t="s"/>
    </row>
    <row r="78" spans="1:32" customHeight="false">
      <c r="A78" s="714">
        <v>4</v>
      </c>
      <c r="B78" s="601" t="s">
        <v>2293</v>
      </c>
      <c r="C78" s="601" t="s">
        <v>2294</v>
      </c>
      <c r="D78" s="714" t="s"/>
      <c r="E78" s="90" t="s">
        <v>36</v>
      </c>
      <c r="F78" s="90">
        <v>12</v>
      </c>
      <c r="G78" s="714" t="s"/>
      <c r="H78" s="902" t="s"/>
      <c r="I78" s="903" t="s"/>
      <c r="J78" s="904" t="s"/>
      <c r="K78" s="882">
        <f>=MIN(O78,S78,W78)</f>
        <v>30</v>
      </c>
      <c r="L78" s="877">
        <f>=F78*K78</f>
        <v>360</v>
      </c>
      <c r="M78" s="894" t="s">
        <v>2284</v>
      </c>
      <c r="N78" s="721" t="s">
        <v>2285</v>
      </c>
      <c r="O78" s="721">
        <v>30</v>
      </c>
      <c r="P78" s="909">
        <f>=F78*O78</f>
        <v>360</v>
      </c>
      <c r="Q78" s="894" t="s">
        <v>2286</v>
      </c>
      <c r="R78" s="721" t="s">
        <v>2287</v>
      </c>
      <c r="S78" s="721">
        <v>30</v>
      </c>
      <c r="T78" s="909">
        <f>=F78*S78</f>
        <v>360</v>
      </c>
      <c r="U78" s="894" t="s">
        <v>2288</v>
      </c>
      <c r="V78" s="912" t="s"/>
      <c r="W78" s="888" t="s"/>
      <c r="X78" s="888" t="s"/>
      <c r="Y78" s="883" t="s">
        <v>2289</v>
      </c>
      <c r="Z78" s="888" t="s"/>
      <c r="AA78" s="884" t="s"/>
      <c r="AB78" s="884" t="s"/>
      <c r="AC78" s="884" t="s"/>
      <c r="AD78" s="884" t="s"/>
      <c r="AE78" s="884" t="s"/>
      <c r="AF78" s="884" t="s"/>
    </row>
    <row r="79" spans="1:32" customHeight="false">
      <c r="A79" s="714">
        <v>5</v>
      </c>
      <c r="B79" s="601" t="s">
        <v>2295</v>
      </c>
      <c r="C79" s="601" t="s"/>
      <c r="D79" s="714" t="s"/>
      <c r="E79" s="90" t="s">
        <v>36</v>
      </c>
      <c r="F79" s="90">
        <v>12</v>
      </c>
      <c r="G79" s="714" t="s"/>
      <c r="H79" s="902" t="s"/>
      <c r="I79" s="903" t="s"/>
      <c r="J79" s="904" t="s"/>
      <c r="K79" s="882">
        <f>=MIN(O79,S79,W79)</f>
        <v>80</v>
      </c>
      <c r="L79" s="877">
        <f>=F79*K79</f>
        <v>960</v>
      </c>
      <c r="M79" s="894" t="s">
        <v>2284</v>
      </c>
      <c r="N79" s="721" t="s">
        <v>2285</v>
      </c>
      <c r="O79" s="721">
        <v>80</v>
      </c>
      <c r="P79" s="909">
        <f>=F79*O79</f>
        <v>960</v>
      </c>
      <c r="Q79" s="894" t="s">
        <v>2286</v>
      </c>
      <c r="R79" s="721" t="s">
        <v>2287</v>
      </c>
      <c r="S79" s="721">
        <v>100</v>
      </c>
      <c r="T79" s="909">
        <f>=F79*S79</f>
        <v>1200</v>
      </c>
      <c r="U79" s="894" t="s">
        <v>2288</v>
      </c>
      <c r="V79" s="912" t="s"/>
      <c r="W79" s="888" t="s"/>
      <c r="X79" s="888" t="s"/>
      <c r="Y79" s="883" t="s">
        <v>2289</v>
      </c>
      <c r="Z79" s="888" t="s"/>
      <c r="AA79" s="884" t="s"/>
      <c r="AB79" s="884" t="s"/>
      <c r="AC79" s="884" t="s"/>
      <c r="AD79" s="884" t="s"/>
      <c r="AE79" s="884" t="s"/>
      <c r="AF79" s="884" t="s"/>
    </row>
    <row r="80" spans="1:32" customHeight="false">
      <c r="A80" s="714">
        <v>6</v>
      </c>
      <c r="B80" s="601" t="s">
        <v>2296</v>
      </c>
      <c r="C80" s="601" t="s"/>
      <c r="D80" s="714" t="s"/>
      <c r="E80" s="90" t="s">
        <v>36</v>
      </c>
      <c r="F80" s="90">
        <v>12</v>
      </c>
      <c r="G80" s="714" t="s"/>
      <c r="H80" s="902" t="s"/>
      <c r="I80" s="903" t="s"/>
      <c r="J80" s="904" t="s"/>
      <c r="K80" s="882">
        <f>=MIN(O80,S80,W80)</f>
        <v>400</v>
      </c>
      <c r="L80" s="877">
        <f>=F80*K80</f>
        <v>4800</v>
      </c>
      <c r="M80" s="894" t="s">
        <v>2284</v>
      </c>
      <c r="N80" s="721" t="s">
        <v>2285</v>
      </c>
      <c r="O80" s="721">
        <v>400</v>
      </c>
      <c r="P80" s="909">
        <f>=F80*O80</f>
        <v>4800</v>
      </c>
      <c r="Q80" s="894" t="s">
        <v>2286</v>
      </c>
      <c r="R80" s="721" t="s">
        <v>2287</v>
      </c>
      <c r="S80" s="721">
        <v>550</v>
      </c>
      <c r="T80" s="909">
        <f>=F80*S80</f>
        <v>6600</v>
      </c>
      <c r="U80" s="894" t="s">
        <v>2288</v>
      </c>
      <c r="V80" s="912" t="s"/>
      <c r="W80" s="888" t="s"/>
      <c r="X80" s="888" t="s"/>
      <c r="Y80" s="883" t="s">
        <v>2289</v>
      </c>
      <c r="Z80" s="888" t="s"/>
      <c r="AA80" s="884" t="s"/>
      <c r="AB80" s="884" t="s"/>
      <c r="AC80" s="884" t="s"/>
      <c r="AD80" s="884" t="s"/>
      <c r="AE80" s="884" t="s"/>
      <c r="AF80" s="884" t="s"/>
    </row>
    <row r="81" spans="1:32" customHeight="false">
      <c r="A81" s="714">
        <v>7</v>
      </c>
      <c r="B81" s="601" t="s">
        <v>2297</v>
      </c>
      <c r="C81" s="601" t="s">
        <v>2298</v>
      </c>
      <c r="D81" s="714" t="s"/>
      <c r="E81" s="90" t="s">
        <v>36</v>
      </c>
      <c r="F81" s="90">
        <v>4</v>
      </c>
      <c r="G81" s="714" t="s"/>
      <c r="H81" s="902" t="s"/>
      <c r="I81" s="903" t="s"/>
      <c r="J81" s="904" t="s"/>
      <c r="K81" s="882">
        <f>=MIN(O81,S81,W81)</f>
        <v>8000</v>
      </c>
      <c r="L81" s="877">
        <f>=F81*K81</f>
        <v>32000</v>
      </c>
      <c r="M81" s="894" t="s">
        <v>2284</v>
      </c>
      <c r="N81" s="721" t="s">
        <v>2285</v>
      </c>
      <c r="O81" s="721">
        <v>10000</v>
      </c>
      <c r="P81" s="909">
        <f>=F81*O81</f>
        <v>40000</v>
      </c>
      <c r="Q81" s="894" t="s">
        <v>2286</v>
      </c>
      <c r="R81" s="721" t="s">
        <v>2287</v>
      </c>
      <c r="S81" s="721">
        <v>8000</v>
      </c>
      <c r="T81" s="909">
        <f>=F81*S81</f>
        <v>32000</v>
      </c>
      <c r="U81" s="894" t="s">
        <v>2288</v>
      </c>
      <c r="V81" s="912" t="s"/>
      <c r="W81" s="888" t="s"/>
      <c r="X81" s="888" t="s"/>
      <c r="Y81" s="883" t="s">
        <v>2289</v>
      </c>
      <c r="Z81" s="888" t="s"/>
      <c r="AA81" s="884" t="s"/>
      <c r="AB81" s="884" t="s"/>
      <c r="AC81" s="884" t="s"/>
      <c r="AD81" s="884" t="s"/>
      <c r="AE81" s="884" t="s"/>
      <c r="AF81" s="884" t="s"/>
    </row>
    <row r="82" spans="1:32" customHeight="false">
      <c r="A82" s="714">
        <v>8</v>
      </c>
      <c r="B82" s="601" t="s">
        <v>1153</v>
      </c>
      <c r="C82" s="601" t="s">
        <v>2299</v>
      </c>
      <c r="D82" s="714" t="s"/>
      <c r="E82" s="90" t="s">
        <v>36</v>
      </c>
      <c r="F82" s="90">
        <v>4</v>
      </c>
      <c r="G82" s="714" t="s"/>
      <c r="H82" s="902" t="s"/>
      <c r="I82" s="903" t="s"/>
      <c r="J82" s="904" t="s"/>
      <c r="K82" s="882">
        <f>=MIN(O82,S82,W82)</f>
        <v>100</v>
      </c>
      <c r="L82" s="877">
        <f>=F82*K82</f>
        <v>400</v>
      </c>
      <c r="M82" s="894" t="s">
        <v>2284</v>
      </c>
      <c r="N82" s="721" t="s">
        <v>2285</v>
      </c>
      <c r="O82" s="721">
        <v>100</v>
      </c>
      <c r="P82" s="909">
        <f>=F82*O82</f>
        <v>400</v>
      </c>
      <c r="Q82" s="894" t="s">
        <v>2286</v>
      </c>
      <c r="R82" s="721" t="s">
        <v>2287</v>
      </c>
      <c r="S82" s="721">
        <v>320</v>
      </c>
      <c r="T82" s="909">
        <f>=F82*S82</f>
        <v>1280</v>
      </c>
      <c r="U82" s="894" t="s">
        <v>2288</v>
      </c>
      <c r="V82" s="912" t="s"/>
      <c r="W82" s="888" t="s"/>
      <c r="X82" s="888" t="s"/>
      <c r="Y82" s="883" t="s">
        <v>2289</v>
      </c>
      <c r="Z82" s="888" t="s"/>
      <c r="AA82" s="884" t="s"/>
      <c r="AB82" s="884" t="s"/>
      <c r="AC82" s="884" t="s"/>
      <c r="AD82" s="884" t="s"/>
      <c r="AE82" s="884" t="s"/>
      <c r="AF82" s="884" t="s"/>
    </row>
    <row r="83" spans="1:32" customHeight="false">
      <c r="A83" s="714">
        <v>9</v>
      </c>
      <c r="B83" s="601" t="s">
        <v>2300</v>
      </c>
      <c r="C83" s="601" t="s"/>
      <c r="D83" s="714" t="s"/>
      <c r="E83" s="90" t="s">
        <v>36</v>
      </c>
      <c r="F83" s="90">
        <v>12</v>
      </c>
      <c r="G83" s="714" t="s"/>
      <c r="H83" s="902" t="s"/>
      <c r="I83" s="903" t="s"/>
      <c r="J83" s="904" t="s"/>
      <c r="K83" s="882">
        <f>=MIN(O83,S83,W83)</f>
        <v>400</v>
      </c>
      <c r="L83" s="877">
        <f>=F83*K83</f>
        <v>4800</v>
      </c>
      <c r="M83" s="894" t="s">
        <v>2284</v>
      </c>
      <c r="N83" s="721" t="s">
        <v>2285</v>
      </c>
      <c r="O83" s="721">
        <v>500</v>
      </c>
      <c r="P83" s="909">
        <f>=F83*O83</f>
        <v>6000</v>
      </c>
      <c r="Q83" s="894" t="s">
        <v>2286</v>
      </c>
      <c r="R83" s="721" t="s">
        <v>2287</v>
      </c>
      <c r="S83" s="721">
        <v>400</v>
      </c>
      <c r="T83" s="909">
        <f>=F83*S83</f>
        <v>4800</v>
      </c>
      <c r="U83" s="894" t="s">
        <v>2288</v>
      </c>
      <c r="V83" s="912" t="s"/>
      <c r="W83" s="888" t="s"/>
      <c r="X83" s="888" t="s"/>
      <c r="Y83" s="883" t="s">
        <v>2289</v>
      </c>
      <c r="Z83" s="888" t="s"/>
      <c r="AA83" s="884" t="s"/>
      <c r="AB83" s="884" t="s"/>
      <c r="AC83" s="884" t="s"/>
      <c r="AD83" s="884" t="s"/>
      <c r="AE83" s="884" t="s"/>
      <c r="AF83" s="884" t="s"/>
    </row>
    <row r="84" spans="1:32" customHeight="false">
      <c r="A84" s="714">
        <v>10</v>
      </c>
      <c r="B84" s="601" t="s">
        <v>2301</v>
      </c>
      <c r="C84" s="601" t="s">
        <v>2302</v>
      </c>
      <c r="D84" s="714" t="s"/>
      <c r="E84" s="90" t="s">
        <v>36</v>
      </c>
      <c r="F84" s="90">
        <v>1</v>
      </c>
      <c r="G84" s="714" t="s"/>
      <c r="H84" s="902" t="s"/>
      <c r="I84" s="903" t="s"/>
      <c r="J84" s="904" t="s"/>
      <c r="K84" s="882">
        <f>=MIN(O84,S84,W84)</f>
        <v>1000</v>
      </c>
      <c r="L84" s="877">
        <f>=F84*K84</f>
        <v>1000</v>
      </c>
      <c r="M84" s="894" t="s">
        <v>2284</v>
      </c>
      <c r="N84" s="721" t="s">
        <v>2285</v>
      </c>
      <c r="O84" s="721">
        <v>1000</v>
      </c>
      <c r="P84" s="909">
        <f>=F84*O84</f>
        <v>1000</v>
      </c>
      <c r="Q84" s="894" t="s">
        <v>2286</v>
      </c>
      <c r="R84" s="721" t="s">
        <v>2287</v>
      </c>
      <c r="S84" s="721">
        <v>1300</v>
      </c>
      <c r="T84" s="909">
        <f>=F84*S84</f>
        <v>1300</v>
      </c>
      <c r="U84" s="894" t="s">
        <v>2288</v>
      </c>
      <c r="V84" s="912" t="s"/>
      <c r="W84" s="888" t="s"/>
      <c r="X84" s="888" t="s"/>
      <c r="Y84" s="883" t="s">
        <v>2289</v>
      </c>
      <c r="Z84" s="888" t="s"/>
      <c r="AA84" s="884" t="s"/>
      <c r="AB84" s="884" t="s"/>
      <c r="AC84" s="884" t="s"/>
      <c r="AD84" s="884" t="s"/>
      <c r="AE84" s="884" t="s"/>
      <c r="AF84" s="884" t="s"/>
    </row>
    <row r="85" spans="1:32" customHeight="false">
      <c r="A85" s="714">
        <v>11</v>
      </c>
      <c r="B85" s="601" t="s">
        <v>2303</v>
      </c>
      <c r="C85" s="601" t="s"/>
      <c r="D85" s="714" t="s"/>
      <c r="E85" s="90" t="s">
        <v>36</v>
      </c>
      <c r="F85" s="90">
        <v>12</v>
      </c>
      <c r="G85" s="714" t="s"/>
      <c r="H85" s="902" t="s"/>
      <c r="I85" s="903" t="s"/>
      <c r="J85" s="904" t="s"/>
      <c r="K85" s="882">
        <f>=MIN(O85,S85,W85)</f>
        <v>900</v>
      </c>
      <c r="L85" s="877">
        <f>=F85*K85</f>
        <v>10800</v>
      </c>
      <c r="M85" s="894" t="s">
        <v>2284</v>
      </c>
      <c r="N85" s="721" t="s">
        <v>2285</v>
      </c>
      <c r="O85" s="721">
        <v>1100</v>
      </c>
      <c r="P85" s="909">
        <f>=F85*O85</f>
        <v>13200</v>
      </c>
      <c r="Q85" s="894" t="s">
        <v>2286</v>
      </c>
      <c r="R85" s="721" t="s">
        <v>2287</v>
      </c>
      <c r="S85" s="721">
        <v>900</v>
      </c>
      <c r="T85" s="909">
        <f>=F85*S85</f>
        <v>10800</v>
      </c>
      <c r="U85" s="894" t="s">
        <v>2288</v>
      </c>
      <c r="V85" s="912" t="s"/>
      <c r="W85" s="888" t="s"/>
      <c r="X85" s="888" t="s"/>
      <c r="Y85" s="883" t="s">
        <v>2289</v>
      </c>
      <c r="Z85" s="888" t="s"/>
      <c r="AA85" s="884" t="s"/>
      <c r="AB85" s="884" t="s"/>
      <c r="AC85" s="884" t="s"/>
      <c r="AD85" s="884" t="s"/>
      <c r="AE85" s="884" t="s"/>
      <c r="AF85" s="884" t="s"/>
    </row>
    <row r="86" spans="1:32" customHeight="false">
      <c r="A86" s="714" t="s"/>
      <c r="B86" s="878" t="s">
        <v>2304</v>
      </c>
      <c r="C86" s="601" t="s"/>
      <c r="D86" s="714" t="s"/>
      <c r="E86" s="714" t="s"/>
      <c r="F86" s="714" t="s"/>
      <c r="G86" s="714" t="s"/>
      <c r="H86" s="902" t="s"/>
      <c r="I86" s="903" t="s"/>
      <c r="J86" s="904" t="s"/>
      <c r="K86" s="904" t="s"/>
      <c r="L86" s="905" t="s"/>
      <c r="M86" s="912" t="s"/>
      <c r="N86" s="912" t="s"/>
      <c r="O86" s="912" t="s"/>
      <c r="P86" s="912" t="s"/>
      <c r="Q86" s="912" t="s"/>
      <c r="R86" s="912" t="s"/>
      <c r="S86" s="912" t="s"/>
      <c r="T86" s="912" t="s"/>
      <c r="U86" s="912" t="s"/>
      <c r="V86" s="912" t="s"/>
      <c r="W86" s="888" t="s"/>
      <c r="X86" s="888" t="s"/>
      <c r="Y86" s="888" t="s"/>
      <c r="Z86" s="888" t="s"/>
      <c r="AA86" s="884" t="s"/>
      <c r="AB86" s="884" t="s"/>
      <c r="AC86" s="884" t="s"/>
      <c r="AD86" s="884" t="s"/>
      <c r="AE86" s="884" t="s"/>
      <c r="AF86" s="884" t="s"/>
    </row>
    <row r="87" spans="1:32" customHeight="false">
      <c r="A87" s="714">
        <v>12</v>
      </c>
      <c r="B87" s="601" t="s">
        <v>2305</v>
      </c>
      <c r="C87" s="601" t="s">
        <v>2306</v>
      </c>
      <c r="D87" s="714" t="s"/>
      <c r="E87" s="90" t="s">
        <v>2307</v>
      </c>
      <c r="F87" s="90">
        <v>1</v>
      </c>
      <c r="G87" s="714" t="s"/>
      <c r="H87" s="902" t="s"/>
      <c r="I87" s="903" t="s"/>
      <c r="J87" s="904" t="s"/>
      <c r="K87" s="882">
        <f>=MIN(O87,S87,W87)</f>
        <v>0</v>
      </c>
      <c r="L87" s="877">
        <f>=F87*K87</f>
        <v>0</v>
      </c>
      <c r="M87" s="894" t="s">
        <v>2284</v>
      </c>
      <c r="N87" s="912" t="s">
        <v>2201</v>
      </c>
      <c r="O87" s="912" t="s"/>
      <c r="P87" s="912" t="s"/>
      <c r="Q87" s="894" t="s">
        <v>2286</v>
      </c>
      <c r="R87" s="912" t="s">
        <v>2201</v>
      </c>
      <c r="S87" s="912" t="s"/>
      <c r="T87" s="912" t="s"/>
      <c r="U87" s="894" t="s">
        <v>2288</v>
      </c>
      <c r="V87" s="912" t="s"/>
      <c r="W87" s="888" t="s"/>
      <c r="X87" s="888" t="s"/>
      <c r="Y87" s="883" t="s">
        <v>2289</v>
      </c>
      <c r="Z87" s="888" t="s"/>
      <c r="AA87" s="884" t="s"/>
      <c r="AB87" s="884" t="s"/>
      <c r="AC87" s="884" t="s"/>
      <c r="AD87" s="884" t="s"/>
      <c r="AE87" s="884" t="s"/>
      <c r="AF87" s="884" t="s"/>
    </row>
    <row r="88" spans="1:32" customHeight="false">
      <c r="A88" s="873" t="s">
        <v>2308</v>
      </c>
      <c r="B88" s="901" t="s">
        <v>2309</v>
      </c>
      <c r="C88" s="76" t="s"/>
      <c r="D88" s="714" t="s"/>
      <c r="E88" s="714" t="s"/>
      <c r="F88" s="714" t="s"/>
      <c r="G88" s="714" t="s"/>
      <c r="H88" s="902" t="s"/>
      <c r="I88" s="903" t="s"/>
      <c r="J88" s="904" t="s"/>
      <c r="K88" s="904" t="s"/>
      <c r="L88" s="905" t="s"/>
      <c r="M88" s="912" t="s"/>
      <c r="N88" s="912" t="s"/>
      <c r="O88" s="912" t="s"/>
      <c r="P88" s="912" t="s"/>
      <c r="Q88" s="912" t="s"/>
      <c r="R88" s="912" t="s"/>
      <c r="S88" s="912" t="s"/>
      <c r="T88" s="912" t="s"/>
      <c r="U88" s="912" t="s"/>
      <c r="V88" s="912" t="s"/>
      <c r="W88" s="888" t="s"/>
      <c r="X88" s="888" t="s"/>
      <c r="Y88" s="888" t="s"/>
      <c r="Z88" s="888" t="s"/>
      <c r="AA88" s="884" t="s"/>
      <c r="AB88" s="884" t="s"/>
      <c r="AC88" s="884" t="s"/>
      <c r="AD88" s="884" t="s"/>
      <c r="AE88" s="884" t="s"/>
      <c r="AF88" s="884" t="s"/>
    </row>
    <row r="89" spans="1:32" customHeight="false">
      <c r="A89" s="714">
        <v>1</v>
      </c>
      <c r="B89" s="601" t="s">
        <v>2310</v>
      </c>
      <c r="C89" s="881" t="s">
        <v>2311</v>
      </c>
      <c r="D89" s="714" t="s"/>
      <c r="E89" s="90" t="s">
        <v>36</v>
      </c>
      <c r="F89" s="90">
        <v>152</v>
      </c>
      <c r="G89" s="714" t="s"/>
      <c r="H89" s="902" t="s"/>
      <c r="I89" s="903" t="s"/>
      <c r="J89" s="904" t="s"/>
      <c r="K89" s="882">
        <f>=MIN(O89,S89,W89)</f>
        <v>3015</v>
      </c>
      <c r="L89" s="877">
        <f>=F89*K89</f>
        <v>458280</v>
      </c>
      <c r="M89" s="894" t="s">
        <v>2312</v>
      </c>
      <c r="N89" s="912" t="s"/>
      <c r="O89" s="721">
        <v>3015</v>
      </c>
      <c r="P89" s="909">
        <f>=F89*O89</f>
        <v>458280</v>
      </c>
      <c r="Q89" s="894" t="s">
        <v>2313</v>
      </c>
      <c r="R89" s="912" t="s"/>
      <c r="S89" s="912" t="s"/>
      <c r="T89" s="912" t="s"/>
      <c r="U89" s="894" t="s">
        <v>2314</v>
      </c>
      <c r="V89" s="912" t="s"/>
      <c r="W89" s="601">
        <v>4961</v>
      </c>
      <c r="X89" s="601">
        <f>=F89*W89</f>
        <v>754072</v>
      </c>
      <c r="Y89" s="888" t="s"/>
      <c r="Z89" s="888" t="s"/>
      <c r="AA89" s="884" t="s"/>
      <c r="AB89" s="884" t="s"/>
      <c r="AC89" s="884" t="s"/>
      <c r="AD89" s="884" t="s"/>
      <c r="AE89" s="884" t="s"/>
      <c r="AF89" s="884" t="s"/>
    </row>
    <row r="90" spans="1:32" customHeight="false">
      <c r="A90" s="714">
        <v>2</v>
      </c>
      <c r="B90" s="601" t="s">
        <v>2315</v>
      </c>
      <c r="C90" s="881" t="s">
        <v>2316</v>
      </c>
      <c r="D90" s="714" t="s"/>
      <c r="E90" s="90" t="s">
        <v>36</v>
      </c>
      <c r="F90" s="90">
        <v>4</v>
      </c>
      <c r="G90" s="714" t="s"/>
      <c r="H90" s="902" t="s"/>
      <c r="I90" s="903" t="s"/>
      <c r="J90" s="904" t="s"/>
      <c r="K90" s="882">
        <f>=MIN(O90,S90,W90)</f>
        <v>4961</v>
      </c>
      <c r="L90" s="877">
        <f>=F90*K90</f>
        <v>19844</v>
      </c>
      <c r="M90" s="894" t="s">
        <v>2312</v>
      </c>
      <c r="N90" s="912" t="s"/>
      <c r="O90" s="721">
        <v>6149</v>
      </c>
      <c r="P90" s="909">
        <f>=F90*O90</f>
        <v>24596</v>
      </c>
      <c r="Q90" s="894" t="s">
        <v>2313</v>
      </c>
      <c r="R90" s="912" t="s"/>
      <c r="S90" s="912" t="s"/>
      <c r="T90" s="912" t="s"/>
      <c r="U90" s="894" t="s">
        <v>2314</v>
      </c>
      <c r="V90" s="912" t="s"/>
      <c r="W90" s="601">
        <v>4961</v>
      </c>
      <c r="X90" s="601">
        <f>=F90*W90</f>
        <v>19844</v>
      </c>
      <c r="Y90" s="888" t="s"/>
      <c r="Z90" s="888" t="s"/>
      <c r="AA90" s="884" t="s"/>
      <c r="AB90" s="884" t="s"/>
      <c r="AC90" s="884" t="s"/>
      <c r="AD90" s="884" t="s"/>
      <c r="AE90" s="884" t="s"/>
      <c r="AF90" s="884" t="s"/>
    </row>
    <row r="91" spans="1:32" customHeight="false">
      <c r="A91" s="714">
        <v>3</v>
      </c>
      <c r="B91" s="90" t="s">
        <v>2310</v>
      </c>
      <c r="C91" s="881" t="s">
        <v>2317</v>
      </c>
      <c r="D91" s="714" t="s"/>
      <c r="E91" s="90" t="s">
        <v>36</v>
      </c>
      <c r="F91" s="90">
        <v>31</v>
      </c>
      <c r="G91" s="714" t="s"/>
      <c r="H91" s="902" t="s"/>
      <c r="I91" s="903" t="s"/>
      <c r="J91" s="904" t="s"/>
      <c r="K91" s="882">
        <f>=MIN(O91,S91,W91)</f>
        <v>2818</v>
      </c>
      <c r="L91" s="877">
        <f>=F91*K91</f>
        <v>87358</v>
      </c>
      <c r="M91" s="894" t="s">
        <v>2312</v>
      </c>
      <c r="N91" s="912" t="s"/>
      <c r="O91" s="721">
        <v>2818</v>
      </c>
      <c r="P91" s="909">
        <f>=F91*O91</f>
        <v>87358</v>
      </c>
      <c r="Q91" s="894" t="s">
        <v>2313</v>
      </c>
      <c r="R91" s="912" t="s"/>
      <c r="S91" s="912" t="s"/>
      <c r="T91" s="912" t="s"/>
      <c r="U91" s="894" t="s">
        <v>2314</v>
      </c>
      <c r="V91" s="912" t="s"/>
      <c r="W91" s="601">
        <v>4399</v>
      </c>
      <c r="X91" s="601">
        <f>=F91*W91</f>
        <v>136369</v>
      </c>
      <c r="Y91" s="888" t="s"/>
      <c r="Z91" s="888" t="s"/>
      <c r="AA91" s="884" t="s"/>
      <c r="AB91" s="884" t="s"/>
      <c r="AC91" s="884" t="s"/>
      <c r="AD91" s="884" t="s"/>
      <c r="AE91" s="884" t="s"/>
      <c r="AF91" s="884" t="s"/>
    </row>
    <row r="92" spans="1:32" customHeight="false">
      <c r="A92" s="714">
        <v>4</v>
      </c>
      <c r="B92" s="90" t="s">
        <v>2318</v>
      </c>
      <c r="C92" s="881" t="s">
        <v>2319</v>
      </c>
      <c r="D92" s="714" t="s"/>
      <c r="E92" s="90" t="s">
        <v>36</v>
      </c>
      <c r="F92" s="90">
        <v>3</v>
      </c>
      <c r="G92" s="714" t="s"/>
      <c r="H92" s="902" t="s"/>
      <c r="I92" s="903" t="s"/>
      <c r="J92" s="904" t="s"/>
      <c r="K92" s="882">
        <f>=MIN(O92,S92,W92)</f>
        <v>809</v>
      </c>
      <c r="L92" s="877">
        <f>=F92*K92</f>
        <v>2427</v>
      </c>
      <c r="M92" s="894" t="s">
        <v>2312</v>
      </c>
      <c r="N92" s="912" t="s"/>
      <c r="O92" s="721">
        <v>809</v>
      </c>
      <c r="P92" s="909">
        <f>=F92*O92</f>
        <v>2427</v>
      </c>
      <c r="Q92" s="894" t="s">
        <v>2313</v>
      </c>
      <c r="R92" s="912" t="s"/>
      <c r="S92" s="912" t="s"/>
      <c r="T92" s="912" t="s"/>
      <c r="U92" s="894" t="s">
        <v>2314</v>
      </c>
      <c r="V92" s="912" t="s"/>
      <c r="W92" s="601">
        <v>2246</v>
      </c>
      <c r="X92" s="601">
        <f>=F92*W92</f>
        <v>6738</v>
      </c>
      <c r="Y92" s="888" t="s"/>
      <c r="Z92" s="888" t="s"/>
      <c r="AA92" s="884" t="s"/>
      <c r="AB92" s="884" t="s"/>
      <c r="AC92" s="884" t="s"/>
      <c r="AD92" s="884" t="s"/>
      <c r="AE92" s="884" t="s"/>
      <c r="AF92" s="884" t="s"/>
    </row>
    <row r="93" spans="1:32" customHeight="false">
      <c r="A93" s="714">
        <v>5</v>
      </c>
      <c r="B93" s="90" t="s">
        <v>2318</v>
      </c>
      <c r="C93" s="881" t="s">
        <v>2320</v>
      </c>
      <c r="D93" s="714" t="s"/>
      <c r="E93" s="90" t="s">
        <v>36</v>
      </c>
      <c r="F93" s="90">
        <v>1</v>
      </c>
      <c r="G93" s="714" t="s"/>
      <c r="H93" s="902" t="s"/>
      <c r="I93" s="903" t="s"/>
      <c r="J93" s="904" t="s"/>
      <c r="K93" s="882">
        <f>=MIN(O93,S93,W93)</f>
        <v>809</v>
      </c>
      <c r="L93" s="877">
        <f>=F93*K93</f>
        <v>809</v>
      </c>
      <c r="M93" s="894" t="s">
        <v>2312</v>
      </c>
      <c r="N93" s="912" t="s"/>
      <c r="O93" s="721">
        <v>809</v>
      </c>
      <c r="P93" s="909">
        <f>=F93*O93</f>
        <v>809</v>
      </c>
      <c r="Q93" s="894" t="s">
        <v>2313</v>
      </c>
      <c r="R93" s="912" t="s"/>
      <c r="S93" s="912" t="s"/>
      <c r="T93" s="912" t="s"/>
      <c r="U93" s="894" t="s">
        <v>2314</v>
      </c>
      <c r="V93" s="912" t="s"/>
      <c r="W93" s="601">
        <v>2246</v>
      </c>
      <c r="X93" s="601">
        <f>=F93*W93</f>
        <v>2246</v>
      </c>
      <c r="Y93" s="888" t="s"/>
      <c r="Z93" s="888" t="s"/>
      <c r="AA93" s="884" t="s"/>
      <c r="AB93" s="884" t="s"/>
      <c r="AC93" s="884" t="s"/>
      <c r="AD93" s="884" t="s"/>
      <c r="AE93" s="884" t="s"/>
      <c r="AF93" s="884" t="s"/>
    </row>
    <row r="94" spans="1:32" customHeight="false">
      <c r="A94" s="714">
        <v>6</v>
      </c>
      <c r="B94" s="90" t="s">
        <v>2321</v>
      </c>
      <c r="C94" s="881" t="s">
        <v>2322</v>
      </c>
      <c r="D94" s="714" t="s"/>
      <c r="E94" s="90" t="s">
        <v>36</v>
      </c>
      <c r="F94" s="90">
        <v>2</v>
      </c>
      <c r="G94" s="714" t="s"/>
      <c r="H94" s="902" t="s"/>
      <c r="I94" s="903" t="s"/>
      <c r="J94" s="904" t="s"/>
      <c r="K94" s="882">
        <f>=MIN(O94,S94,W94)</f>
        <v>24355</v>
      </c>
      <c r="L94" s="877">
        <f>=F94*K94</f>
        <v>48710</v>
      </c>
      <c r="M94" s="894" t="s">
        <v>2312</v>
      </c>
      <c r="N94" s="912" t="s"/>
      <c r="O94" s="721">
        <f>=6355+12*1500</f>
        <v>24355</v>
      </c>
      <c r="P94" s="909">
        <f>=F94*O94</f>
        <v>48710</v>
      </c>
      <c r="Q94" s="894" t="s">
        <v>2313</v>
      </c>
      <c r="R94" s="912" t="s"/>
      <c r="S94" s="912" t="s"/>
      <c r="T94" s="912" t="s"/>
      <c r="U94" s="894" t="s">
        <v>2314</v>
      </c>
      <c r="V94" s="912" t="s"/>
      <c r="W94" s="601">
        <v>24365</v>
      </c>
      <c r="X94" s="601">
        <f>=F94*W94</f>
        <v>48730</v>
      </c>
      <c r="Y94" s="888" t="s"/>
      <c r="Z94" s="888" t="s"/>
      <c r="AA94" s="884" t="s"/>
      <c r="AB94" s="884" t="s"/>
      <c r="AC94" s="884" t="s"/>
      <c r="AD94" s="884" t="s"/>
      <c r="AE94" s="884" t="s"/>
      <c r="AF94" s="884" t="s"/>
    </row>
    <row r="95" spans="1:32" customHeight="false">
      <c r="A95" s="714">
        <v>7</v>
      </c>
      <c r="B95" s="90" t="s">
        <v>2321</v>
      </c>
      <c r="C95" s="881" t="s">
        <v>2323</v>
      </c>
      <c r="D95" s="714" t="s"/>
      <c r="E95" s="90" t="s">
        <v>36</v>
      </c>
      <c r="F95" s="90">
        <v>3</v>
      </c>
      <c r="G95" s="714" t="s"/>
      <c r="H95" s="902" t="s"/>
      <c r="I95" s="903" t="s"/>
      <c r="J95" s="904" t="s"/>
      <c r="K95" s="882">
        <f>=MIN(O95,S95,W95)</f>
        <v>45885</v>
      </c>
      <c r="L95" s="877">
        <f>=F95*K95</f>
        <v>137655</v>
      </c>
      <c r="M95" s="894" t="s">
        <v>2312</v>
      </c>
      <c r="N95" s="912" t="s"/>
      <c r="O95" s="721">
        <f>=9885+24*1500</f>
        <v>45885</v>
      </c>
      <c r="P95" s="909">
        <f>=F95*O95</f>
        <v>137655</v>
      </c>
      <c r="Q95" s="894" t="s">
        <v>2313</v>
      </c>
      <c r="R95" s="912" t="s"/>
      <c r="S95" s="912" t="s"/>
      <c r="T95" s="912" t="s"/>
      <c r="U95" s="894" t="s">
        <v>2314</v>
      </c>
      <c r="V95" s="912" t="s"/>
      <c r="W95" s="601">
        <v>50939</v>
      </c>
      <c r="X95" s="601">
        <f>=F95*W95</f>
        <v>152817</v>
      </c>
      <c r="Y95" s="888" t="s"/>
      <c r="Z95" s="888" t="s"/>
      <c r="AA95" s="884" t="s"/>
      <c r="AB95" s="884" t="s"/>
      <c r="AC95" s="884" t="s"/>
      <c r="AD95" s="884" t="s"/>
      <c r="AE95" s="884" t="s"/>
      <c r="AF95" s="884" t="s"/>
    </row>
    <row r="96" spans="1:32" customHeight="false">
      <c r="A96" s="714">
        <v>8</v>
      </c>
      <c r="B96" s="601" t="s">
        <v>2324</v>
      </c>
      <c r="C96" s="881" t="s">
        <v>2325</v>
      </c>
      <c r="D96" s="714" t="s"/>
      <c r="E96" s="90" t="s">
        <v>36</v>
      </c>
      <c r="F96" s="90">
        <v>1</v>
      </c>
      <c r="G96" s="714" t="s"/>
      <c r="H96" s="902" t="s"/>
      <c r="I96" s="903" t="s"/>
      <c r="J96" s="904" t="s"/>
      <c r="K96" s="882">
        <f>=MIN(O96,S96,W96)</f>
        <v>62016</v>
      </c>
      <c r="L96" s="877">
        <f>=F96*K96</f>
        <v>62016</v>
      </c>
      <c r="M96" s="894" t="s">
        <v>2312</v>
      </c>
      <c r="N96" s="912" t="s"/>
      <c r="O96" s="912" t="s"/>
      <c r="P96" s="912" t="s"/>
      <c r="Q96" s="894" t="s">
        <v>2313</v>
      </c>
      <c r="R96" s="912" t="s"/>
      <c r="S96" s="912" t="s"/>
      <c r="T96" s="912" t="s"/>
      <c r="U96" s="894" t="s">
        <v>2314</v>
      </c>
      <c r="V96" s="912" t="s"/>
      <c r="W96" s="601">
        <v>62016</v>
      </c>
      <c r="X96" s="601">
        <f>=F96*W96</f>
        <v>62016</v>
      </c>
      <c r="Y96" s="888" t="s"/>
      <c r="Z96" s="888" t="s"/>
      <c r="AA96" s="884" t="s"/>
      <c r="AB96" s="884" t="s"/>
      <c r="AC96" s="884" t="s"/>
      <c r="AD96" s="884" t="s"/>
      <c r="AE96" s="884" t="s"/>
      <c r="AF96" s="884" t="s"/>
    </row>
    <row r="97" spans="1:32" customHeight="false">
      <c r="A97" s="714">
        <v>9</v>
      </c>
      <c r="B97" s="883" t="s">
        <v>2326</v>
      </c>
      <c r="C97" s="881" t="s">
        <v>2327</v>
      </c>
      <c r="D97" s="714" t="s"/>
      <c r="E97" s="90" t="s">
        <v>2328</v>
      </c>
      <c r="F97" s="90">
        <v>50</v>
      </c>
      <c r="G97" s="714" t="s"/>
      <c r="H97" s="902" t="s"/>
      <c r="I97" s="903" t="s"/>
      <c r="J97" s="904" t="s"/>
      <c r="K97" s="882">
        <f>=MIN(O97,S97,W97)</f>
        <v>459</v>
      </c>
      <c r="L97" s="877">
        <f>=F97*K97</f>
        <v>22950</v>
      </c>
      <c r="M97" s="894" t="s">
        <v>2312</v>
      </c>
      <c r="N97" s="912" t="s"/>
      <c r="O97" s="721">
        <v>459</v>
      </c>
      <c r="P97" s="909">
        <f>=F97*O97</f>
        <v>22950</v>
      </c>
      <c r="Q97" s="894" t="s">
        <v>2313</v>
      </c>
      <c r="R97" s="912" t="s"/>
      <c r="S97" s="912" t="s"/>
      <c r="T97" s="912" t="s"/>
      <c r="U97" s="894" t="s">
        <v>2314</v>
      </c>
      <c r="V97" s="912" t="s"/>
      <c r="W97" s="601">
        <v>550</v>
      </c>
      <c r="X97" s="601">
        <f>=F97*W97</f>
        <v>27500</v>
      </c>
      <c r="Y97" s="888" t="s"/>
      <c r="Z97" s="888" t="s"/>
      <c r="AA97" s="884" t="s"/>
      <c r="AB97" s="884" t="s"/>
      <c r="AC97" s="884" t="s"/>
      <c r="AD97" s="884" t="s"/>
      <c r="AE97" s="884" t="s"/>
      <c r="AF97" s="884" t="s"/>
    </row>
    <row r="98" spans="1:32" customHeight="false">
      <c r="A98" s="714">
        <v>10</v>
      </c>
      <c r="B98" s="601" t="s">
        <v>2154</v>
      </c>
      <c r="C98" s="881" t="s">
        <v>2329</v>
      </c>
      <c r="D98" s="714" t="s"/>
      <c r="E98" s="90" t="s">
        <v>36</v>
      </c>
      <c r="F98" s="90">
        <v>6</v>
      </c>
      <c r="G98" s="714" t="s"/>
      <c r="H98" s="902" t="s"/>
      <c r="I98" s="903" t="s"/>
      <c r="J98" s="904" t="s"/>
      <c r="K98" s="882">
        <v>15000</v>
      </c>
      <c r="L98" s="877">
        <f>=F98*K98</f>
        <v>90000</v>
      </c>
      <c r="M98" s="893" t="s">
        <v>2219</v>
      </c>
      <c r="N98" s="721" t="s">
        <v>2220</v>
      </c>
      <c r="O98" s="721" t="s"/>
      <c r="P98" s="721" t="s"/>
      <c r="Q98" s="893" t="s">
        <v>2150</v>
      </c>
      <c r="R98" s="721" t="s"/>
      <c r="S98" s="721" t="s"/>
      <c r="T98" s="721" t="s"/>
      <c r="U98" s="894" t="s">
        <v>1164</v>
      </c>
      <c r="V98" s="721" t="s">
        <v>2149</v>
      </c>
      <c r="W98" s="881">
        <v>73892</v>
      </c>
      <c r="X98" s="601">
        <f>=F98*W98</f>
        <v>443352</v>
      </c>
      <c r="Y98" s="883" t="s">
        <v>2206</v>
      </c>
      <c r="Z98" s="601" t="s">
        <v>2207</v>
      </c>
      <c r="AA98" s="884" t="s"/>
      <c r="AB98" s="884" t="s"/>
      <c r="AC98" s="884" t="s"/>
      <c r="AD98" s="884" t="s"/>
      <c r="AE98" s="884" t="s"/>
      <c r="AF98" s="884" t="s"/>
    </row>
    <row r="99" spans="1:32" customHeight="false">
      <c r="A99" s="714">
        <v>11</v>
      </c>
      <c r="B99" s="90" t="s">
        <v>2154</v>
      </c>
      <c r="C99" s="881" t="s">
        <v>2330</v>
      </c>
      <c r="D99" s="714" t="s"/>
      <c r="E99" s="90" t="s">
        <v>36</v>
      </c>
      <c r="F99" s="90">
        <v>5</v>
      </c>
      <c r="G99" s="714" t="s"/>
      <c r="H99" s="902" t="s"/>
      <c r="I99" s="903" t="s"/>
      <c r="J99" s="904" t="s"/>
      <c r="K99" s="882">
        <v>10000</v>
      </c>
      <c r="L99" s="877">
        <f>=F99*K99</f>
        <v>50000</v>
      </c>
      <c r="M99" s="893" t="s">
        <v>2219</v>
      </c>
      <c r="N99" s="721" t="s">
        <v>2220</v>
      </c>
      <c r="O99" s="721" t="s"/>
      <c r="P99" s="721" t="s"/>
      <c r="Q99" s="893" t="s">
        <v>2150</v>
      </c>
      <c r="R99" s="721" t="s"/>
      <c r="S99" s="721" t="s"/>
      <c r="T99" s="721" t="s"/>
      <c r="U99" s="894" t="s">
        <v>1164</v>
      </c>
      <c r="V99" s="721" t="s">
        <v>2149</v>
      </c>
      <c r="W99" s="881">
        <v>33210</v>
      </c>
      <c r="X99" s="601">
        <f>=F99*W99</f>
        <v>166050</v>
      </c>
      <c r="Y99" s="883" t="s">
        <v>2206</v>
      </c>
      <c r="Z99" s="601" t="s">
        <v>2207</v>
      </c>
      <c r="AA99" s="884" t="s"/>
      <c r="AB99" s="884" t="s"/>
      <c r="AC99" s="884" t="s"/>
      <c r="AD99" s="884" t="s"/>
      <c r="AE99" s="884" t="s"/>
      <c r="AF99" s="884" t="s"/>
    </row>
    <row r="100" spans="1:32" customHeight="false">
      <c r="A100" s="714">
        <v>12</v>
      </c>
      <c r="B100" s="90" t="s">
        <v>2154</v>
      </c>
      <c r="C100" s="881" t="s">
        <v>2331</v>
      </c>
      <c r="D100" s="714" t="s"/>
      <c r="E100" s="90" t="s">
        <v>36</v>
      </c>
      <c r="F100" s="90">
        <v>10</v>
      </c>
      <c r="G100" s="714" t="s"/>
      <c r="H100" s="902" t="s"/>
      <c r="I100" s="903" t="s"/>
      <c r="J100" s="904" t="s"/>
      <c r="K100" s="882">
        <v>8000</v>
      </c>
      <c r="L100" s="877">
        <f>=F100*K100</f>
        <v>80000</v>
      </c>
      <c r="M100" s="893" t="s">
        <v>2219</v>
      </c>
      <c r="N100" s="721" t="s">
        <v>2220</v>
      </c>
      <c r="O100" s="721" t="s"/>
      <c r="P100" s="721" t="s"/>
      <c r="Q100" s="893" t="s">
        <v>2150</v>
      </c>
      <c r="R100" s="721" t="s"/>
      <c r="S100" s="721" t="s"/>
      <c r="T100" s="721" t="s"/>
      <c r="U100" s="894" t="s">
        <v>1164</v>
      </c>
      <c r="V100" s="721" t="s">
        <v>2149</v>
      </c>
      <c r="W100" s="881">
        <v>15180</v>
      </c>
      <c r="X100" s="601">
        <f>=F100*W100</f>
        <v>151800</v>
      </c>
      <c r="Y100" s="883" t="s">
        <v>2206</v>
      </c>
      <c r="Z100" s="601" t="s">
        <v>2207</v>
      </c>
      <c r="AA100" s="884" t="s"/>
      <c r="AB100" s="884" t="s"/>
      <c r="AC100" s="884" t="s"/>
      <c r="AD100" s="884" t="s"/>
      <c r="AE100" s="884" t="s"/>
      <c r="AF100" s="884" t="s"/>
    </row>
    <row r="101" spans="1:32" customHeight="false">
      <c r="A101" s="714">
        <v>20</v>
      </c>
      <c r="B101" s="90" t="s">
        <v>2156</v>
      </c>
      <c r="C101" s="884" t="s">
        <v>2575</v>
      </c>
      <c r="D101" s="714" t="s"/>
      <c r="E101" s="90" t="s">
        <v>36</v>
      </c>
      <c r="F101" s="90">
        <v>7</v>
      </c>
      <c r="G101" s="714" t="s"/>
      <c r="H101" s="902" t="s"/>
      <c r="I101" s="903" t="s"/>
      <c r="J101" s="904" t="s"/>
      <c r="K101" s="882">
        <f>=MIN(O101,S101,W101)</f>
        <v>15690</v>
      </c>
      <c r="L101" s="877">
        <f>=F101*K101</f>
        <v>109830</v>
      </c>
      <c r="M101" s="894" t="s">
        <v>2576</v>
      </c>
      <c r="N101" s="721" t="s">
        <v>2158</v>
      </c>
      <c r="O101" s="721">
        <f>=109830/7</f>
        <v>15690</v>
      </c>
      <c r="P101" s="721">
        <f>=F101*O101</f>
        <v>109830</v>
      </c>
      <c r="Q101" s="894" t="s">
        <v>2577</v>
      </c>
      <c r="R101" s="721" t="s">
        <v>2159</v>
      </c>
      <c r="S101" s="721">
        <f>=152530/7</f>
        <v>21790</v>
      </c>
      <c r="T101" s="721">
        <f>=F101*S101</f>
        <v>152530</v>
      </c>
      <c r="U101" s="894" t="s">
        <v>2578</v>
      </c>
      <c r="V101" s="721" t="s">
        <v>2160</v>
      </c>
      <c r="W101" s="601">
        <v>26300</v>
      </c>
      <c r="X101" s="601">
        <f>=F101*W101</f>
        <v>184100</v>
      </c>
      <c r="Y101" s="883" t="s">
        <v>2573</v>
      </c>
      <c r="Z101" s="888" t="s"/>
      <c r="AA101" s="884" t="s"/>
      <c r="AB101" s="884" t="s"/>
      <c r="AC101" s="883" t="s">
        <v>2161</v>
      </c>
      <c r="AD101" s="884" t="s"/>
      <c r="AE101" s="884" t="s"/>
      <c r="AF101" s="884" t="s"/>
    </row>
    <row r="102" spans="1:32" customHeight="false">
      <c r="A102" s="914" t="s">
        <v>2332</v>
      </c>
      <c r="B102" s="915" t="s">
        <v>2333</v>
      </c>
      <c r="C102" s="76" t="s"/>
      <c r="D102" s="714" t="s"/>
      <c r="E102" s="714" t="s"/>
      <c r="F102" s="714" t="s"/>
      <c r="G102" s="714" t="s"/>
      <c r="H102" s="902" t="s"/>
      <c r="I102" s="903" t="s"/>
      <c r="J102" s="904" t="s"/>
      <c r="K102" s="904" t="s"/>
      <c r="L102" s="905" t="s"/>
      <c r="M102" s="912" t="s"/>
      <c r="N102" s="912" t="s"/>
      <c r="O102" s="912" t="s"/>
      <c r="P102" s="912" t="s"/>
      <c r="Q102" s="912" t="s"/>
      <c r="R102" s="912" t="s"/>
      <c r="S102" s="912" t="s"/>
      <c r="T102" s="912" t="s"/>
      <c r="U102" s="912" t="s"/>
      <c r="V102" s="912" t="s"/>
      <c r="W102" s="888" t="s"/>
      <c r="X102" s="888" t="s"/>
      <c r="Y102" s="888" t="s"/>
      <c r="Z102" s="888" t="s"/>
      <c r="AA102" s="884" t="s"/>
      <c r="AB102" s="884" t="s"/>
      <c r="AC102" s="884" t="s"/>
      <c r="AD102" s="884" t="s"/>
      <c r="AE102" s="884" t="s"/>
      <c r="AF102" s="884" t="s"/>
    </row>
    <row r="103" spans="1:32" customHeight="false">
      <c r="A103" s="714">
        <v>1</v>
      </c>
      <c r="B103" s="916" t="s">
        <v>2334</v>
      </c>
      <c r="C103" s="917" t="s">
        <v>2335</v>
      </c>
      <c r="D103" s="714" t="s"/>
      <c r="E103" s="90" t="s">
        <v>36</v>
      </c>
      <c r="F103" s="90">
        <v>1</v>
      </c>
      <c r="G103" s="714" t="s"/>
      <c r="H103" s="902" t="s"/>
      <c r="I103" s="903" t="s"/>
      <c r="J103" s="904" t="s"/>
      <c r="K103" s="882">
        <f>=MIN(O103,S103,W103)</f>
        <v>1080</v>
      </c>
      <c r="L103" s="877">
        <f>=F103*K103</f>
        <v>1080</v>
      </c>
      <c r="M103" s="894" t="s">
        <v>2336</v>
      </c>
      <c r="N103" s="912" t="s"/>
      <c r="O103" s="721">
        <v>1080</v>
      </c>
      <c r="P103" s="721">
        <f>=F103*O103</f>
        <v>1080</v>
      </c>
      <c r="Q103" s="912" t="s"/>
      <c r="R103" s="912" t="s"/>
      <c r="S103" s="912" t="s"/>
      <c r="T103" s="912" t="s"/>
      <c r="U103" s="912" t="s"/>
      <c r="V103" s="912" t="s"/>
      <c r="W103" s="888" t="s"/>
      <c r="X103" s="888" t="s"/>
      <c r="Y103" s="918" t="s"/>
      <c r="Z103" s="888" t="s"/>
      <c r="AA103" s="884" t="s"/>
      <c r="AB103" s="884" t="s"/>
      <c r="AC103" s="884" t="s"/>
      <c r="AD103" s="884" t="s"/>
      <c r="AE103" s="884" t="s"/>
      <c r="AF103" s="884" t="s"/>
    </row>
    <row r="104" spans="1:32" customHeight="false">
      <c r="A104" s="714">
        <v>2</v>
      </c>
      <c r="B104" s="916" t="s">
        <v>2337</v>
      </c>
      <c r="C104" s="917" t="s"/>
      <c r="D104" s="714" t="s"/>
      <c r="E104" s="90" t="s">
        <v>36</v>
      </c>
      <c r="F104" s="90">
        <v>1</v>
      </c>
      <c r="G104" s="714" t="s"/>
      <c r="H104" s="902" t="s"/>
      <c r="I104" s="903" t="s"/>
      <c r="J104" s="904" t="s"/>
      <c r="K104" s="882">
        <f>=MIN(O104,S104,W104)</f>
        <v>15</v>
      </c>
      <c r="L104" s="877">
        <f>=F104*K104</f>
        <v>15</v>
      </c>
      <c r="M104" s="894" t="s">
        <v>2336</v>
      </c>
      <c r="N104" s="912" t="s"/>
      <c r="O104" s="721">
        <v>15</v>
      </c>
      <c r="P104" s="721">
        <f>=F104*O104</f>
        <v>15</v>
      </c>
      <c r="Q104" s="912" t="s"/>
      <c r="R104" s="912" t="s"/>
      <c r="S104" s="912" t="s"/>
      <c r="T104" s="912" t="s"/>
      <c r="U104" s="912" t="s"/>
      <c r="V104" s="912" t="s"/>
      <c r="W104" s="888" t="s"/>
      <c r="X104" s="888" t="s"/>
      <c r="Y104" s="918" t="s"/>
      <c r="Z104" s="888" t="s"/>
      <c r="AA104" s="884" t="s"/>
      <c r="AB104" s="884" t="s"/>
      <c r="AC104" s="884" t="s"/>
      <c r="AD104" s="884" t="s"/>
      <c r="AE104" s="884" t="s"/>
      <c r="AF104" s="884" t="s"/>
    </row>
    <row r="105" spans="1:32" customHeight="false">
      <c r="A105" s="714">
        <v>3</v>
      </c>
      <c r="B105" s="916" t="s">
        <v>2338</v>
      </c>
      <c r="C105" s="917" t="s"/>
      <c r="D105" s="714" t="s"/>
      <c r="E105" s="90" t="s">
        <v>36</v>
      </c>
      <c r="F105" s="90">
        <v>1</v>
      </c>
      <c r="G105" s="714" t="s"/>
      <c r="H105" s="902" t="s"/>
      <c r="I105" s="903" t="s"/>
      <c r="J105" s="904" t="s"/>
      <c r="K105" s="882">
        <f>=MIN(O105,S105,W105)</f>
        <v>550</v>
      </c>
      <c r="L105" s="877">
        <f>=F105*K105</f>
        <v>550</v>
      </c>
      <c r="M105" s="894" t="s">
        <v>2336</v>
      </c>
      <c r="N105" s="912" t="s"/>
      <c r="O105" s="721">
        <v>550</v>
      </c>
      <c r="P105" s="721">
        <f>=F105*O105</f>
        <v>550</v>
      </c>
      <c r="Q105" s="912" t="s"/>
      <c r="R105" s="912" t="s"/>
      <c r="S105" s="912" t="s"/>
      <c r="T105" s="912" t="s"/>
      <c r="U105" s="912" t="s"/>
      <c r="V105" s="912" t="s"/>
      <c r="W105" s="888" t="s"/>
      <c r="X105" s="888" t="s"/>
      <c r="Y105" s="918" t="s"/>
      <c r="Z105" s="888" t="s"/>
      <c r="AA105" s="884" t="s"/>
      <c r="AB105" s="884" t="s"/>
      <c r="AC105" s="884" t="s"/>
      <c r="AD105" s="884" t="s"/>
      <c r="AE105" s="884" t="s"/>
      <c r="AF105" s="884" t="s"/>
    </row>
    <row r="106" spans="1:32" customHeight="false">
      <c r="A106" s="714">
        <v>4</v>
      </c>
      <c r="B106" s="90" t="s">
        <v>2339</v>
      </c>
      <c r="C106" s="917" t="s">
        <v>2579</v>
      </c>
      <c r="D106" s="714" t="s"/>
      <c r="E106" s="90" t="s">
        <v>36</v>
      </c>
      <c r="F106" s="90">
        <v>1</v>
      </c>
      <c r="G106" s="714" t="s"/>
      <c r="H106" s="902" t="s"/>
      <c r="I106" s="903" t="s"/>
      <c r="J106" s="904" t="s"/>
      <c r="K106" s="882">
        <f>=MIN(O106,S106,W106)</f>
        <v>158</v>
      </c>
      <c r="L106" s="877">
        <f>=F106*K106</f>
        <v>158</v>
      </c>
      <c r="M106" s="894" t="s">
        <v>2340</v>
      </c>
      <c r="N106" s="912" t="s"/>
      <c r="O106" s="721">
        <v>158</v>
      </c>
      <c r="P106" s="721">
        <f>=F106*O106</f>
        <v>158</v>
      </c>
      <c r="Q106" s="912" t="s"/>
      <c r="R106" s="912" t="s"/>
      <c r="S106" s="912" t="s"/>
      <c r="T106" s="912" t="s"/>
      <c r="U106" s="912" t="s"/>
      <c r="V106" s="912" t="s"/>
      <c r="W106" s="888" t="s"/>
      <c r="X106" s="888" t="s"/>
      <c r="Y106" s="918" t="s"/>
      <c r="Z106" s="888" t="s"/>
      <c r="AA106" s="884" t="s"/>
      <c r="AB106" s="884" t="s"/>
      <c r="AC106" s="884" t="s"/>
      <c r="AD106" s="884" t="s"/>
      <c r="AE106" s="884" t="s"/>
      <c r="AF106" s="884" t="s"/>
    </row>
    <row r="107" spans="1:32" customHeight="false">
      <c r="A107" s="714">
        <v>5</v>
      </c>
      <c r="B107" s="90" t="s">
        <v>2341</v>
      </c>
      <c r="C107" s="917" t="s">
        <v>2342</v>
      </c>
      <c r="D107" s="714" t="s"/>
      <c r="E107" s="90" t="s">
        <v>36</v>
      </c>
      <c r="F107" s="90">
        <v>1</v>
      </c>
      <c r="G107" s="714" t="s"/>
      <c r="H107" s="902" t="s"/>
      <c r="I107" s="903" t="s"/>
      <c r="J107" s="904" t="s"/>
      <c r="K107" s="882">
        <f>=MIN(O107,S107,W107)</f>
        <v>2856</v>
      </c>
      <c r="L107" s="877">
        <f>=F107*K107</f>
        <v>2856</v>
      </c>
      <c r="M107" s="894" t="s">
        <v>2343</v>
      </c>
      <c r="N107" s="912" t="s"/>
      <c r="O107" s="721">
        <f>=714*4</f>
        <v>2856</v>
      </c>
      <c r="P107" s="721">
        <f>=F107*O107</f>
        <v>2856</v>
      </c>
      <c r="Q107" s="912" t="s"/>
      <c r="R107" s="912" t="s"/>
      <c r="S107" s="912" t="s"/>
      <c r="T107" s="912" t="s"/>
      <c r="U107" s="912" t="s"/>
      <c r="V107" s="912" t="s"/>
      <c r="W107" s="888" t="s"/>
      <c r="X107" s="888" t="s"/>
      <c r="Y107" s="918" t="s"/>
      <c r="Z107" s="888" t="s"/>
      <c r="AA107" s="884" t="s"/>
      <c r="AB107" s="884" t="s"/>
      <c r="AC107" s="884" t="s"/>
      <c r="AD107" s="884" t="s"/>
      <c r="AE107" s="884" t="s"/>
      <c r="AF107" s="884" t="s"/>
    </row>
    <row r="108" spans="1:32" customHeight="false">
      <c r="A108" s="714">
        <v>6</v>
      </c>
      <c r="B108" s="90" t="s">
        <v>2344</v>
      </c>
      <c r="C108" s="884" t="s">
        <v>2580</v>
      </c>
      <c r="D108" s="714" t="s"/>
      <c r="E108" s="90" t="s">
        <v>2328</v>
      </c>
      <c r="F108" s="90">
        <v>26</v>
      </c>
      <c r="G108" s="714" t="s"/>
      <c r="H108" s="902" t="s"/>
      <c r="I108" s="903" t="s"/>
      <c r="J108" s="904" t="s"/>
      <c r="K108" s="882">
        <f>=MIN(O108,S108,W108)</f>
        <v>416</v>
      </c>
      <c r="L108" s="877">
        <f>=F108*K108</f>
        <v>10816</v>
      </c>
      <c r="M108" s="894" t="s">
        <v>2336</v>
      </c>
      <c r="N108" s="912" t="s"/>
      <c r="O108" s="721">
        <v>416</v>
      </c>
      <c r="P108" s="721">
        <f>=F108*O108</f>
        <v>10816</v>
      </c>
      <c r="Q108" s="912" t="s"/>
      <c r="R108" s="912" t="s"/>
      <c r="S108" s="912" t="s"/>
      <c r="T108" s="912" t="s"/>
      <c r="U108" s="912" t="s"/>
      <c r="V108" s="912" t="s"/>
      <c r="W108" s="888" t="s"/>
      <c r="X108" s="888" t="s"/>
      <c r="Y108" s="918" t="s"/>
      <c r="Z108" s="888" t="s"/>
      <c r="AA108" s="884" t="s"/>
      <c r="AB108" s="884" t="s"/>
      <c r="AC108" s="884" t="s"/>
      <c r="AD108" s="884" t="s"/>
      <c r="AE108" s="884" t="s"/>
      <c r="AF108" s="884" t="s"/>
    </row>
    <row r="109" spans="1:32" customHeight="false">
      <c r="A109" s="873" t="s">
        <v>2345</v>
      </c>
      <c r="B109" s="901" t="s">
        <v>2346</v>
      </c>
      <c r="C109" s="76" t="s"/>
      <c r="D109" s="714" t="s"/>
      <c r="E109" s="714" t="s"/>
      <c r="F109" s="714" t="s"/>
      <c r="G109" s="714" t="s"/>
      <c r="H109" s="902" t="s"/>
      <c r="I109" s="903" t="s"/>
      <c r="J109" s="904" t="s"/>
      <c r="K109" s="904" t="s"/>
      <c r="L109" s="905" t="s"/>
      <c r="M109" s="912" t="s"/>
      <c r="N109" s="912" t="s"/>
      <c r="O109" s="912" t="s"/>
      <c r="P109" s="912" t="s"/>
      <c r="Q109" s="912" t="s"/>
      <c r="R109" s="912" t="s"/>
      <c r="S109" s="912" t="s"/>
      <c r="T109" s="912" t="s"/>
      <c r="U109" s="912" t="s"/>
      <c r="V109" s="912" t="s"/>
      <c r="W109" s="888" t="s"/>
      <c r="X109" s="888" t="s"/>
      <c r="Y109" s="888" t="s"/>
      <c r="Z109" s="888" t="s"/>
      <c r="AA109" s="884" t="s"/>
      <c r="AB109" s="884" t="s"/>
      <c r="AC109" s="884" t="s"/>
      <c r="AD109" s="884" t="s"/>
      <c r="AE109" s="884" t="s"/>
      <c r="AF109" s="884" t="s"/>
    </row>
    <row r="110" spans="1:32" customHeight="false">
      <c r="A110" s="714">
        <v>1</v>
      </c>
      <c r="B110" s="90" t="s">
        <v>2347</v>
      </c>
      <c r="C110" s="917" t="s">
        <v>2348</v>
      </c>
      <c r="D110" s="714" t="s"/>
      <c r="E110" s="90" t="s">
        <v>36</v>
      </c>
      <c r="F110" s="90">
        <v>5</v>
      </c>
      <c r="G110" s="714" t="s"/>
      <c r="H110" s="902" t="s"/>
      <c r="I110" s="903" t="s"/>
      <c r="J110" s="904" t="s"/>
      <c r="K110" s="882">
        <f>=MIN(O110,S110,W110)</f>
        <v>780</v>
      </c>
      <c r="L110" s="877">
        <f>=F110*K110</f>
        <v>3900</v>
      </c>
      <c r="M110" s="912" t="s">
        <v>2349</v>
      </c>
      <c r="N110" s="912" t="s"/>
      <c r="O110" s="721">
        <v>780</v>
      </c>
      <c r="P110" s="721">
        <f>=F110*O110</f>
        <v>3900</v>
      </c>
      <c r="Q110" s="912" t="s"/>
      <c r="R110" s="912" t="s"/>
      <c r="S110" s="912" t="s"/>
      <c r="T110" s="912" t="s"/>
      <c r="U110" s="912" t="s"/>
      <c r="V110" s="912" t="s"/>
      <c r="W110" s="888" t="s"/>
      <c r="X110" s="888" t="s"/>
      <c r="Y110" s="888" t="s"/>
      <c r="Z110" s="888" t="s"/>
      <c r="AA110" s="884" t="s"/>
      <c r="AB110" s="884" t="s"/>
      <c r="AC110" s="884" t="s"/>
      <c r="AD110" s="884" t="s"/>
      <c r="AE110" s="884" t="s"/>
      <c r="AF110" s="884" t="s"/>
    </row>
    <row r="111" spans="1:32" customHeight="false">
      <c r="A111" s="714">
        <v>2</v>
      </c>
      <c r="B111" s="90" t="s">
        <v>2350</v>
      </c>
      <c r="C111" s="917" t="s">
        <v>2351</v>
      </c>
      <c r="D111" s="714" t="s"/>
      <c r="E111" s="90" t="s">
        <v>36</v>
      </c>
      <c r="F111" s="90">
        <v>1</v>
      </c>
      <c r="G111" s="714" t="s"/>
      <c r="H111" s="902" t="s"/>
      <c r="I111" s="903" t="s"/>
      <c r="J111" s="904" t="s"/>
      <c r="K111" s="882">
        <f>=MIN(O111,S111,W111)</f>
        <v>54154</v>
      </c>
      <c r="L111" s="877">
        <f>=F111*K111</f>
        <v>54154</v>
      </c>
      <c r="M111" s="721" t="s">
        <v>2352</v>
      </c>
      <c r="N111" s="721" t="s"/>
      <c r="O111" s="721">
        <v>55000</v>
      </c>
      <c r="P111" s="721">
        <f>=F111*O111</f>
        <v>55000</v>
      </c>
      <c r="Q111" s="912" t="s">
        <v>2353</v>
      </c>
      <c r="R111" s="912" t="s"/>
      <c r="S111" s="721">
        <v>54154</v>
      </c>
      <c r="T111" s="721">
        <f>=F111*S111</f>
        <v>54154</v>
      </c>
      <c r="U111" s="912" t="s"/>
      <c r="V111" s="912" t="s"/>
      <c r="W111" s="888" t="s"/>
      <c r="X111" s="888" t="s"/>
      <c r="Y111" s="888" t="s"/>
      <c r="Z111" s="888" t="s"/>
      <c r="AA111" s="884" t="s"/>
      <c r="AB111" s="884" t="s"/>
      <c r="AC111" s="884" t="s"/>
      <c r="AD111" s="884" t="s"/>
      <c r="AE111" s="884" t="s"/>
      <c r="AF111" s="884" t="s"/>
    </row>
    <row r="112" spans="1:32" customHeight="false">
      <c r="A112" s="873" t="s">
        <v>2354</v>
      </c>
      <c r="B112" s="901" t="s">
        <v>2355</v>
      </c>
      <c r="C112" s="76" t="s"/>
      <c r="D112" s="714" t="s"/>
      <c r="E112" s="714" t="s"/>
      <c r="F112" s="714" t="s"/>
      <c r="G112" s="714" t="s"/>
      <c r="H112" s="902" t="s"/>
      <c r="I112" s="903" t="s"/>
      <c r="J112" s="904" t="s"/>
      <c r="K112" s="904" t="s"/>
      <c r="L112" s="905" t="s"/>
      <c r="M112" s="912" t="s"/>
      <c r="N112" s="912" t="s"/>
      <c r="O112" s="912" t="s"/>
      <c r="P112" s="912" t="s"/>
      <c r="Q112" s="912" t="s"/>
      <c r="R112" s="912" t="s"/>
      <c r="S112" s="912" t="s"/>
      <c r="T112" s="912" t="s"/>
      <c r="U112" s="912" t="s"/>
      <c r="V112" s="912" t="s"/>
      <c r="W112" s="888" t="s"/>
      <c r="X112" s="888" t="s"/>
      <c r="Y112" s="888" t="s"/>
      <c r="Z112" s="888" t="s"/>
      <c r="AA112" s="884" t="s"/>
      <c r="AB112" s="884" t="s"/>
      <c r="AC112" s="884" t="s"/>
      <c r="AD112" s="884" t="s"/>
      <c r="AE112" s="884" t="s"/>
      <c r="AF112" s="884" t="s"/>
    </row>
    <row r="113" spans="1:32" customHeight="false">
      <c r="A113" s="714">
        <v>1</v>
      </c>
      <c r="B113" s="90" t="s">
        <v>2356</v>
      </c>
      <c r="C113" s="90" t="s"/>
      <c r="D113" s="714" t="s"/>
      <c r="E113" s="90" t="s">
        <v>36</v>
      </c>
      <c r="F113" s="90">
        <v>37</v>
      </c>
      <c r="G113" s="714" t="s"/>
      <c r="H113" s="902" t="s"/>
      <c r="I113" s="903" t="s"/>
      <c r="J113" s="904" t="s"/>
      <c r="K113" s="882">
        <f>=MIN(O113,S113,W113)</f>
        <v>25</v>
      </c>
      <c r="L113" s="877">
        <f>=F113*K113</f>
        <v>925</v>
      </c>
      <c r="M113" s="721" t="s">
        <v>2357</v>
      </c>
      <c r="N113" s="721" t="s">
        <v>2358</v>
      </c>
      <c r="O113" s="721">
        <v>25</v>
      </c>
      <c r="P113" s="721">
        <f>=F113*O113</f>
        <v>925</v>
      </c>
      <c r="Q113" s="721" t="s">
        <v>2359</v>
      </c>
      <c r="R113" s="721" t="s"/>
      <c r="S113" s="721">
        <v>35</v>
      </c>
      <c r="T113" s="721">
        <f>=F113*S113</f>
        <v>1295</v>
      </c>
      <c r="U113" s="721" t="s">
        <v>2312</v>
      </c>
      <c r="V113" s="912" t="s"/>
      <c r="W113" s="888" t="s"/>
      <c r="X113" s="888" t="s"/>
      <c r="Y113" s="888" t="s"/>
      <c r="Z113" s="888" t="s"/>
      <c r="AA113" s="884" t="s"/>
      <c r="AB113" s="884" t="s"/>
      <c r="AC113" s="884" t="s"/>
      <c r="AD113" s="884" t="s"/>
      <c r="AE113" s="884" t="s"/>
      <c r="AF113" s="884" t="s"/>
    </row>
    <row r="114" spans="1:32" customHeight="false">
      <c r="A114" s="714">
        <v>2</v>
      </c>
      <c r="B114" s="90" t="s">
        <v>2360</v>
      </c>
      <c r="C114" s="90" t="s"/>
      <c r="D114" s="714" t="s"/>
      <c r="E114" s="90" t="s">
        <v>36</v>
      </c>
      <c r="F114" s="90">
        <v>37</v>
      </c>
      <c r="G114" s="714" t="s"/>
      <c r="H114" s="902" t="s"/>
      <c r="I114" s="903" t="s"/>
      <c r="J114" s="904" t="s"/>
      <c r="K114" s="882">
        <f>=MIN(O114,S114,W114)</f>
        <v>45</v>
      </c>
      <c r="L114" s="877">
        <f>=F114*K114</f>
        <v>1665</v>
      </c>
      <c r="M114" s="721" t="s">
        <v>2357</v>
      </c>
      <c r="N114" s="721" t="s">
        <v>2358</v>
      </c>
      <c r="O114" s="721">
        <v>190</v>
      </c>
      <c r="P114" s="721">
        <f>=F114*O114</f>
        <v>7030</v>
      </c>
      <c r="Q114" s="721" t="s">
        <v>2359</v>
      </c>
      <c r="R114" s="721" t="s"/>
      <c r="S114" s="721">
        <v>45</v>
      </c>
      <c r="T114" s="721">
        <f>=F114*S114</f>
        <v>1665</v>
      </c>
      <c r="U114" s="721" t="s">
        <v>2312</v>
      </c>
      <c r="V114" s="912" t="s"/>
      <c r="W114" s="888" t="s"/>
      <c r="X114" s="888" t="s"/>
      <c r="Y114" s="888" t="s"/>
      <c r="Z114" s="888" t="s"/>
      <c r="AA114" s="884" t="s"/>
      <c r="AB114" s="884" t="s"/>
      <c r="AC114" s="884" t="s"/>
      <c r="AD114" s="884" t="s"/>
      <c r="AE114" s="884" t="s"/>
      <c r="AF114" s="884" t="s"/>
    </row>
    <row r="115" spans="1:32" customHeight="false">
      <c r="A115" s="714">
        <v>3</v>
      </c>
      <c r="B115" s="90" t="s">
        <v>2361</v>
      </c>
      <c r="C115" s="90" t="s"/>
      <c r="D115" s="714" t="s"/>
      <c r="E115" s="90" t="s">
        <v>36</v>
      </c>
      <c r="F115" s="90">
        <v>37</v>
      </c>
      <c r="G115" s="714" t="s"/>
      <c r="H115" s="902" t="s"/>
      <c r="I115" s="903" t="s"/>
      <c r="J115" s="904" t="s"/>
      <c r="K115" s="882">
        <f>=MIN(O115,S115,W115)</f>
        <v>225</v>
      </c>
      <c r="L115" s="877">
        <f>=F115*K115</f>
        <v>8325</v>
      </c>
      <c r="M115" s="721" t="s">
        <v>2357</v>
      </c>
      <c r="N115" s="721" t="s">
        <v>2358</v>
      </c>
      <c r="O115" s="721">
        <v>1420</v>
      </c>
      <c r="P115" s="721">
        <f>=F115*O115</f>
        <v>52540</v>
      </c>
      <c r="Q115" s="721" t="s">
        <v>2359</v>
      </c>
      <c r="R115" s="721" t="s"/>
      <c r="S115" s="721">
        <v>225</v>
      </c>
      <c r="T115" s="721">
        <f>=F115*S115</f>
        <v>8325</v>
      </c>
      <c r="U115" s="721" t="s">
        <v>2312</v>
      </c>
      <c r="V115" s="912" t="s"/>
      <c r="W115" s="884">
        <v>365</v>
      </c>
      <c r="X115" s="601">
        <f>=F115*W115</f>
        <v>13505</v>
      </c>
      <c r="Y115" s="888" t="s"/>
      <c r="Z115" s="888" t="s"/>
      <c r="AA115" s="884" t="s"/>
      <c r="AB115" s="884" t="s"/>
      <c r="AC115" s="884" t="s"/>
      <c r="AD115" s="884" t="s"/>
      <c r="AE115" s="884" t="s"/>
      <c r="AF115" s="884" t="s"/>
    </row>
    <row r="116" spans="1:32" customHeight="false">
      <c r="A116" s="714">
        <v>4</v>
      </c>
      <c r="B116" s="90" t="s">
        <v>2362</v>
      </c>
      <c r="C116" s="90" t="s"/>
      <c r="D116" s="714" t="s"/>
      <c r="E116" s="90" t="s">
        <v>36</v>
      </c>
      <c r="F116" s="90">
        <v>37</v>
      </c>
      <c r="G116" s="714" t="s"/>
      <c r="H116" s="902" t="s"/>
      <c r="I116" s="903" t="s"/>
      <c r="J116" s="904" t="s"/>
      <c r="K116" s="882">
        <f>=MIN(O116,S116,W116)</f>
        <v>125</v>
      </c>
      <c r="L116" s="877">
        <f>=F116*K116</f>
        <v>4625</v>
      </c>
      <c r="M116" s="721" t="s">
        <v>2357</v>
      </c>
      <c r="N116" s="721" t="s">
        <v>2358</v>
      </c>
      <c r="O116" s="721">
        <v>270</v>
      </c>
      <c r="P116" s="721">
        <f>=F116*O116</f>
        <v>9990</v>
      </c>
      <c r="Q116" s="721" t="s">
        <v>2359</v>
      </c>
      <c r="R116" s="721" t="s"/>
      <c r="S116" s="721">
        <v>125</v>
      </c>
      <c r="T116" s="721">
        <f>=F116*S116</f>
        <v>4625</v>
      </c>
      <c r="U116" s="721" t="s">
        <v>2312</v>
      </c>
      <c r="V116" s="912" t="s"/>
      <c r="W116" s="884">
        <v>248</v>
      </c>
      <c r="X116" s="601">
        <f>=F116*W116</f>
        <v>9176</v>
      </c>
      <c r="Y116" s="888" t="s"/>
      <c r="Z116" s="888" t="s"/>
      <c r="AA116" s="884" t="s"/>
      <c r="AB116" s="884" t="s"/>
      <c r="AC116" s="884" t="s"/>
      <c r="AD116" s="884" t="s"/>
      <c r="AE116" s="884" t="s"/>
      <c r="AF116" s="884" t="s"/>
    </row>
    <row r="117" spans="1:32" customHeight="false">
      <c r="A117" s="714">
        <v>5</v>
      </c>
      <c r="B117" s="90" t="s">
        <v>2363</v>
      </c>
      <c r="C117" s="917" t="s">
        <v>2364</v>
      </c>
      <c r="D117" s="714" t="s"/>
      <c r="E117" s="90" t="s">
        <v>36</v>
      </c>
      <c r="F117" s="90">
        <v>37</v>
      </c>
      <c r="G117" s="714" t="s"/>
      <c r="H117" s="902" t="s"/>
      <c r="I117" s="903" t="s"/>
      <c r="J117" s="904" t="s"/>
      <c r="K117" s="882">
        <f>=MIN(O117,S117,W117)</f>
        <v>15</v>
      </c>
      <c r="L117" s="877">
        <f>=F117*K117</f>
        <v>555</v>
      </c>
      <c r="M117" s="721" t="s">
        <v>2357</v>
      </c>
      <c r="N117" s="721" t="s">
        <v>2358</v>
      </c>
      <c r="O117" s="721">
        <v>15</v>
      </c>
      <c r="P117" s="721">
        <f>=F117*O117</f>
        <v>555</v>
      </c>
      <c r="Q117" s="721" t="s">
        <v>2359</v>
      </c>
      <c r="R117" s="721" t="s"/>
      <c r="S117" s="721">
        <v>30</v>
      </c>
      <c r="T117" s="721">
        <f>=F117*S117</f>
        <v>1110</v>
      </c>
      <c r="U117" s="721" t="s">
        <v>2312</v>
      </c>
      <c r="V117" s="912" t="s"/>
      <c r="W117" s="884">
        <v>89</v>
      </c>
      <c r="X117" s="601">
        <f>=F117*W117</f>
        <v>3293</v>
      </c>
      <c r="Y117" s="888" t="s"/>
      <c r="Z117" s="888" t="s"/>
      <c r="AA117" s="884" t="s"/>
      <c r="AB117" s="884" t="s"/>
      <c r="AC117" s="884" t="s"/>
      <c r="AD117" s="884" t="s"/>
      <c r="AE117" s="884" t="s"/>
      <c r="AF117" s="884" t="s"/>
    </row>
    <row r="118" spans="1:32" customHeight="false">
      <c r="A118" s="919">
        <v>6</v>
      </c>
      <c r="B118" s="90" t="s">
        <v>2365</v>
      </c>
      <c r="C118" s="920" t="s">
        <v>2366</v>
      </c>
      <c r="D118" s="919" t="s"/>
      <c r="E118" s="90" t="s">
        <v>36</v>
      </c>
      <c r="F118" s="90">
        <v>37</v>
      </c>
      <c r="G118" s="919" t="s"/>
      <c r="H118" s="921" t="s"/>
      <c r="I118" s="919" t="s"/>
      <c r="J118" s="922" t="s"/>
      <c r="K118" s="882">
        <f>=MIN(O118,S118,W118)</f>
        <v>1225</v>
      </c>
      <c r="L118" s="877">
        <f>=F118*K118</f>
        <v>45325</v>
      </c>
      <c r="M118" s="721" t="s">
        <v>2357</v>
      </c>
      <c r="N118" s="721" t="s">
        <v>2358</v>
      </c>
      <c r="O118" s="721">
        <v>2500</v>
      </c>
      <c r="P118" s="721">
        <f>=F118*O118</f>
        <v>92500</v>
      </c>
      <c r="Q118" s="721" t="s">
        <v>2359</v>
      </c>
      <c r="R118" s="721" t="s"/>
      <c r="S118" s="721">
        <v>1300</v>
      </c>
      <c r="T118" s="721">
        <f>=F118*S118</f>
        <v>48100</v>
      </c>
      <c r="U118" s="721" t="s">
        <v>2312</v>
      </c>
      <c r="V118" s="911" t="s"/>
      <c r="W118" s="884">
        <v>1225</v>
      </c>
      <c r="X118" s="601">
        <f>=F118*W118</f>
        <v>45325</v>
      </c>
      <c r="Y118" s="884" t="s"/>
      <c r="Z118" s="884" t="s"/>
      <c r="AA118" s="884" t="s"/>
      <c r="AB118" s="884" t="s"/>
      <c r="AC118" s="884" t="s"/>
      <c r="AD118" s="884" t="s"/>
      <c r="AE118" s="884" t="s"/>
      <c r="AF118" s="884" t="s"/>
    </row>
    <row r="119" spans="1:32" customHeight="false">
      <c r="A119" s="919">
        <v>7</v>
      </c>
      <c r="B119" s="883" t="s">
        <v>2154</v>
      </c>
      <c r="C119" s="920" t="s">
        <v>2367</v>
      </c>
      <c r="D119" s="919" t="s"/>
      <c r="E119" s="90" t="s">
        <v>36</v>
      </c>
      <c r="F119" s="90">
        <v>7</v>
      </c>
      <c r="G119" s="919" t="s"/>
      <c r="H119" s="921" t="s"/>
      <c r="I119" s="919" t="s"/>
      <c r="J119" s="922" t="s"/>
      <c r="K119" s="882">
        <f>=MIN(O119,S119,W119)</f>
        <v>15180</v>
      </c>
      <c r="L119" s="877">
        <f>=F119*K119</f>
        <v>106260</v>
      </c>
      <c r="M119" s="90" t="s">
        <v>2219</v>
      </c>
      <c r="N119" s="601" t="s"/>
      <c r="O119" s="601" t="s"/>
      <c r="P119" s="601" t="s"/>
      <c r="Q119" s="90" t="s">
        <v>2150</v>
      </c>
      <c r="R119" s="601" t="s"/>
      <c r="S119" s="601" t="s"/>
      <c r="T119" s="601" t="s"/>
      <c r="U119" s="883" t="s">
        <v>1164</v>
      </c>
      <c r="V119" s="601" t="s">
        <v>2149</v>
      </c>
      <c r="W119" s="881">
        <v>15180</v>
      </c>
      <c r="X119" s="601">
        <f>=F119*W119</f>
        <v>106260</v>
      </c>
      <c r="Y119" s="884" t="s"/>
      <c r="Z119" s="884" t="s"/>
      <c r="AA119" s="884" t="s"/>
      <c r="AB119" s="884" t="s"/>
      <c r="AC119" s="884" t="s"/>
      <c r="AD119" s="884" t="s"/>
      <c r="AE119" s="884" t="s"/>
      <c r="AF119" s="884" t="s"/>
    </row>
    <row r="120" spans="1:32" customHeight="false">
      <c r="A120" s="919">
        <v>8</v>
      </c>
      <c r="B120" s="90" t="s">
        <v>2368</v>
      </c>
      <c r="C120" s="917" t="s">
        <v>2369</v>
      </c>
      <c r="D120" s="919" t="s"/>
      <c r="E120" s="90" t="s">
        <v>36</v>
      </c>
      <c r="F120" s="90">
        <v>1</v>
      </c>
      <c r="G120" s="919" t="s"/>
      <c r="H120" s="921" t="s"/>
      <c r="I120" s="919" t="s"/>
      <c r="J120" s="922" t="s"/>
      <c r="K120" s="882">
        <f>=MIN(O120,S120,W120)</f>
        <v>6000</v>
      </c>
      <c r="L120" s="877">
        <f>=F120*K120</f>
        <v>6000</v>
      </c>
      <c r="M120" s="601" t="s">
        <v>2357</v>
      </c>
      <c r="N120" s="601" t="s">
        <v>2358</v>
      </c>
      <c r="O120" s="601">
        <v>6000</v>
      </c>
      <c r="P120" s="601">
        <f>=F120*O120</f>
        <v>6000</v>
      </c>
      <c r="Q120" s="601" t="s">
        <v>2359</v>
      </c>
      <c r="R120" s="601" t="s">
        <v>2370</v>
      </c>
      <c r="S120" s="601" t="s"/>
      <c r="T120" s="601" t="s"/>
      <c r="U120" s="601" t="s">
        <v>2312</v>
      </c>
      <c r="V120" s="884" t="s"/>
      <c r="W120" s="884" t="s"/>
      <c r="X120" s="884" t="s"/>
      <c r="Y120" s="884" t="s"/>
      <c r="Z120" s="884" t="s"/>
      <c r="AA120" s="884" t="s"/>
      <c r="AB120" s="884" t="s"/>
      <c r="AC120" s="884" t="s"/>
      <c r="AD120" s="884" t="s"/>
      <c r="AE120" s="884" t="s"/>
      <c r="AF120" s="884" t="s"/>
    </row>
    <row r="121" spans="1:26" customHeight="false">
      <c r="A121" s="121" t="s"/>
      <c r="B121" s="188" t="s"/>
      <c r="C121" s="188" t="s"/>
      <c r="D121" s="121" t="s"/>
      <c r="E121" s="121" t="s"/>
      <c r="F121" s="121" t="s"/>
      <c r="G121" s="121" t="s"/>
      <c r="H121" s="121" t="s"/>
      <c r="I121" s="161" t="s"/>
      <c r="J121" s="187" t="s"/>
      <c r="K121" s="187" t="s"/>
      <c r="L121" s="187" t="s"/>
      <c r="M121" s="161" t="s"/>
      <c r="N121" s="161" t="s"/>
      <c r="O121" s="161" t="s"/>
      <c r="P121" s="161" t="s"/>
      <c r="Q121" s="161" t="s"/>
      <c r="R121" s="161" t="s"/>
      <c r="S121" s="161" t="s"/>
      <c r="T121" s="161" t="s"/>
      <c r="U121" s="161" t="s"/>
      <c r="V121" s="161" t="s"/>
      <c r="W121" s="161" t="s"/>
      <c r="X121" s="161" t="s"/>
      <c r="Y121" s="161" t="s"/>
      <c r="Z121" s="161" t="s"/>
    </row>
    <row r="122" spans="1:26" customHeight="false">
      <c r="A122" s="121" t="s"/>
      <c r="B122" s="188" t="s"/>
      <c r="C122" s="188" t="s"/>
      <c r="D122" s="121" t="s"/>
      <c r="E122" s="121" t="s"/>
      <c r="F122" s="121" t="s"/>
      <c r="G122" s="121" t="s"/>
      <c r="H122" s="121" t="s"/>
      <c r="I122" s="161" t="s"/>
      <c r="J122" s="187" t="s"/>
      <c r="K122" s="187" t="s"/>
      <c r="L122" s="187" t="s"/>
      <c r="M122" s="161" t="s"/>
      <c r="N122" s="161" t="s"/>
      <c r="O122" s="161" t="s"/>
      <c r="P122" s="161" t="s"/>
      <c r="Q122" s="161" t="s"/>
      <c r="R122" s="161" t="s"/>
      <c r="S122" s="161" t="s"/>
      <c r="T122" s="161" t="s"/>
      <c r="U122" s="161" t="s"/>
      <c r="V122" s="161" t="s"/>
      <c r="W122" s="161" t="s"/>
      <c r="X122" s="161" t="s"/>
      <c r="Y122" s="161" t="s"/>
      <c r="Z122" s="161" t="s"/>
    </row>
    <row r="123" spans="1:26" customHeight="false">
      <c r="A123" s="121" t="s"/>
      <c r="B123" s="188" t="s"/>
      <c r="C123" s="188" t="s"/>
      <c r="D123" s="121" t="s"/>
      <c r="E123" s="121" t="s"/>
      <c r="F123" s="121" t="s"/>
      <c r="G123" s="121" t="s"/>
      <c r="H123" s="121" t="s"/>
      <c r="I123" s="161" t="s"/>
      <c r="J123" s="187" t="s"/>
      <c r="K123" s="187" t="s"/>
      <c r="L123" s="187" t="s"/>
      <c r="M123" s="161" t="s"/>
      <c r="N123" s="161" t="s"/>
      <c r="O123" s="161" t="s"/>
      <c r="P123" s="161" t="s"/>
      <c r="Q123" s="161" t="s"/>
      <c r="R123" s="161" t="s"/>
      <c r="S123" s="161" t="s"/>
      <c r="T123" s="161" t="s"/>
      <c r="U123" s="161" t="s"/>
      <c r="V123" s="161" t="s"/>
      <c r="W123" s="161" t="s"/>
      <c r="X123" s="161" t="s"/>
      <c r="Y123" s="161" t="s"/>
      <c r="Z123" s="161" t="s"/>
    </row>
    <row r="124" spans="1:26" customHeight="false">
      <c r="A124" s="121" t="s"/>
      <c r="B124" s="188" t="s"/>
      <c r="C124" s="188" t="s"/>
      <c r="D124" s="121" t="s"/>
      <c r="E124" s="121" t="s"/>
      <c r="F124" s="121" t="s"/>
      <c r="G124" s="121" t="s"/>
      <c r="H124" s="121" t="s"/>
      <c r="I124" s="161" t="s"/>
      <c r="J124" s="187" t="s"/>
      <c r="K124" s="187" t="s"/>
      <c r="L124" s="187" t="s"/>
      <c r="M124" s="161" t="s"/>
      <c r="N124" s="161" t="s"/>
      <c r="O124" s="161" t="s"/>
      <c r="P124" s="161" t="s"/>
      <c r="Q124" s="161" t="s"/>
      <c r="R124" s="161" t="s"/>
      <c r="S124" s="161" t="s"/>
      <c r="T124" s="161" t="s"/>
      <c r="U124" s="161" t="s"/>
      <c r="V124" s="161" t="s"/>
      <c r="W124" s="161" t="s"/>
      <c r="X124" s="161" t="s"/>
      <c r="Y124" s="161" t="s"/>
      <c r="Z124" s="161" t="s"/>
    </row>
    <row r="125" spans="1:26" customHeight="false">
      <c r="A125" s="121" t="s"/>
      <c r="B125" s="188" t="s"/>
      <c r="C125" s="188" t="s"/>
      <c r="D125" s="121" t="s"/>
      <c r="E125" s="121" t="s"/>
      <c r="F125" s="121" t="s"/>
      <c r="G125" s="121" t="s"/>
      <c r="H125" s="121" t="s"/>
      <c r="I125" s="161" t="s"/>
      <c r="J125" s="187" t="s"/>
      <c r="K125" s="187" t="s"/>
      <c r="L125" s="187" t="s"/>
      <c r="M125" s="161" t="s"/>
      <c r="N125" s="161" t="s"/>
      <c r="O125" s="161" t="s"/>
      <c r="P125" s="161" t="s"/>
      <c r="Q125" s="161" t="s"/>
      <c r="R125" s="161" t="s"/>
      <c r="S125" s="161" t="s"/>
      <c r="T125" s="161" t="s"/>
      <c r="U125" s="161" t="s"/>
      <c r="V125" s="161" t="s"/>
      <c r="W125" s="161" t="s"/>
      <c r="X125" s="161" t="s"/>
      <c r="Y125" s="161" t="s"/>
      <c r="Z125" s="161" t="s"/>
    </row>
    <row r="126" spans="1:26" customHeight="false">
      <c r="A126" s="121" t="s"/>
      <c r="B126" s="188" t="s"/>
      <c r="C126" s="188" t="s"/>
      <c r="D126" s="121" t="s"/>
      <c r="E126" s="121" t="s"/>
      <c r="F126" s="121" t="s"/>
      <c r="G126" s="121" t="s"/>
      <c r="H126" s="121" t="s"/>
      <c r="I126" s="161" t="s"/>
      <c r="J126" s="187" t="s"/>
      <c r="K126" s="187" t="s"/>
      <c r="L126" s="187" t="s"/>
      <c r="M126" s="161" t="s"/>
      <c r="N126" s="161" t="s"/>
      <c r="O126" s="161" t="s"/>
      <c r="P126" s="161" t="s"/>
      <c r="Q126" s="161" t="s"/>
      <c r="R126" s="161" t="s"/>
      <c r="S126" s="161" t="s"/>
      <c r="T126" s="161" t="s"/>
      <c r="U126" s="161" t="s"/>
      <c r="V126" s="161" t="s"/>
      <c r="W126" s="161" t="s"/>
      <c r="X126" s="161" t="s"/>
      <c r="Y126" s="161" t="s"/>
      <c r="Z126" s="161" t="s"/>
    </row>
    <row r="127" spans="1:26" customHeight="false">
      <c r="A127" s="121" t="s"/>
      <c r="B127" s="188" t="s"/>
      <c r="C127" s="188" t="s"/>
      <c r="D127" s="121" t="s"/>
      <c r="E127" s="121" t="s"/>
      <c r="F127" s="121" t="s"/>
      <c r="G127" s="121" t="s"/>
      <c r="H127" s="121" t="s"/>
      <c r="I127" s="161" t="s"/>
      <c r="J127" s="187" t="s"/>
      <c r="K127" s="187" t="s"/>
      <c r="L127" s="187" t="s"/>
      <c r="M127" s="161" t="s"/>
      <c r="N127" s="161" t="s"/>
      <c r="O127" s="161" t="s"/>
      <c r="P127" s="161" t="s"/>
      <c r="Q127" s="161" t="s"/>
      <c r="R127" s="161" t="s"/>
      <c r="S127" s="161" t="s"/>
      <c r="T127" s="161" t="s"/>
      <c r="U127" s="161" t="s"/>
      <c r="V127" s="161" t="s"/>
      <c r="W127" s="161" t="s"/>
      <c r="X127" s="161" t="s"/>
      <c r="Y127" s="161" t="s"/>
      <c r="Z127" s="161" t="s"/>
    </row>
    <row r="128" spans="1:26" customHeight="false">
      <c r="A128" s="121" t="s"/>
      <c r="B128" s="188" t="s"/>
      <c r="C128" s="188" t="s"/>
      <c r="D128" s="121" t="s"/>
      <c r="E128" s="121" t="s"/>
      <c r="F128" s="121" t="s"/>
      <c r="G128" s="121" t="s"/>
      <c r="H128" s="121" t="s"/>
      <c r="I128" s="161" t="s"/>
      <c r="J128" s="187" t="s"/>
      <c r="K128" s="187" t="s"/>
      <c r="L128" s="187" t="s"/>
      <c r="M128" s="161" t="s"/>
      <c r="N128" s="161" t="s"/>
      <c r="O128" s="161" t="s"/>
      <c r="P128" s="161" t="s"/>
      <c r="Q128" s="161" t="s"/>
      <c r="R128" s="161" t="s"/>
      <c r="S128" s="161" t="s"/>
      <c r="T128" s="161" t="s"/>
      <c r="U128" s="161" t="s"/>
      <c r="V128" s="161" t="s"/>
      <c r="W128" s="161" t="s"/>
      <c r="X128" s="161" t="s"/>
      <c r="Y128" s="161" t="s"/>
      <c r="Z128" s="161" t="s"/>
    </row>
    <row r="129" spans="1:26" customHeight="false">
      <c r="A129" s="121" t="s"/>
      <c r="B129" s="188" t="s"/>
      <c r="C129" s="188" t="s"/>
      <c r="D129" s="121" t="s"/>
      <c r="E129" s="121" t="s"/>
      <c r="F129" s="121" t="s"/>
      <c r="G129" s="121" t="s"/>
      <c r="H129" s="121" t="s"/>
      <c r="I129" s="161" t="s"/>
      <c r="J129" s="187" t="s"/>
      <c r="K129" s="187" t="s"/>
      <c r="L129" s="187" t="s"/>
      <c r="M129" s="161" t="s"/>
      <c r="N129" s="161" t="s"/>
      <c r="O129" s="161" t="s"/>
      <c r="P129" s="161" t="s"/>
      <c r="Q129" s="161" t="s"/>
      <c r="R129" s="161" t="s"/>
      <c r="S129" s="161" t="s"/>
      <c r="T129" s="161" t="s"/>
      <c r="U129" s="161" t="s"/>
      <c r="V129" s="161" t="s"/>
      <c r="W129" s="161" t="s"/>
      <c r="X129" s="161" t="s"/>
      <c r="Y129" s="161" t="s"/>
      <c r="Z129" s="161" t="s"/>
    </row>
    <row r="130" spans="1:26" customHeight="false">
      <c r="A130" s="121" t="s"/>
      <c r="B130" s="188" t="s"/>
      <c r="C130" s="188" t="s"/>
      <c r="D130" s="121" t="s"/>
      <c r="E130" s="121" t="s"/>
      <c r="F130" s="121" t="s"/>
      <c r="G130" s="121" t="s"/>
      <c r="H130" s="121" t="s"/>
      <c r="I130" s="161" t="s"/>
      <c r="J130" s="187" t="s"/>
      <c r="K130" s="187" t="s"/>
      <c r="L130" s="187" t="s"/>
      <c r="M130" s="161" t="s"/>
      <c r="N130" s="161" t="s"/>
      <c r="O130" s="161" t="s"/>
      <c r="P130" s="161" t="s"/>
      <c r="Q130" s="161" t="s"/>
      <c r="R130" s="161" t="s"/>
      <c r="S130" s="161" t="s"/>
      <c r="T130" s="161" t="s"/>
      <c r="U130" s="161" t="s"/>
      <c r="V130" s="161" t="s"/>
      <c r="W130" s="161" t="s"/>
      <c r="X130" s="161" t="s"/>
      <c r="Y130" s="161" t="s"/>
      <c r="Z130" s="161" t="s"/>
    </row>
    <row r="131" spans="1:26" customHeight="false">
      <c r="A131" s="121" t="s"/>
      <c r="B131" s="188" t="s"/>
      <c r="C131" s="188" t="s"/>
      <c r="D131" s="121" t="s"/>
      <c r="E131" s="121" t="s"/>
      <c r="F131" s="121" t="s"/>
      <c r="G131" s="121" t="s"/>
      <c r="H131" s="121" t="s"/>
      <c r="I131" s="161" t="s"/>
      <c r="J131" s="187" t="s"/>
      <c r="K131" s="187" t="s"/>
      <c r="L131" s="187" t="s"/>
      <c r="M131" s="161" t="s"/>
      <c r="N131" s="161" t="s"/>
      <c r="O131" s="161" t="s"/>
      <c r="P131" s="161" t="s"/>
      <c r="Q131" s="161" t="s"/>
      <c r="R131" s="161" t="s"/>
      <c r="S131" s="161" t="s"/>
      <c r="T131" s="161" t="s"/>
      <c r="U131" s="161" t="s"/>
      <c r="V131" s="161" t="s"/>
      <c r="W131" s="161" t="s"/>
      <c r="X131" s="161" t="s"/>
      <c r="Y131" s="161" t="s"/>
      <c r="Z131" s="161" t="s"/>
    </row>
    <row r="132" spans="1:26" customHeight="false">
      <c r="A132" s="121" t="s"/>
      <c r="B132" s="188" t="s"/>
      <c r="C132" s="188" t="s"/>
      <c r="D132" s="121" t="s"/>
      <c r="E132" s="121" t="s"/>
      <c r="F132" s="121" t="s"/>
      <c r="G132" s="121" t="s"/>
      <c r="H132" s="121" t="s"/>
      <c r="I132" s="161" t="s"/>
      <c r="J132" s="187" t="s"/>
      <c r="K132" s="187" t="s"/>
      <c r="L132" s="187" t="s"/>
      <c r="M132" s="161" t="s"/>
      <c r="N132" s="161" t="s"/>
      <c r="O132" s="161" t="s"/>
      <c r="P132" s="161" t="s"/>
      <c r="Q132" s="161" t="s"/>
      <c r="R132" s="161" t="s"/>
      <c r="S132" s="161" t="s"/>
      <c r="T132" s="161" t="s"/>
      <c r="U132" s="161" t="s"/>
      <c r="V132" s="161" t="s"/>
      <c r="W132" s="161" t="s"/>
      <c r="X132" s="161" t="s"/>
      <c r="Y132" s="161" t="s"/>
      <c r="Z132" s="161" t="s"/>
    </row>
    <row r="133" spans="1:26" customHeight="false">
      <c r="A133" s="121" t="s"/>
      <c r="B133" s="188" t="s"/>
      <c r="C133" s="188" t="s"/>
      <c r="D133" s="121" t="s"/>
      <c r="E133" s="121" t="s"/>
      <c r="F133" s="121" t="s"/>
      <c r="G133" s="121" t="s"/>
      <c r="H133" s="121" t="s"/>
      <c r="I133" s="161" t="s"/>
      <c r="J133" s="187" t="s"/>
      <c r="K133" s="187" t="s"/>
      <c r="L133" s="187" t="s"/>
      <c r="M133" s="161" t="s"/>
      <c r="N133" s="161" t="s"/>
      <c r="O133" s="161" t="s"/>
      <c r="P133" s="161" t="s"/>
      <c r="Q133" s="161" t="s"/>
      <c r="R133" s="161" t="s"/>
      <c r="S133" s="161" t="s"/>
      <c r="T133" s="161" t="s"/>
      <c r="U133" s="161" t="s"/>
      <c r="V133" s="161" t="s"/>
      <c r="W133" s="161" t="s"/>
      <c r="X133" s="161" t="s"/>
      <c r="Y133" s="161" t="s"/>
      <c r="Z133" s="161" t="s"/>
    </row>
    <row r="134" spans="1:26" customHeight="false">
      <c r="A134" s="121" t="s"/>
      <c r="B134" s="188" t="s"/>
      <c r="C134" s="188" t="s"/>
      <c r="D134" s="121" t="s"/>
      <c r="E134" s="121" t="s"/>
      <c r="F134" s="121" t="s"/>
      <c r="G134" s="121" t="s"/>
      <c r="H134" s="121" t="s"/>
      <c r="I134" s="161" t="s"/>
      <c r="J134" s="187" t="s"/>
      <c r="K134" s="187" t="s"/>
      <c r="L134" s="187" t="s"/>
      <c r="M134" s="161" t="s"/>
      <c r="N134" s="161" t="s"/>
      <c r="O134" s="161" t="s"/>
      <c r="P134" s="161" t="s"/>
      <c r="Q134" s="161" t="s"/>
      <c r="R134" s="161" t="s"/>
      <c r="S134" s="161" t="s"/>
      <c r="T134" s="161" t="s"/>
      <c r="U134" s="161" t="s"/>
      <c r="V134" s="161" t="s"/>
      <c r="W134" s="161" t="s"/>
      <c r="X134" s="161" t="s"/>
      <c r="Y134" s="161" t="s"/>
      <c r="Z134" s="161" t="s"/>
    </row>
  </sheetData>
  <autoFilter ref="A4:H120">
    <sortState ref="A5:H120"/>
  </autoFilter>
  <mergeCells count="31">
    <mergeCell ref="J3:L3"/>
    <mergeCell ref="M3:P3"/>
    <mergeCell ref="Q3:T3"/>
    <mergeCell ref="U3:X3"/>
    <mergeCell ref="Y3:AB3"/>
    <mergeCell ref="G3:H3"/>
    <mergeCell ref="I3:I4"/>
    <mergeCell ref="B3:B4"/>
    <mergeCell ref="D3:D4"/>
    <mergeCell ref="E3:E4"/>
    <mergeCell ref="F3:F4"/>
    <mergeCell ref="A3:A4"/>
    <mergeCell ref="C3:C4"/>
    <mergeCell ref="A1:AB1"/>
    <mergeCell ref="A2:AB2"/>
    <mergeCell ref="B5:C5"/>
    <mergeCell ref="B13:C13"/>
    <mergeCell ref="B21:C21"/>
    <mergeCell ref="B25:C25"/>
    <mergeCell ref="B28:C28"/>
    <mergeCell ref="B35:C35"/>
    <mergeCell ref="B44:C44"/>
    <mergeCell ref="B50:C50"/>
    <mergeCell ref="B57:C57"/>
    <mergeCell ref="B60:C60"/>
    <mergeCell ref="B63:C63"/>
    <mergeCell ref="B73:C73"/>
    <mergeCell ref="B88:C88"/>
    <mergeCell ref="B102:C102"/>
    <mergeCell ref="B109:C109"/>
    <mergeCell ref="B112:C112"/>
  </mergeCells>
</worksheet>
</file>

<file path=xl/worksheets/sheet6.xml><?xml version="1.0" encoding="utf-8"?>
<worksheet xmlns="http://schemas.openxmlformats.org/spreadsheetml/2006/main">
  <sheetPr codeName="暖通空调专业">
    <tabColor rgb="FFFFFFFF"/>
  </sheetPr>
  <dimension ref="Z208"/>
  <sheetViews>
    <sheetView showGridLines="true" rightToLeft="false" workbookViewId="0">
      <pane ySplit="4" topLeftCell="A5" state="frozen"/>
    </sheetView>
  </sheetViews>
  <cols>
    <col min="1" max="1" width="5.00391" customWidth="true"/>
    <col min="2" max="2" width="32.2344" style="1010" customWidth="true"/>
    <col min="3" max="3" width="24.5508" style="1010" customWidth="true"/>
    <col min="4" max="4" width="38.9844" style="1011" customWidth="true"/>
    <col min="5" max="5" width="6.87109" customWidth="true"/>
    <col min="6" max="6" width="6.74219" style="1012" customWidth="true"/>
    <col min="7" max="7" width="8.43359" customWidth="true"/>
    <col min="8" max="8" width="11.8633" customWidth="true"/>
    <col min="9" max="9" width="7.71094" customWidth="true"/>
    <col min="10" max="12" width="7.71094" style="1005" customWidth="true"/>
    <col min="13" max="13" width="7.71094" style="1013" customWidth="true"/>
    <col min="14" max="14" width="7.71094" customWidth="true"/>
    <col min="15" max="15" width="12.2734" style="1010" customWidth="true"/>
    <col min="16" max="16" width="9.44141" customWidth="true"/>
    <col min="17" max="18" width="7.71094" customWidth="true"/>
    <col min="19" max="19" width="7.71094" style="1012" customWidth="true"/>
    <col min="20" max="20" width="9.71094" customWidth="true"/>
    <col min="21" max="26" width="7.71094" customWidth="true"/>
  </cols>
  <sheetData>
    <row r="1" spans="1:28" ht="39" customHeight="true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6" t="s"/>
      <c r="J1" s="7" t="s"/>
      <c r="K1" s="7" t="s"/>
      <c r="L1" s="7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</row>
    <row r="2" spans="1:28" customHeight="false">
      <c r="A2" s="8" t="s">
        <v>2</v>
      </c>
      <c r="B2" s="9" t="s"/>
      <c r="C2" s="9" t="s"/>
      <c r="D2" s="10" t="s"/>
      <c r="E2" s="10" t="s"/>
      <c r="F2" s="10" t="s"/>
      <c r="G2" s="10" t="s"/>
      <c r="H2" s="10" t="s"/>
      <c r="I2" s="9" t="s"/>
      <c r="J2" s="11" t="s"/>
      <c r="K2" s="11" t="s"/>
      <c r="L2" s="11" t="s"/>
      <c r="M2" s="9" t="s"/>
      <c r="N2" s="9" t="s"/>
      <c r="O2" s="9" t="s"/>
      <c r="P2" s="9" t="s"/>
      <c r="Q2" s="9" t="s"/>
      <c r="R2" s="9" t="s"/>
      <c r="S2" s="9" t="s"/>
      <c r="T2" s="9" t="s"/>
      <c r="U2" s="9" t="s"/>
      <c r="V2" s="9" t="s"/>
      <c r="W2" s="9" t="s"/>
      <c r="X2" s="9" t="s"/>
      <c r="Y2" s="9" t="s"/>
      <c r="Z2" s="9" t="s"/>
      <c r="AA2" s="9" t="s"/>
      <c r="AB2" s="9" t="s"/>
    </row>
    <row r="3" spans="1:28">
      <c r="A3" s="12" t="s">
        <v>3</v>
      </c>
      <c r="B3" s="13" t="s">
        <v>4</v>
      </c>
      <c r="C3" s="14" t="s">
        <v>5</v>
      </c>
      <c r="D3" s="15" t="s">
        <v>6</v>
      </c>
      <c r="E3" s="16" t="s">
        <v>7</v>
      </c>
      <c r="F3" s="16" t="s">
        <v>8</v>
      </c>
      <c r="G3" s="17" t="s">
        <v>9</v>
      </c>
      <c r="H3" s="18" t="s"/>
      <c r="I3" s="19" t="s">
        <v>10</v>
      </c>
      <c r="J3" s="20" t="s">
        <v>11</v>
      </c>
      <c r="K3" s="21" t="s"/>
      <c r="L3" s="21" t="s"/>
      <c r="M3" s="22" t="s">
        <v>12</v>
      </c>
      <c r="N3" s="23" t="s"/>
      <c r="O3" s="23" t="s"/>
      <c r="P3" s="23" t="s"/>
      <c r="Q3" s="22" t="s">
        <v>13</v>
      </c>
      <c r="R3" s="23" t="s"/>
      <c r="S3" s="23" t="s"/>
      <c r="T3" s="23" t="s"/>
      <c r="U3" s="22" t="s">
        <v>14</v>
      </c>
      <c r="V3" s="23" t="s"/>
      <c r="W3" s="23" t="s"/>
      <c r="X3" s="23" t="s"/>
      <c r="Y3" s="22" t="s">
        <v>15</v>
      </c>
      <c r="Z3" s="23" t="s"/>
      <c r="AA3" s="23" t="s"/>
      <c r="AB3" s="23" t="s"/>
    </row>
    <row r="4" spans="1:28" customHeight="false">
      <c r="A4" s="24" t="s"/>
      <c r="B4" s="24" t="s"/>
      <c r="C4" s="25" t="s"/>
      <c r="D4" s="18" t="s"/>
      <c r="E4" s="18" t="s"/>
      <c r="F4" s="18" t="s"/>
      <c r="G4" s="17" t="s">
        <v>16</v>
      </c>
      <c r="H4" s="17" t="s">
        <v>17</v>
      </c>
      <c r="I4" s="26" t="s"/>
      <c r="J4" s="27" t="s">
        <v>18</v>
      </c>
      <c r="K4" s="27" t="s">
        <v>19</v>
      </c>
      <c r="L4" s="27" t="s">
        <v>20</v>
      </c>
      <c r="M4" s="17" t="s">
        <v>21</v>
      </c>
      <c r="N4" s="17" t="s">
        <v>22</v>
      </c>
      <c r="O4" s="28" t="s">
        <v>19</v>
      </c>
      <c r="P4" s="17" t="s">
        <v>20</v>
      </c>
      <c r="Q4" s="17" t="s">
        <v>21</v>
      </c>
      <c r="R4" s="17" t="s">
        <v>22</v>
      </c>
      <c r="S4" s="17" t="s">
        <v>19</v>
      </c>
      <c r="T4" s="17" t="s">
        <v>20</v>
      </c>
      <c r="U4" s="29" t="s">
        <v>21</v>
      </c>
      <c r="V4" s="30" t="s">
        <v>22</v>
      </c>
      <c r="W4" s="17" t="s">
        <v>19</v>
      </c>
      <c r="X4" s="17" t="s">
        <v>20</v>
      </c>
      <c r="Y4" s="17" t="s">
        <v>21</v>
      </c>
      <c r="Z4" s="17" t="s">
        <v>22</v>
      </c>
      <c r="AA4" s="17" t="s">
        <v>19</v>
      </c>
      <c r="AB4" s="17" t="s">
        <v>20</v>
      </c>
    </row>
    <row r="5" spans="1:28" customHeight="false">
      <c r="A5" s="16" t="s"/>
      <c r="B5" s="31" t="s">
        <v>23</v>
      </c>
      <c r="C5" s="32" t="s"/>
      <c r="D5" s="33" t="s"/>
      <c r="E5" s="9" t="s"/>
      <c r="F5" s="34" t="s"/>
      <c r="G5" s="16" t="s"/>
      <c r="H5" s="35" t="s"/>
      <c r="I5" s="36" t="s"/>
      <c r="J5" s="37" t="s"/>
      <c r="K5" s="37" t="s"/>
      <c r="L5" s="37" t="s"/>
      <c r="M5" s="38" t="s"/>
      <c r="N5" s="38" t="s"/>
      <c r="O5" s="39" t="s"/>
      <c r="P5" s="40" t="s"/>
      <c r="Q5" s="41" t="s"/>
      <c r="R5" s="41" t="s"/>
      <c r="S5" s="42" t="s"/>
      <c r="T5" s="42" t="s"/>
      <c r="U5" s="41" t="s"/>
      <c r="V5" s="41" t="s"/>
      <c r="W5" s="41" t="s"/>
      <c r="X5" s="41" t="s"/>
      <c r="Y5" s="41" t="s"/>
      <c r="Z5" s="41" t="s"/>
      <c r="AA5" s="42" t="s"/>
      <c r="AB5" s="42" t="s"/>
    </row>
    <row r="6" spans="1:28" ht="42" customHeight="true">
      <c r="A6" s="43" t="s"/>
      <c r="B6" s="44" t="s">
        <v>24</v>
      </c>
      <c r="C6" s="45" t="s"/>
      <c r="D6" s="46" t="s">
        <v>2515</v>
      </c>
      <c r="E6" s="47" t="s">
        <v>25</v>
      </c>
      <c r="F6" s="48">
        <v>1</v>
      </c>
      <c r="G6" s="49">
        <v>1306800</v>
      </c>
      <c r="H6" s="50">
        <v>1306800</v>
      </c>
      <c r="I6" s="36" t="s"/>
      <c r="J6" s="37" t="s"/>
      <c r="K6" s="51">
        <f>=P6*0.6*0.85</f>
        <v>642039</v>
      </c>
      <c r="L6" s="37" t="s"/>
      <c r="M6" s="41" t="s">
        <v>26</v>
      </c>
      <c r="N6" s="41" t="s">
        <v>27</v>
      </c>
      <c r="O6" s="40">
        <v>1258900</v>
      </c>
      <c r="P6" s="40">
        <f>=F6*O6</f>
        <v>1258900</v>
      </c>
      <c r="Q6" s="52" t="s">
        <v>28</v>
      </c>
      <c r="R6" s="41" t="s">
        <v>29</v>
      </c>
      <c r="S6" s="42">
        <v>1395000</v>
      </c>
      <c r="T6" s="42">
        <f>=S6*F6</f>
        <v>1395000</v>
      </c>
      <c r="U6" s="41" t="s"/>
      <c r="V6" s="41" t="s"/>
      <c r="W6" s="41" t="s"/>
      <c r="X6" s="41" t="s"/>
      <c r="Y6" s="41" t="s"/>
      <c r="Z6" s="41" t="s"/>
      <c r="AA6" s="42" t="s"/>
      <c r="AB6" s="42" t="s"/>
    </row>
    <row r="7" spans="1:28" ht="42" customHeight="true">
      <c r="A7" s="43" t="s"/>
      <c r="B7" s="44" t="s">
        <v>30</v>
      </c>
      <c r="C7" s="53" t="s"/>
      <c r="D7" s="54" t="s">
        <v>2516</v>
      </c>
      <c r="E7" s="55" t="s">
        <v>25</v>
      </c>
      <c r="F7" s="56">
        <v>1</v>
      </c>
      <c r="G7" s="57" t="s"/>
      <c r="H7" s="58" t="s"/>
      <c r="I7" s="59" t="s"/>
      <c r="J7" s="37" t="s"/>
      <c r="K7" s="60">
        <f>=O6*0.4*0.85</f>
        <v>428026</v>
      </c>
      <c r="L7" s="37" t="s"/>
      <c r="M7" s="41" t="s">
        <v>26</v>
      </c>
      <c r="N7" s="41" t="s">
        <v>27</v>
      </c>
      <c r="O7" s="61" t="s"/>
      <c r="P7" s="61" t="s"/>
      <c r="Q7" s="52" t="s">
        <v>28</v>
      </c>
      <c r="R7" s="41" t="s">
        <v>29</v>
      </c>
      <c r="S7" s="42">
        <v>1012500</v>
      </c>
      <c r="T7" s="42">
        <f>=S7*F7</f>
        <v>1012500</v>
      </c>
      <c r="U7" s="41" t="s"/>
      <c r="V7" s="41" t="s"/>
      <c r="W7" s="42" t="s"/>
      <c r="X7" s="42" t="s"/>
      <c r="Y7" s="42" t="s"/>
      <c r="Z7" s="42" t="s"/>
      <c r="AA7" s="42" t="s"/>
      <c r="AB7" s="42" t="s"/>
    </row>
    <row r="8" spans="1:28" ht="42" customHeight="true">
      <c r="A8" s="43" t="s"/>
      <c r="B8" s="44" t="s">
        <v>31</v>
      </c>
      <c r="C8" s="53" t="s"/>
      <c r="D8" s="46" t="s">
        <v>2517</v>
      </c>
      <c r="E8" s="47" t="s">
        <v>32</v>
      </c>
      <c r="F8" s="48">
        <v>2</v>
      </c>
      <c r="G8" s="57" t="s"/>
      <c r="H8" s="58" t="s"/>
      <c r="I8" s="59" t="s"/>
      <c r="J8" s="37" t="s"/>
      <c r="K8" s="62">
        <f>=O8*0.85</f>
        <v>40800</v>
      </c>
      <c r="L8" s="37" t="s"/>
      <c r="M8" s="41" t="s">
        <v>26</v>
      </c>
      <c r="N8" s="41" t="s">
        <v>27</v>
      </c>
      <c r="O8" s="42">
        <v>48000</v>
      </c>
      <c r="P8" s="42">
        <f>=F8*O8</f>
        <v>96000</v>
      </c>
      <c r="Q8" s="52" t="s">
        <v>28</v>
      </c>
      <c r="R8" s="41" t="s">
        <v>29</v>
      </c>
      <c r="S8" s="42">
        <v>65000</v>
      </c>
      <c r="T8" s="42">
        <f>=S8*F8</f>
        <v>130000</v>
      </c>
      <c r="U8" s="41" t="s"/>
      <c r="V8" s="41" t="s"/>
      <c r="W8" s="42" t="s"/>
      <c r="X8" s="42" t="s"/>
      <c r="Y8" s="41" t="s"/>
      <c r="Z8" s="41" t="s"/>
      <c r="AA8" s="42" t="s"/>
      <c r="AB8" s="42" t="s"/>
    </row>
    <row r="9" spans="1:28" ht="42" customHeight="true">
      <c r="A9" s="43" t="s"/>
      <c r="B9" s="44" t="s">
        <v>33</v>
      </c>
      <c r="C9" s="53" t="s"/>
      <c r="D9" s="46" t="s">
        <v>2518</v>
      </c>
      <c r="E9" s="47" t="s">
        <v>32</v>
      </c>
      <c r="F9" s="48">
        <v>2</v>
      </c>
      <c r="G9" s="57" t="s"/>
      <c r="H9" s="58" t="s"/>
      <c r="I9" s="59" t="s"/>
      <c r="J9" s="37" t="s"/>
      <c r="K9" s="62">
        <f>=O9*0.85</f>
        <v>2465</v>
      </c>
      <c r="L9" s="37" t="s"/>
      <c r="M9" s="41" t="s">
        <v>26</v>
      </c>
      <c r="N9" s="41" t="s">
        <v>27</v>
      </c>
      <c r="O9" s="42">
        <v>2900</v>
      </c>
      <c r="P9" s="42">
        <f>=F9*O9</f>
        <v>5800</v>
      </c>
      <c r="Q9" s="52" t="s">
        <v>28</v>
      </c>
      <c r="R9" s="41" t="s">
        <v>29</v>
      </c>
      <c r="S9" s="42">
        <v>7500</v>
      </c>
      <c r="T9" s="42">
        <f>=S9*F9</f>
        <v>15000</v>
      </c>
      <c r="U9" s="41" t="s"/>
      <c r="V9" s="41" t="s"/>
      <c r="W9" s="9" t="s"/>
      <c r="X9" s="9" t="s"/>
      <c r="Y9" s="41" t="s"/>
      <c r="Z9" s="41" t="s"/>
      <c r="AA9" s="42" t="s"/>
      <c r="AB9" s="42" t="s"/>
    </row>
    <row r="10" spans="1:28" ht="42" customHeight="true">
      <c r="A10" s="43" t="s"/>
      <c r="B10" s="44" t="s">
        <v>34</v>
      </c>
      <c r="C10" s="53" t="s"/>
      <c r="D10" s="46" t="s">
        <v>2518</v>
      </c>
      <c r="E10" s="47" t="s">
        <v>32</v>
      </c>
      <c r="F10" s="48">
        <v>2</v>
      </c>
      <c r="G10" s="57" t="s"/>
      <c r="H10" s="58" t="s"/>
      <c r="I10" s="59" t="s"/>
      <c r="J10" s="37" t="s"/>
      <c r="K10" s="62">
        <f>=O10*0.85</f>
        <v>2465</v>
      </c>
      <c r="L10" s="37" t="s"/>
      <c r="M10" s="41" t="s">
        <v>26</v>
      </c>
      <c r="N10" s="41" t="s">
        <v>27</v>
      </c>
      <c r="O10" s="42">
        <v>2900</v>
      </c>
      <c r="P10" s="42">
        <f>=F10*O10</f>
        <v>5800</v>
      </c>
      <c r="Q10" s="52" t="s">
        <v>28</v>
      </c>
      <c r="R10" s="41" t="s">
        <v>29</v>
      </c>
      <c r="S10" s="42">
        <v>4500</v>
      </c>
      <c r="T10" s="42">
        <f>=S10*F10</f>
        <v>9000</v>
      </c>
      <c r="U10" s="41" t="s"/>
      <c r="V10" s="41" t="s"/>
      <c r="W10" s="9" t="s"/>
      <c r="X10" s="9" t="s"/>
      <c r="Y10" s="41" t="s"/>
      <c r="Z10" s="41" t="s"/>
      <c r="AA10" s="42" t="s"/>
      <c r="AB10" s="42" t="s"/>
    </row>
    <row r="11" spans="1:28" ht="42" customHeight="true">
      <c r="A11" s="43" t="s"/>
      <c r="B11" s="44" t="s">
        <v>35</v>
      </c>
      <c r="C11" s="53" t="s"/>
      <c r="D11" s="46" t="s">
        <v>2519</v>
      </c>
      <c r="E11" s="47" t="s">
        <v>36</v>
      </c>
      <c r="F11" s="48">
        <v>1</v>
      </c>
      <c r="G11" s="57" t="s"/>
      <c r="H11" s="58" t="s"/>
      <c r="I11" s="59" t="s"/>
      <c r="J11" s="37" t="s"/>
      <c r="K11" s="62">
        <f>=O11*0.85</f>
        <v>59670</v>
      </c>
      <c r="L11" s="37" t="s"/>
      <c r="M11" s="41" t="s">
        <v>26</v>
      </c>
      <c r="N11" s="41" t="s">
        <v>27</v>
      </c>
      <c r="O11" s="42">
        <v>70200</v>
      </c>
      <c r="P11" s="42">
        <f>=F11*O11</f>
        <v>70200</v>
      </c>
      <c r="Q11" s="52" t="s">
        <v>28</v>
      </c>
      <c r="R11" s="41" t="s">
        <v>29</v>
      </c>
      <c r="S11" s="42">
        <v>230000</v>
      </c>
      <c r="T11" s="42">
        <f>=S11*F11</f>
        <v>230000</v>
      </c>
      <c r="U11" s="41" t="s"/>
      <c r="V11" s="41" t="s"/>
      <c r="W11" s="9" t="s"/>
      <c r="X11" s="9" t="s"/>
      <c r="Y11" s="41" t="s"/>
      <c r="Z11" s="41" t="s"/>
      <c r="AA11" s="42" t="s"/>
      <c r="AB11" s="42" t="s"/>
    </row>
    <row r="12" spans="1:28" ht="42" customHeight="true">
      <c r="A12" s="43" t="s"/>
      <c r="B12" s="44" t="s">
        <v>37</v>
      </c>
      <c r="C12" s="53" t="s"/>
      <c r="D12" s="46" t="s">
        <v>38</v>
      </c>
      <c r="E12" s="47" t="s">
        <v>36</v>
      </c>
      <c r="F12" s="48">
        <v>2</v>
      </c>
      <c r="G12" s="57" t="s"/>
      <c r="H12" s="58" t="s"/>
      <c r="I12" s="59" t="s"/>
      <c r="J12" s="37" t="s"/>
      <c r="K12" s="62">
        <f>=O12*0.85</f>
        <v>5780</v>
      </c>
      <c r="L12" s="37" t="s"/>
      <c r="M12" s="41" t="s">
        <v>26</v>
      </c>
      <c r="N12" s="41" t="s">
        <v>27</v>
      </c>
      <c r="O12" s="42">
        <v>6800</v>
      </c>
      <c r="P12" s="42">
        <f>=F12*O12</f>
        <v>13600</v>
      </c>
      <c r="Q12" s="52" t="s">
        <v>28</v>
      </c>
      <c r="R12" s="41" t="s">
        <v>29</v>
      </c>
      <c r="S12" s="42">
        <v>5000</v>
      </c>
      <c r="T12" s="42">
        <f>=S12*F12</f>
        <v>10000</v>
      </c>
      <c r="U12" s="41" t="s"/>
      <c r="V12" s="41" t="s"/>
      <c r="W12" s="9" t="s"/>
      <c r="X12" s="9" t="s"/>
      <c r="Y12" s="41" t="s"/>
      <c r="Z12" s="41" t="s"/>
      <c r="AA12" s="42" t="s"/>
      <c r="AB12" s="42" t="s"/>
    </row>
    <row r="13" spans="1:28" ht="42" customHeight="true">
      <c r="A13" s="43" t="s"/>
      <c r="B13" s="44" t="s">
        <v>39</v>
      </c>
      <c r="C13" s="53" t="s"/>
      <c r="D13" s="63" t="s">
        <v>40</v>
      </c>
      <c r="E13" s="47" t="s">
        <v>36</v>
      </c>
      <c r="F13" s="48">
        <v>2</v>
      </c>
      <c r="G13" s="57" t="s"/>
      <c r="H13" s="58" t="s"/>
      <c r="I13" s="59" t="s"/>
      <c r="J13" s="37" t="s"/>
      <c r="K13" s="62">
        <f>=O13*0.85</f>
        <v>255</v>
      </c>
      <c r="L13" s="37" t="s"/>
      <c r="M13" s="41" t="s">
        <v>26</v>
      </c>
      <c r="N13" s="41" t="s">
        <v>27</v>
      </c>
      <c r="O13" s="42">
        <v>300</v>
      </c>
      <c r="P13" s="42">
        <f>=F13*O13</f>
        <v>600</v>
      </c>
      <c r="Q13" s="52" t="s">
        <v>28</v>
      </c>
      <c r="R13" s="41" t="s">
        <v>29</v>
      </c>
      <c r="S13" s="42">
        <v>2000</v>
      </c>
      <c r="T13" s="42">
        <f>=S13*F13</f>
        <v>4000</v>
      </c>
      <c r="U13" s="41" t="s"/>
      <c r="V13" s="41" t="s"/>
      <c r="W13" s="9" t="s"/>
      <c r="X13" s="9" t="s"/>
      <c r="Y13" s="41" t="s"/>
      <c r="Z13" s="41" t="s"/>
      <c r="AA13" s="42" t="s"/>
      <c r="AB13" s="42" t="s"/>
    </row>
    <row r="14" spans="1:28" ht="42" customHeight="true">
      <c r="A14" s="43" t="s"/>
      <c r="B14" s="44" t="s">
        <v>41</v>
      </c>
      <c r="C14" s="53" t="s"/>
      <c r="D14" s="46" t="s">
        <v>2520</v>
      </c>
      <c r="E14" s="47" t="s">
        <v>36</v>
      </c>
      <c r="F14" s="48">
        <v>2</v>
      </c>
      <c r="G14" s="57" t="s"/>
      <c r="H14" s="58" t="s"/>
      <c r="I14" s="59" t="s"/>
      <c r="J14" s="37" t="s"/>
      <c r="K14" s="62">
        <f>=O14*0.85</f>
        <v>510</v>
      </c>
      <c r="L14" s="37" t="s"/>
      <c r="M14" s="41" t="s">
        <v>26</v>
      </c>
      <c r="N14" s="41" t="s">
        <v>27</v>
      </c>
      <c r="O14" s="42">
        <v>600</v>
      </c>
      <c r="P14" s="42">
        <f>=F14*O14</f>
        <v>1200</v>
      </c>
      <c r="Q14" s="52" t="s">
        <v>28</v>
      </c>
      <c r="R14" s="41" t="s">
        <v>29</v>
      </c>
      <c r="S14" s="42">
        <v>300</v>
      </c>
      <c r="T14" s="42">
        <f>=S14*F14</f>
        <v>600</v>
      </c>
      <c r="U14" s="41" t="s"/>
      <c r="V14" s="41" t="s"/>
      <c r="W14" s="9" t="s"/>
      <c r="X14" s="9" t="s"/>
      <c r="Y14" s="41" t="s"/>
      <c r="Z14" s="41" t="s"/>
      <c r="AA14" s="42" t="s"/>
      <c r="AB14" s="42" t="s"/>
    </row>
    <row r="15" spans="1:28" ht="31.5" customHeight="true">
      <c r="A15" s="43" t="s"/>
      <c r="B15" s="44" t="s">
        <v>42</v>
      </c>
      <c r="C15" s="53" t="s"/>
      <c r="D15" s="46" t="s">
        <v>2521</v>
      </c>
      <c r="E15" s="47" t="s">
        <v>36</v>
      </c>
      <c r="F15" s="48">
        <v>1</v>
      </c>
      <c r="G15" s="57" t="s"/>
      <c r="H15" s="58" t="s"/>
      <c r="I15" s="59" t="s"/>
      <c r="J15" s="37" t="s"/>
      <c r="K15" s="62">
        <f>=O15*0.85</f>
        <v>9775</v>
      </c>
      <c r="L15" s="37" t="s"/>
      <c r="M15" s="41" t="s">
        <v>26</v>
      </c>
      <c r="N15" s="41" t="s">
        <v>27</v>
      </c>
      <c r="O15" s="42">
        <v>11500</v>
      </c>
      <c r="P15" s="42">
        <f>=F15*O15</f>
        <v>11500</v>
      </c>
      <c r="Q15" s="52" t="s"/>
      <c r="R15" s="41" t="s"/>
      <c r="S15" s="42" t="s"/>
      <c r="T15" s="42" t="s"/>
      <c r="U15" s="41" t="s"/>
      <c r="V15" s="41" t="s"/>
      <c r="W15" s="9" t="s"/>
      <c r="X15" s="9" t="s"/>
      <c r="Y15" s="41" t="s"/>
      <c r="Z15" s="41" t="s"/>
      <c r="AA15" s="42" t="s"/>
      <c r="AB15" s="42" t="s"/>
    </row>
    <row r="16" spans="1:28" ht="31.5" customHeight="true">
      <c r="A16" s="43" t="s"/>
      <c r="B16" s="44" t="s">
        <v>43</v>
      </c>
      <c r="C16" s="53" t="s"/>
      <c r="D16" s="46" t="s">
        <v>44</v>
      </c>
      <c r="E16" s="47" t="s">
        <v>45</v>
      </c>
      <c r="F16" s="48">
        <v>4</v>
      </c>
      <c r="G16" s="57" t="s"/>
      <c r="H16" s="58" t="s"/>
      <c r="I16" s="59" t="s"/>
      <c r="J16" s="37" t="s"/>
      <c r="K16" s="62">
        <f>=O16*0.85</f>
        <v>6885</v>
      </c>
      <c r="L16" s="37" t="s"/>
      <c r="M16" s="41" t="s">
        <v>26</v>
      </c>
      <c r="N16" s="41" t="s">
        <v>27</v>
      </c>
      <c r="O16" s="42">
        <v>8100</v>
      </c>
      <c r="P16" s="42">
        <f>=F16*O16</f>
        <v>32400</v>
      </c>
      <c r="Q16" s="52" t="s"/>
      <c r="R16" s="41" t="s"/>
      <c r="S16" s="42" t="s"/>
      <c r="T16" s="42" t="s"/>
      <c r="U16" s="41" t="s"/>
      <c r="V16" s="41" t="s"/>
      <c r="W16" s="9" t="s"/>
      <c r="X16" s="9" t="s"/>
      <c r="Y16" s="41" t="s"/>
      <c r="Z16" s="41" t="s"/>
      <c r="AA16" s="42" t="s"/>
      <c r="AB16" s="42" t="s"/>
    </row>
    <row r="17" spans="1:28" ht="31.5" customHeight="true">
      <c r="A17" s="43" t="s"/>
      <c r="B17" s="64" t="s">
        <v>46</v>
      </c>
      <c r="C17" s="65" t="s"/>
      <c r="D17" s="66" t="s">
        <v>2522</v>
      </c>
      <c r="E17" s="67" t="s">
        <v>45</v>
      </c>
      <c r="F17" s="68">
        <v>2</v>
      </c>
      <c r="G17" s="57" t="s"/>
      <c r="H17" s="58" t="s"/>
      <c r="I17" s="59" t="s"/>
      <c r="J17" s="37" t="s"/>
      <c r="K17" s="62">
        <f>=O17*0.85</f>
        <v>170</v>
      </c>
      <c r="L17" s="37" t="s"/>
      <c r="M17" s="41" t="s">
        <v>26</v>
      </c>
      <c r="N17" s="41" t="s">
        <v>27</v>
      </c>
      <c r="O17" s="42">
        <v>200</v>
      </c>
      <c r="P17" s="42">
        <f>=F17*O17</f>
        <v>400</v>
      </c>
      <c r="Q17" s="52" t="s"/>
      <c r="R17" s="41" t="s"/>
      <c r="S17" s="42" t="s"/>
      <c r="T17" s="42" t="s"/>
      <c r="U17" s="41" t="s"/>
      <c r="V17" s="41" t="s"/>
      <c r="W17" s="9" t="s"/>
      <c r="X17" s="9" t="s"/>
      <c r="Y17" s="41" t="s"/>
      <c r="Z17" s="41" t="s"/>
      <c r="AA17" s="42" t="s"/>
      <c r="AB17" s="42" t="s"/>
    </row>
    <row r="18" spans="1:28" ht="45" customHeight="true">
      <c r="A18" s="43" t="s"/>
      <c r="B18" s="44" t="s">
        <v>47</v>
      </c>
      <c r="C18" s="53" t="s"/>
      <c r="D18" s="46" t="s">
        <v>2523</v>
      </c>
      <c r="E18" s="47" t="s">
        <v>45</v>
      </c>
      <c r="F18" s="48">
        <v>1</v>
      </c>
      <c r="G18" s="61" t="s"/>
      <c r="H18" s="61" t="s"/>
      <c r="I18" s="36" t="s"/>
      <c r="J18" s="37" t="s"/>
      <c r="K18" s="62">
        <f>=O18*0.85</f>
        <v>7905</v>
      </c>
      <c r="L18" s="37" t="s"/>
      <c r="M18" s="41" t="s">
        <v>26</v>
      </c>
      <c r="N18" s="41" t="s">
        <v>27</v>
      </c>
      <c r="O18" s="42">
        <v>9300</v>
      </c>
      <c r="P18" s="42">
        <f>=F18*O18</f>
        <v>9300</v>
      </c>
      <c r="Q18" s="52" t="s"/>
      <c r="R18" s="41" t="s"/>
      <c r="S18" s="42" t="s"/>
      <c r="T18" s="42" t="s"/>
      <c r="U18" s="41" t="s"/>
      <c r="V18" s="41" t="s"/>
      <c r="W18" s="9" t="s"/>
      <c r="X18" s="9" t="s"/>
      <c r="Y18" s="41" t="s"/>
      <c r="Z18" s="41" t="s"/>
      <c r="AA18" s="42" t="s"/>
      <c r="AB18" s="42" t="s"/>
    </row>
    <row r="19" spans="1:28" customHeight="false">
      <c r="A19" s="43" t="s"/>
      <c r="B19" s="69" t="s"/>
      <c r="C19" s="53" t="s"/>
      <c r="D19" s="70" t="s"/>
      <c r="E19" s="71" t="s"/>
      <c r="F19" s="71" t="s"/>
      <c r="G19" s="16" t="s"/>
      <c r="H19" s="35" t="s"/>
      <c r="I19" s="36" t="s"/>
      <c r="J19" s="37" t="s"/>
      <c r="K19" s="37" t="s"/>
      <c r="L19" s="37" t="s"/>
      <c r="M19" s="72" t="s"/>
      <c r="N19" s="72" t="s"/>
      <c r="O19" s="73" t="s"/>
      <c r="P19" s="74" t="s"/>
      <c r="Q19" s="41" t="s"/>
      <c r="R19" s="41" t="s"/>
      <c r="S19" s="42" t="s"/>
      <c r="T19" s="42" t="s"/>
      <c r="U19" s="41" t="s"/>
      <c r="V19" s="41" t="s"/>
      <c r="W19" s="9" t="s"/>
      <c r="X19" s="9" t="s"/>
      <c r="Y19" s="41" t="s"/>
      <c r="Z19" s="41" t="s"/>
      <c r="AA19" s="42" t="s"/>
      <c r="AB19" s="42" t="s"/>
    </row>
    <row r="20" spans="1:28" customHeight="false">
      <c r="A20" s="43" t="s"/>
      <c r="B20" s="75" t="s">
        <v>48</v>
      </c>
      <c r="C20" s="76" t="s"/>
      <c r="D20" s="76" t="s"/>
      <c r="E20" s="9" t="s"/>
      <c r="F20" s="34" t="s"/>
      <c r="G20" s="16" t="s"/>
      <c r="H20" s="35" t="s"/>
      <c r="I20" s="36" t="s"/>
      <c r="J20" s="37" t="s"/>
      <c r="K20" s="37" t="s"/>
      <c r="L20" s="37" t="s"/>
      <c r="M20" s="41" t="s"/>
      <c r="N20" s="41" t="s"/>
      <c r="O20" s="8" t="s"/>
      <c r="P20" s="42" t="s"/>
      <c r="Q20" s="41" t="s"/>
      <c r="R20" s="41" t="s"/>
      <c r="S20" s="42" t="s"/>
      <c r="T20" s="42" t="s"/>
      <c r="U20" s="41" t="s"/>
      <c r="V20" s="41" t="s"/>
      <c r="W20" s="9" t="s"/>
      <c r="X20" s="9" t="s"/>
      <c r="Y20" s="41" t="s"/>
      <c r="Z20" s="41" t="s"/>
      <c r="AA20" s="42" t="s"/>
      <c r="AB20" s="42" t="s"/>
    </row>
    <row r="21" spans="1:28" ht="42" customHeight="true">
      <c r="A21" s="16" t="s"/>
      <c r="B21" s="55" t="s">
        <v>24</v>
      </c>
      <c r="C21" s="77" t="s"/>
      <c r="D21" s="54" t="s">
        <v>49</v>
      </c>
      <c r="E21" s="55" t="s">
        <v>25</v>
      </c>
      <c r="F21" s="56">
        <v>2</v>
      </c>
      <c r="G21" s="12">
        <v>1447200</v>
      </c>
      <c r="H21" s="78">
        <f>=G21*2</f>
        <v>2894400</v>
      </c>
      <c r="I21" s="59" t="s"/>
      <c r="J21" s="37" t="s"/>
      <c r="K21" s="51">
        <f>=O21*0.6*0.85</f>
        <v>678300</v>
      </c>
      <c r="L21" s="37" t="s"/>
      <c r="M21" s="41" t="s">
        <v>26</v>
      </c>
      <c r="N21" s="41" t="s">
        <v>27</v>
      </c>
      <c r="O21" s="79">
        <v>1330000</v>
      </c>
      <c r="P21" s="40">
        <f>=F21*O21</f>
        <v>2660000</v>
      </c>
      <c r="Q21" s="52" t="s">
        <v>28</v>
      </c>
      <c r="R21" s="41" t="s">
        <v>29</v>
      </c>
      <c r="S21" s="42">
        <v>1395000</v>
      </c>
      <c r="T21" s="42">
        <f>=S21*F21</f>
        <v>2790000</v>
      </c>
      <c r="U21" s="41" t="s"/>
      <c r="V21" s="41" t="s"/>
      <c r="W21" s="9" t="s"/>
      <c r="X21" s="9" t="s"/>
      <c r="Y21" s="41" t="s"/>
      <c r="Z21" s="41" t="s"/>
      <c r="AA21" s="42" t="s"/>
      <c r="AB21" s="42" t="s"/>
    </row>
    <row r="22" spans="1:28" ht="42" customHeight="true">
      <c r="A22" s="16" t="s"/>
      <c r="B22" s="47" t="s">
        <v>30</v>
      </c>
      <c r="C22" s="53" t="s"/>
      <c r="D22" s="46" t="s">
        <v>50</v>
      </c>
      <c r="E22" s="47" t="s">
        <v>25</v>
      </c>
      <c r="F22" s="48">
        <v>2</v>
      </c>
      <c r="G22" s="57" t="s"/>
      <c r="H22" s="58" t="s"/>
      <c r="I22" s="59" t="s"/>
      <c r="J22" s="37" t="s"/>
      <c r="K22" s="60">
        <f>=O21*0.4*0.85</f>
        <v>452200</v>
      </c>
      <c r="L22" s="37" t="s"/>
      <c r="M22" s="41" t="s">
        <v>26</v>
      </c>
      <c r="N22" s="41" t="s">
        <v>27</v>
      </c>
      <c r="O22" s="61" t="s"/>
      <c r="P22" s="61" t="s"/>
      <c r="Q22" s="52" t="s">
        <v>28</v>
      </c>
      <c r="R22" s="41" t="s">
        <v>29</v>
      </c>
      <c r="S22" s="42">
        <v>1012500</v>
      </c>
      <c r="T22" s="42">
        <f>=S22*F22</f>
        <v>2025000</v>
      </c>
      <c r="U22" s="41" t="s"/>
      <c r="V22" s="41" t="s"/>
      <c r="W22" s="9" t="s"/>
      <c r="X22" s="9" t="s"/>
      <c r="Y22" s="41" t="s"/>
      <c r="Z22" s="41" t="s"/>
      <c r="AA22" s="42" t="s"/>
      <c r="AB22" s="42" t="s"/>
    </row>
    <row r="23" spans="1:28" ht="42" customHeight="true">
      <c r="A23" s="16" t="s"/>
      <c r="B23" s="47" t="s">
        <v>31</v>
      </c>
      <c r="C23" s="53" t="s"/>
      <c r="D23" s="46" t="s">
        <v>51</v>
      </c>
      <c r="E23" s="47" t="s">
        <v>32</v>
      </c>
      <c r="F23" s="48">
        <v>4</v>
      </c>
      <c r="G23" s="57" t="s"/>
      <c r="H23" s="58" t="s"/>
      <c r="I23" s="59" t="s"/>
      <c r="J23" s="37" t="s"/>
      <c r="K23" s="62">
        <f>=O23*0.85</f>
        <v>47430</v>
      </c>
      <c r="L23" s="37" t="s"/>
      <c r="M23" s="41" t="s">
        <v>26</v>
      </c>
      <c r="N23" s="41" t="s">
        <v>27</v>
      </c>
      <c r="O23" s="8">
        <v>55800</v>
      </c>
      <c r="P23" s="42">
        <f>=F23*O23</f>
        <v>223200</v>
      </c>
      <c r="Q23" s="52" t="s">
        <v>28</v>
      </c>
      <c r="R23" s="41" t="s">
        <v>29</v>
      </c>
      <c r="S23" s="42">
        <v>78000</v>
      </c>
      <c r="T23" s="42">
        <f>=S23*F23</f>
        <v>312000</v>
      </c>
      <c r="U23" s="41" t="s"/>
      <c r="V23" s="41" t="s"/>
      <c r="W23" s="9" t="s"/>
      <c r="X23" s="9" t="s"/>
      <c r="Y23" s="41" t="s"/>
      <c r="Z23" s="41" t="s"/>
      <c r="AA23" s="42" t="s"/>
      <c r="AB23" s="42" t="s"/>
    </row>
    <row r="24" spans="1:28" ht="42" customHeight="true">
      <c r="A24" s="16" t="s"/>
      <c r="B24" s="47" t="s">
        <v>33</v>
      </c>
      <c r="C24" s="53" t="s"/>
      <c r="D24" s="46" t="s">
        <v>52</v>
      </c>
      <c r="E24" s="47" t="s">
        <v>32</v>
      </c>
      <c r="F24" s="48">
        <v>4</v>
      </c>
      <c r="G24" s="57" t="s"/>
      <c r="H24" s="58" t="s"/>
      <c r="I24" s="59" t="s"/>
      <c r="J24" s="37" t="s"/>
      <c r="K24" s="62">
        <f>=O24*0.85</f>
        <v>2635</v>
      </c>
      <c r="L24" s="37" t="s"/>
      <c r="M24" s="41" t="s">
        <v>26</v>
      </c>
      <c r="N24" s="41" t="s">
        <v>27</v>
      </c>
      <c r="O24" s="8">
        <v>3100</v>
      </c>
      <c r="P24" s="42">
        <f>=F24*O24</f>
        <v>12400</v>
      </c>
      <c r="Q24" s="52" t="s">
        <v>28</v>
      </c>
      <c r="R24" s="41" t="s">
        <v>29</v>
      </c>
      <c r="S24" s="42">
        <v>9500</v>
      </c>
      <c r="T24" s="42">
        <f>=S24*F24</f>
        <v>38000</v>
      </c>
      <c r="U24" s="41" t="s"/>
      <c r="V24" s="41" t="s"/>
      <c r="W24" s="9" t="s"/>
      <c r="X24" s="9" t="s"/>
      <c r="Y24" s="41" t="s"/>
      <c r="Z24" s="41" t="s"/>
      <c r="AA24" s="42" t="s"/>
      <c r="AB24" s="42" t="s"/>
    </row>
    <row r="25" spans="1:28" ht="42" customHeight="true">
      <c r="A25" s="16" t="s"/>
      <c r="B25" s="47" t="s">
        <v>34</v>
      </c>
      <c r="C25" s="53" t="s"/>
      <c r="D25" s="46" t="s">
        <v>52</v>
      </c>
      <c r="E25" s="47" t="s">
        <v>32</v>
      </c>
      <c r="F25" s="48">
        <v>4</v>
      </c>
      <c r="G25" s="57" t="s"/>
      <c r="H25" s="58" t="s"/>
      <c r="I25" s="59" t="s"/>
      <c r="J25" s="37" t="s"/>
      <c r="K25" s="62">
        <f>=O25*0.85</f>
        <v>2635</v>
      </c>
      <c r="L25" s="37" t="s"/>
      <c r="M25" s="41" t="s">
        <v>26</v>
      </c>
      <c r="N25" s="41" t="s">
        <v>27</v>
      </c>
      <c r="O25" s="8">
        <v>3100</v>
      </c>
      <c r="P25" s="42">
        <f>=F25*O25</f>
        <v>12400</v>
      </c>
      <c r="Q25" s="52" t="s">
        <v>28</v>
      </c>
      <c r="R25" s="41" t="s">
        <v>29</v>
      </c>
      <c r="S25" s="42">
        <v>5500</v>
      </c>
      <c r="T25" s="42">
        <f>=S25*F25</f>
        <v>22000</v>
      </c>
      <c r="U25" s="41" t="s"/>
      <c r="V25" s="41" t="s"/>
      <c r="W25" s="9" t="s"/>
      <c r="X25" s="9" t="s"/>
      <c r="Y25" s="41" t="s"/>
      <c r="Z25" s="41" t="s"/>
      <c r="AA25" s="42" t="s"/>
      <c r="AB25" s="42" t="s"/>
    </row>
    <row r="26" spans="1:28" ht="42" customHeight="true">
      <c r="A26" s="16" t="s"/>
      <c r="B26" s="47" t="s">
        <v>35</v>
      </c>
      <c r="C26" s="53" t="s"/>
      <c r="D26" s="46" t="s">
        <v>53</v>
      </c>
      <c r="E26" s="47" t="s">
        <v>36</v>
      </c>
      <c r="F26" s="48">
        <v>2</v>
      </c>
      <c r="G26" s="57" t="s"/>
      <c r="H26" s="58" t="s"/>
      <c r="I26" s="59" t="s"/>
      <c r="J26" s="37" t="s"/>
      <c r="K26" s="62">
        <f>=O26*0.85</f>
        <v>66045</v>
      </c>
      <c r="L26" s="37" t="s"/>
      <c r="M26" s="41" t="s">
        <v>26</v>
      </c>
      <c r="N26" s="41" t="s">
        <v>27</v>
      </c>
      <c r="O26" s="8">
        <v>77700</v>
      </c>
      <c r="P26" s="42">
        <f>=F26*O26</f>
        <v>155400</v>
      </c>
      <c r="Q26" s="52" t="s">
        <v>28</v>
      </c>
      <c r="R26" s="41" t="s">
        <v>29</v>
      </c>
      <c r="S26" s="42">
        <v>230000</v>
      </c>
      <c r="T26" s="42">
        <f>=S26*F26</f>
        <v>460000</v>
      </c>
      <c r="U26" s="41" t="s"/>
      <c r="V26" s="41" t="s"/>
      <c r="W26" s="9" t="s"/>
      <c r="X26" s="9" t="s"/>
      <c r="Y26" s="41" t="s"/>
      <c r="Z26" s="41" t="s"/>
      <c r="AA26" s="42" t="s"/>
      <c r="AB26" s="42" t="s"/>
    </row>
    <row r="27" spans="1:28" ht="42" customHeight="true">
      <c r="A27" s="16" t="s"/>
      <c r="B27" s="47" t="s">
        <v>37</v>
      </c>
      <c r="C27" s="53" t="s"/>
      <c r="D27" s="46" t="s">
        <v>38</v>
      </c>
      <c r="E27" s="47" t="s">
        <v>36</v>
      </c>
      <c r="F27" s="48">
        <v>4</v>
      </c>
      <c r="G27" s="57" t="s"/>
      <c r="H27" s="58" t="s"/>
      <c r="I27" s="59" t="s"/>
      <c r="J27" s="37" t="s"/>
      <c r="K27" s="62">
        <f>=O27*0.85</f>
        <v>5780</v>
      </c>
      <c r="L27" s="37" t="s"/>
      <c r="M27" s="41" t="s">
        <v>26</v>
      </c>
      <c r="N27" s="41" t="s">
        <v>27</v>
      </c>
      <c r="O27" s="33">
        <v>6800</v>
      </c>
      <c r="P27" s="42">
        <f>=F27*O27</f>
        <v>27200</v>
      </c>
      <c r="Q27" s="52" t="s">
        <v>28</v>
      </c>
      <c r="R27" s="41" t="s">
        <v>29</v>
      </c>
      <c r="S27" s="41">
        <v>5000</v>
      </c>
      <c r="T27" s="42">
        <f>=S27*F27</f>
        <v>20000</v>
      </c>
      <c r="U27" s="41" t="s"/>
      <c r="V27" s="41" t="s"/>
      <c r="W27" s="9" t="s"/>
      <c r="X27" s="9" t="s"/>
      <c r="Y27" s="41" t="s"/>
      <c r="Z27" s="41" t="s"/>
      <c r="AA27" s="42" t="s"/>
      <c r="AB27" s="42" t="s"/>
    </row>
    <row r="28" spans="1:28" ht="42" customHeight="true">
      <c r="A28" s="16" t="s"/>
      <c r="B28" s="47" t="s">
        <v>39</v>
      </c>
      <c r="C28" s="53" t="s"/>
      <c r="D28" s="46" t="s">
        <v>40</v>
      </c>
      <c r="E28" s="47" t="s">
        <v>36</v>
      </c>
      <c r="F28" s="48">
        <v>4</v>
      </c>
      <c r="G28" s="57" t="s"/>
      <c r="H28" s="58" t="s"/>
      <c r="I28" s="16" t="s"/>
      <c r="J28" s="80" t="s"/>
      <c r="K28" s="62">
        <f>=O28*0.85</f>
        <v>255</v>
      </c>
      <c r="L28" s="80" t="s"/>
      <c r="M28" s="41" t="s">
        <v>26</v>
      </c>
      <c r="N28" s="41" t="s">
        <v>27</v>
      </c>
      <c r="O28" s="8">
        <v>300</v>
      </c>
      <c r="P28" s="42">
        <f>=F28*O28</f>
        <v>1200</v>
      </c>
      <c r="Q28" s="52" t="s">
        <v>28</v>
      </c>
      <c r="R28" s="41" t="s">
        <v>29</v>
      </c>
      <c r="S28" s="16">
        <v>2000</v>
      </c>
      <c r="T28" s="42">
        <f>=S28*F28</f>
        <v>8000</v>
      </c>
      <c r="U28" s="41" t="s"/>
      <c r="V28" s="41" t="s"/>
      <c r="W28" s="9" t="s"/>
      <c r="X28" s="9" t="s"/>
      <c r="Y28" s="41" t="s"/>
      <c r="Z28" s="41" t="s"/>
      <c r="AA28" s="42" t="s"/>
      <c r="AB28" s="42" t="s"/>
    </row>
    <row r="29" spans="1:28" ht="42" customHeight="true">
      <c r="A29" s="16" t="s"/>
      <c r="B29" s="47" t="s">
        <v>41</v>
      </c>
      <c r="C29" s="53" t="s"/>
      <c r="D29" s="46" t="s">
        <v>54</v>
      </c>
      <c r="E29" s="47" t="s">
        <v>36</v>
      </c>
      <c r="F29" s="48">
        <v>4</v>
      </c>
      <c r="G29" s="57" t="s"/>
      <c r="H29" s="58" t="s"/>
      <c r="I29" s="59" t="s"/>
      <c r="J29" s="37" t="s"/>
      <c r="K29" s="62">
        <f>=O29*0.85</f>
        <v>510</v>
      </c>
      <c r="L29" s="37" t="s"/>
      <c r="M29" s="41" t="s">
        <v>26</v>
      </c>
      <c r="N29" s="41" t="s">
        <v>27</v>
      </c>
      <c r="O29" s="8">
        <v>600</v>
      </c>
      <c r="P29" s="42">
        <f>=F29*O29</f>
        <v>2400</v>
      </c>
      <c r="Q29" s="52" t="s">
        <v>28</v>
      </c>
      <c r="R29" s="41" t="s">
        <v>29</v>
      </c>
      <c r="S29" s="16">
        <v>300</v>
      </c>
      <c r="T29" s="42">
        <f>=S29*F29</f>
        <v>1200</v>
      </c>
      <c r="U29" s="41" t="s"/>
      <c r="V29" s="41" t="s"/>
      <c r="W29" s="9" t="s"/>
      <c r="X29" s="9" t="s"/>
      <c r="Y29" s="41" t="s"/>
      <c r="Z29" s="41" t="s"/>
      <c r="AA29" s="42" t="s"/>
      <c r="AB29" s="42" t="s"/>
    </row>
    <row r="30" spans="1:28" ht="31.5" customHeight="true">
      <c r="A30" s="16" t="s"/>
      <c r="B30" s="47" t="s">
        <v>42</v>
      </c>
      <c r="C30" s="53" t="s"/>
      <c r="D30" s="46" t="s">
        <v>55</v>
      </c>
      <c r="E30" s="47" t="s">
        <v>36</v>
      </c>
      <c r="F30" s="48">
        <v>2</v>
      </c>
      <c r="G30" s="57" t="s"/>
      <c r="H30" s="58" t="s"/>
      <c r="I30" s="59" t="s"/>
      <c r="J30" s="37" t="s"/>
      <c r="K30" s="62">
        <f>=O30*0.85</f>
        <v>9775</v>
      </c>
      <c r="L30" s="37" t="s"/>
      <c r="M30" s="41" t="s">
        <v>26</v>
      </c>
      <c r="N30" s="41" t="s">
        <v>27</v>
      </c>
      <c r="O30" s="33">
        <v>11500</v>
      </c>
      <c r="P30" s="42">
        <f>=F30*O30</f>
        <v>23000</v>
      </c>
      <c r="Q30" s="41" t="s"/>
      <c r="R30" s="41" t="s"/>
      <c r="S30" s="41" t="s"/>
      <c r="T30" s="41" t="s"/>
      <c r="U30" s="41" t="s"/>
      <c r="V30" s="41" t="s"/>
      <c r="W30" s="9" t="s"/>
      <c r="X30" s="9" t="s"/>
      <c r="Y30" s="41" t="s"/>
      <c r="Z30" s="41" t="s"/>
      <c r="AA30" s="42" t="s"/>
      <c r="AB30" s="42" t="s"/>
    </row>
    <row r="31" spans="1:28" ht="31.5" customHeight="true">
      <c r="A31" s="16" t="s"/>
      <c r="B31" s="47" t="s">
        <v>43</v>
      </c>
      <c r="C31" s="81" t="s"/>
      <c r="D31" s="46" t="s">
        <v>44</v>
      </c>
      <c r="E31" s="47" t="s">
        <v>45</v>
      </c>
      <c r="F31" s="48">
        <v>8</v>
      </c>
      <c r="G31" s="57" t="s"/>
      <c r="H31" s="58" t="s"/>
      <c r="I31" s="82" t="s"/>
      <c r="J31" s="83" t="s"/>
      <c r="K31" s="84">
        <f>=O31*0.85</f>
        <v>6885</v>
      </c>
      <c r="L31" s="83" t="s"/>
      <c r="M31" s="41" t="s">
        <v>26</v>
      </c>
      <c r="N31" s="41" t="s">
        <v>27</v>
      </c>
      <c r="O31" s="85">
        <v>8100</v>
      </c>
      <c r="P31" s="42">
        <f>=F31*O31</f>
        <v>64800</v>
      </c>
      <c r="Q31" s="41" t="s"/>
      <c r="R31" s="41" t="s"/>
      <c r="S31" s="16" t="s"/>
      <c r="T31" s="16" t="s"/>
      <c r="U31" s="41" t="s"/>
      <c r="V31" s="41" t="s"/>
      <c r="W31" s="9" t="s"/>
      <c r="X31" s="9" t="s"/>
      <c r="Y31" s="41" t="s"/>
      <c r="Z31" s="41" t="s"/>
      <c r="AA31" s="42" t="s"/>
      <c r="AB31" s="42" t="s"/>
    </row>
    <row r="32" spans="1:28" ht="31.5" customHeight="true">
      <c r="A32" s="16" t="s"/>
      <c r="B32" s="47" t="s">
        <v>46</v>
      </c>
      <c r="C32" s="33" t="s"/>
      <c r="D32" s="46" t="s">
        <v>56</v>
      </c>
      <c r="E32" s="47" t="s">
        <v>45</v>
      </c>
      <c r="F32" s="48">
        <v>4</v>
      </c>
      <c r="G32" s="57" t="s"/>
      <c r="H32" s="58" t="s"/>
      <c r="I32" s="59" t="s"/>
      <c r="J32" s="37" t="s"/>
      <c r="K32" s="62">
        <f>=O32*0.85</f>
        <v>170</v>
      </c>
      <c r="L32" s="37" t="s"/>
      <c r="M32" s="41" t="s">
        <v>26</v>
      </c>
      <c r="N32" s="41" t="s">
        <v>27</v>
      </c>
      <c r="O32" s="86">
        <v>200</v>
      </c>
      <c r="P32" s="42">
        <f>=F32*O32</f>
        <v>800</v>
      </c>
      <c r="Q32" s="41" t="s"/>
      <c r="R32" s="41" t="s"/>
      <c r="S32" s="16" t="s"/>
      <c r="T32" s="16" t="s"/>
      <c r="U32" s="41" t="s"/>
      <c r="V32" s="41" t="s"/>
      <c r="W32" s="9" t="s"/>
      <c r="X32" s="9" t="s"/>
      <c r="Y32" s="41" t="s"/>
      <c r="Z32" s="41" t="s"/>
      <c r="AA32" s="42" t="s"/>
      <c r="AB32" s="42" t="s"/>
    </row>
    <row r="33" spans="1:28" ht="38.25" customHeight="true">
      <c r="A33" s="16" t="s"/>
      <c r="B33" s="47" t="s">
        <v>47</v>
      </c>
      <c r="C33" s="33" t="s"/>
      <c r="D33" s="46" t="s">
        <v>57</v>
      </c>
      <c r="E33" s="47" t="s">
        <v>45</v>
      </c>
      <c r="F33" s="48">
        <v>2</v>
      </c>
      <c r="G33" s="61" t="s"/>
      <c r="H33" s="87" t="s"/>
      <c r="I33" s="59" t="s"/>
      <c r="J33" s="37" t="s"/>
      <c r="K33" s="62">
        <f>=O33*0.85</f>
        <v>7905</v>
      </c>
      <c r="L33" s="37" t="s"/>
      <c r="M33" s="41" t="s">
        <v>26</v>
      </c>
      <c r="N33" s="41" t="s">
        <v>27</v>
      </c>
      <c r="O33" s="86">
        <v>9300</v>
      </c>
      <c r="P33" s="42">
        <f>=F33*O33</f>
        <v>18600</v>
      </c>
      <c r="Q33" s="41" t="s"/>
      <c r="R33" s="41" t="s"/>
      <c r="S33" s="16" t="s"/>
      <c r="T33" s="16" t="s"/>
      <c r="U33" s="41" t="s"/>
      <c r="V33" s="41" t="s"/>
      <c r="W33" s="9" t="s"/>
      <c r="X33" s="9" t="s"/>
      <c r="Y33" s="41" t="s"/>
      <c r="Z33" s="41" t="s"/>
      <c r="AA33" s="42" t="s"/>
      <c r="AB33" s="42" t="s"/>
    </row>
    <row r="34" spans="1:28" customHeight="false">
      <c r="A34" s="16" t="s"/>
      <c r="B34" s="88" t="s">
        <v>58</v>
      </c>
      <c r="C34" s="76" t="s"/>
      <c r="D34" s="89" t="s"/>
      <c r="E34" s="90" t="s"/>
      <c r="F34" s="90" t="s"/>
      <c r="G34" s="16" t="s"/>
      <c r="H34" s="91" t="s"/>
      <c r="I34" s="59" t="s"/>
      <c r="J34" s="37" t="s"/>
      <c r="K34" s="37" t="s"/>
      <c r="L34" s="37" t="s"/>
      <c r="M34" s="41" t="s"/>
      <c r="N34" s="41" t="s"/>
      <c r="O34" s="86" t="s"/>
      <c r="P34" s="42" t="s"/>
      <c r="Q34" s="41" t="s"/>
      <c r="R34" s="41" t="s"/>
      <c r="S34" s="16" t="s"/>
      <c r="T34" s="16" t="s"/>
      <c r="U34" s="41" t="s"/>
      <c r="V34" s="41" t="s"/>
      <c r="W34" s="9" t="s"/>
      <c r="X34" s="9" t="s"/>
      <c r="Y34" s="41" t="s"/>
      <c r="Z34" s="41" t="s"/>
      <c r="AA34" s="42" t="s"/>
      <c r="AB34" s="42" t="s"/>
    </row>
    <row r="35" spans="1:28" customHeight="false">
      <c r="A35" s="16" t="s"/>
      <c r="B35" s="92" t="s">
        <v>59</v>
      </c>
      <c r="C35" s="33" t="s"/>
      <c r="D35" s="93" t="s">
        <v>60</v>
      </c>
      <c r="E35" s="71" t="s">
        <v>36</v>
      </c>
      <c r="F35" s="71">
        <v>1</v>
      </c>
      <c r="G35" s="16" t="s"/>
      <c r="H35" s="91" t="s"/>
      <c r="I35" s="16" t="s"/>
      <c r="J35" s="80" t="s"/>
      <c r="K35" s="80">
        <f>=O35*0.9</f>
        <v>2778840</v>
      </c>
      <c r="L35" s="80" t="s"/>
      <c r="M35" s="41" t="s">
        <v>26</v>
      </c>
      <c r="N35" s="41" t="s">
        <v>27</v>
      </c>
      <c r="O35" s="94">
        <v>3087600</v>
      </c>
      <c r="P35" s="42">
        <f>=F35*O35</f>
        <v>3087600</v>
      </c>
      <c r="Q35" s="52" t="s">
        <v>28</v>
      </c>
      <c r="R35" s="41" t="s">
        <v>29</v>
      </c>
      <c r="S35" s="16">
        <v>3200000</v>
      </c>
      <c r="T35" s="16">
        <f>=S35*F35</f>
        <v>3200000</v>
      </c>
      <c r="U35" s="41" t="s"/>
      <c r="V35" s="41" t="s"/>
      <c r="W35" s="9" t="s"/>
      <c r="X35" s="9" t="s"/>
      <c r="Y35" s="41" t="s"/>
      <c r="Z35" s="41" t="s"/>
      <c r="AA35" s="42" t="s"/>
      <c r="AB35" s="42" t="s"/>
    </row>
    <row r="36" spans="1:28" customHeight="false">
      <c r="A36" s="16" t="s"/>
      <c r="B36" s="92" t="s">
        <v>61</v>
      </c>
      <c r="C36" s="33" t="s"/>
      <c r="D36" s="93" t="s">
        <v>62</v>
      </c>
      <c r="E36" s="71" t="s">
        <v>36</v>
      </c>
      <c r="F36" s="71">
        <v>1</v>
      </c>
      <c r="G36" s="16" t="s"/>
      <c r="H36" s="91" t="s"/>
      <c r="I36" s="16" t="s"/>
      <c r="J36" s="80" t="s"/>
      <c r="K36" s="80">
        <f>=O36*0.9</f>
        <v>855360</v>
      </c>
      <c r="L36" s="80" t="s"/>
      <c r="M36" s="41" t="s">
        <v>26</v>
      </c>
      <c r="N36" s="41" t="s">
        <v>27</v>
      </c>
      <c r="O36" s="94">
        <v>950400</v>
      </c>
      <c r="P36" s="42">
        <f>=F36*O36</f>
        <v>950400</v>
      </c>
      <c r="Q36" s="52" t="s">
        <v>28</v>
      </c>
      <c r="R36" s="41" t="s">
        <v>29</v>
      </c>
      <c r="S36" s="16">
        <v>900000</v>
      </c>
      <c r="T36" s="16">
        <f>=S36*F36</f>
        <v>900000</v>
      </c>
      <c r="U36" s="41" t="s"/>
      <c r="V36" s="41" t="s"/>
      <c r="W36" s="9" t="s"/>
      <c r="X36" s="9" t="s"/>
      <c r="Y36" s="41" t="s"/>
      <c r="Z36" s="41" t="s"/>
      <c r="AA36" s="42" t="s"/>
      <c r="AB36" s="42" t="s"/>
    </row>
    <row r="37" spans="1:28" customHeight="false">
      <c r="A37" s="16" t="s"/>
      <c r="B37" s="92" t="s">
        <v>31</v>
      </c>
      <c r="C37" s="33" t="s">
        <v>63</v>
      </c>
      <c r="D37" s="70" t="s">
        <v>64</v>
      </c>
      <c r="E37" s="71" t="s">
        <v>32</v>
      </c>
      <c r="F37" s="71">
        <v>2</v>
      </c>
      <c r="G37" s="16">
        <v>17220</v>
      </c>
      <c r="H37" s="91" t="s"/>
      <c r="I37" s="16" t="s"/>
      <c r="J37" s="80" t="s"/>
      <c r="K37" s="80">
        <f>=O37*0.9</f>
        <v>62640</v>
      </c>
      <c r="L37" s="80" t="s"/>
      <c r="M37" s="41" t="s">
        <v>26</v>
      </c>
      <c r="N37" s="41" t="s">
        <v>27</v>
      </c>
      <c r="O37" s="94">
        <v>69600</v>
      </c>
      <c r="P37" s="42">
        <f>=F37*O37</f>
        <v>139200</v>
      </c>
      <c r="Q37" s="52" t="s">
        <v>28</v>
      </c>
      <c r="R37" s="41" t="s">
        <v>29</v>
      </c>
      <c r="S37" s="16">
        <v>123500</v>
      </c>
      <c r="T37" s="16">
        <f>=S37*F37</f>
        <v>247000</v>
      </c>
      <c r="U37" s="41" t="s"/>
      <c r="V37" s="41" t="s"/>
      <c r="W37" s="9" t="s"/>
      <c r="X37" s="9" t="s"/>
      <c r="Y37" s="41" t="s"/>
      <c r="Z37" s="41" t="s"/>
      <c r="AA37" s="42" t="s"/>
      <c r="AB37" s="42" t="s"/>
    </row>
    <row r="38" spans="1:28" customHeight="false">
      <c r="A38" s="16" t="s"/>
      <c r="B38" s="92" t="s">
        <v>65</v>
      </c>
      <c r="C38" s="33" t="s"/>
      <c r="D38" s="46" t="s">
        <v>66</v>
      </c>
      <c r="E38" s="71" t="s">
        <v>32</v>
      </c>
      <c r="F38" s="71">
        <v>2</v>
      </c>
      <c r="G38" s="16" t="s"/>
      <c r="H38" s="91" t="s"/>
      <c r="I38" s="16" t="s"/>
      <c r="J38" s="80" t="s"/>
      <c r="K38" s="80">
        <f>=O38*0.9</f>
        <v>5220</v>
      </c>
      <c r="L38" s="80" t="s"/>
      <c r="M38" s="41" t="s">
        <v>26</v>
      </c>
      <c r="N38" s="41" t="s">
        <v>27</v>
      </c>
      <c r="O38" s="94">
        <v>5800</v>
      </c>
      <c r="P38" s="42">
        <f>=F38*O38</f>
        <v>11600</v>
      </c>
      <c r="Q38" s="52" t="s">
        <v>28</v>
      </c>
      <c r="R38" s="41" t="s">
        <v>29</v>
      </c>
      <c r="S38" s="16">
        <v>9500</v>
      </c>
      <c r="T38" s="16">
        <f>=S38*F38</f>
        <v>19000</v>
      </c>
      <c r="U38" s="41" t="s"/>
      <c r="V38" s="41" t="s"/>
      <c r="W38" s="9" t="s"/>
      <c r="X38" s="9" t="s"/>
      <c r="Y38" s="41" t="s"/>
      <c r="Z38" s="41" t="s"/>
      <c r="AA38" s="42" t="s"/>
      <c r="AB38" s="42" t="s"/>
    </row>
    <row r="39" spans="1:28" customHeight="false">
      <c r="A39" s="16" t="s"/>
      <c r="B39" s="92" t="s">
        <v>67</v>
      </c>
      <c r="C39" s="33" t="s"/>
      <c r="D39" s="46" t="s">
        <v>68</v>
      </c>
      <c r="E39" s="71" t="s">
        <v>32</v>
      </c>
      <c r="F39" s="71">
        <v>2</v>
      </c>
      <c r="G39" s="16" t="s"/>
      <c r="H39" s="91" t="s"/>
      <c r="I39" s="16" t="s"/>
      <c r="J39" s="80" t="s"/>
      <c r="K39" s="80">
        <f>=O39*0.9</f>
        <v>7740</v>
      </c>
      <c r="L39" s="80" t="s"/>
      <c r="M39" s="41" t="s">
        <v>26</v>
      </c>
      <c r="N39" s="41" t="s">
        <v>27</v>
      </c>
      <c r="O39" s="94">
        <v>8600</v>
      </c>
      <c r="P39" s="42">
        <f>=F39*O39</f>
        <v>17200</v>
      </c>
      <c r="Q39" s="52" t="s">
        <v>28</v>
      </c>
      <c r="R39" s="41" t="s">
        <v>29</v>
      </c>
      <c r="S39" s="16">
        <v>7500</v>
      </c>
      <c r="T39" s="16">
        <f>=S39*F39</f>
        <v>15000</v>
      </c>
      <c r="U39" s="41" t="s"/>
      <c r="V39" s="41" t="s"/>
      <c r="W39" s="9" t="s"/>
      <c r="X39" s="9" t="s"/>
      <c r="Y39" s="41" t="s"/>
      <c r="Z39" s="41" t="s"/>
      <c r="AA39" s="42" t="s"/>
      <c r="AB39" s="42" t="s"/>
    </row>
    <row r="40" spans="1:28" customHeight="false">
      <c r="A40" s="16" t="s"/>
      <c r="B40" s="92" t="s">
        <v>34</v>
      </c>
      <c r="C40" s="39" t="s"/>
      <c r="D40" s="46" t="s">
        <v>66</v>
      </c>
      <c r="E40" s="71" t="s">
        <v>32</v>
      </c>
      <c r="F40" s="71">
        <v>2</v>
      </c>
      <c r="G40" s="49" t="s"/>
      <c r="H40" s="95" t="s"/>
      <c r="I40" s="49" t="s"/>
      <c r="J40" s="96" t="s"/>
      <c r="K40" s="80">
        <f>=O40*0.9</f>
        <v>5220</v>
      </c>
      <c r="L40" s="96" t="s"/>
      <c r="M40" s="41" t="s">
        <v>26</v>
      </c>
      <c r="N40" s="41" t="s">
        <v>27</v>
      </c>
      <c r="O40" s="97">
        <v>5800</v>
      </c>
      <c r="P40" s="42">
        <f>=F40*O40</f>
        <v>11600</v>
      </c>
      <c r="Q40" s="52" t="s">
        <v>28</v>
      </c>
      <c r="R40" s="41" t="s">
        <v>29</v>
      </c>
      <c r="S40" s="49">
        <v>5500</v>
      </c>
      <c r="T40" s="16">
        <f>=S40*F40</f>
        <v>11000</v>
      </c>
      <c r="U40" s="38" t="s"/>
      <c r="V40" s="38" t="s"/>
      <c r="W40" s="10" t="s"/>
      <c r="X40" s="10" t="s"/>
      <c r="Y40" s="38" t="s"/>
      <c r="Z40" s="38" t="s"/>
      <c r="AA40" s="40" t="s"/>
      <c r="AB40" s="40" t="s"/>
    </row>
    <row r="41" spans="1:28" customHeight="false">
      <c r="A41" s="16" t="s"/>
      <c r="B41" s="92" t="s">
        <v>37</v>
      </c>
      <c r="C41" s="33" t="s"/>
      <c r="D41" s="46" t="s">
        <v>69</v>
      </c>
      <c r="E41" s="71" t="s">
        <v>32</v>
      </c>
      <c r="F41" s="71">
        <v>1</v>
      </c>
      <c r="G41" s="16" t="s"/>
      <c r="H41" s="35" t="s"/>
      <c r="I41" s="16" t="s"/>
      <c r="J41" s="80" t="s"/>
      <c r="K41" s="80">
        <f>=O41*0.9</f>
        <v>10800</v>
      </c>
      <c r="L41" s="80" t="s"/>
      <c r="M41" s="41" t="s">
        <v>26</v>
      </c>
      <c r="N41" s="41" t="s">
        <v>27</v>
      </c>
      <c r="O41" s="98">
        <v>12000</v>
      </c>
      <c r="P41" s="42">
        <f>=F41*O41</f>
        <v>12000</v>
      </c>
      <c r="Q41" s="52" t="s">
        <v>28</v>
      </c>
      <c r="R41" s="41" t="s">
        <v>29</v>
      </c>
      <c r="S41" s="16">
        <v>6500</v>
      </c>
      <c r="T41" s="16">
        <f>=S41*F41</f>
        <v>6500</v>
      </c>
      <c r="U41" s="41" t="s"/>
      <c r="V41" s="41" t="s"/>
      <c r="W41" s="9" t="s"/>
      <c r="X41" s="9" t="s"/>
      <c r="Y41" s="41" t="s"/>
      <c r="Z41" s="41" t="s"/>
      <c r="AA41" s="42" t="s"/>
      <c r="AB41" s="42" t="s"/>
    </row>
    <row r="42" spans="1:28" customHeight="false">
      <c r="A42" s="16" t="s"/>
      <c r="B42" s="92" t="s">
        <v>70</v>
      </c>
      <c r="C42" s="33" t="s"/>
      <c r="D42" s="46" t="s">
        <v>71</v>
      </c>
      <c r="E42" s="71" t="s">
        <v>32</v>
      </c>
      <c r="F42" s="71">
        <v>1</v>
      </c>
      <c r="G42" s="16" t="s"/>
      <c r="H42" s="35" t="s"/>
      <c r="I42" s="42" t="s"/>
      <c r="J42" s="80" t="s"/>
      <c r="K42" s="80">
        <f>=O42*0.9</f>
        <v>16200</v>
      </c>
      <c r="L42" s="80" t="s"/>
      <c r="M42" s="41" t="s">
        <v>26</v>
      </c>
      <c r="N42" s="41" t="s">
        <v>27</v>
      </c>
      <c r="O42" s="98">
        <v>18000</v>
      </c>
      <c r="P42" s="42">
        <f>=F42*O42</f>
        <v>18000</v>
      </c>
      <c r="Q42" s="52" t="s">
        <v>28</v>
      </c>
      <c r="R42" s="41" t="s">
        <v>29</v>
      </c>
      <c r="S42" s="41">
        <v>12000</v>
      </c>
      <c r="T42" s="16">
        <f>=S42*F42</f>
        <v>12000</v>
      </c>
      <c r="U42" s="41" t="s"/>
      <c r="V42" s="41" t="s"/>
      <c r="W42" s="9" t="s"/>
      <c r="X42" s="9" t="s"/>
      <c r="Y42" s="41" t="s"/>
      <c r="Z42" s="41" t="s"/>
      <c r="AA42" s="42" t="s"/>
      <c r="AB42" s="42" t="s"/>
    </row>
    <row r="43" spans="1:28" customHeight="false">
      <c r="A43" s="16" t="s"/>
      <c r="B43" s="99" t="s">
        <v>72</v>
      </c>
      <c r="C43" s="39" t="s"/>
      <c r="D43" s="46" t="s">
        <v>73</v>
      </c>
      <c r="E43" s="71" t="s">
        <v>32</v>
      </c>
      <c r="F43" s="71">
        <v>1</v>
      </c>
      <c r="G43" s="16" t="s"/>
      <c r="H43" s="35" t="s"/>
      <c r="I43" s="16" t="s"/>
      <c r="J43" s="80" t="s"/>
      <c r="K43" s="80">
        <f>=O43*0.9</f>
        <v>9720</v>
      </c>
      <c r="L43" s="80" t="s"/>
      <c r="M43" s="41" t="s">
        <v>26</v>
      </c>
      <c r="N43" s="41" t="s">
        <v>27</v>
      </c>
      <c r="O43" s="98">
        <v>10800</v>
      </c>
      <c r="P43" s="40">
        <f>=F43*O43</f>
        <v>10800</v>
      </c>
      <c r="Q43" s="100" t="s">
        <v>28</v>
      </c>
      <c r="R43" s="38" t="s">
        <v>29</v>
      </c>
      <c r="S43" s="49">
        <v>3000</v>
      </c>
      <c r="T43" s="49">
        <f>=S43*F43</f>
        <v>3000</v>
      </c>
      <c r="U43" s="41" t="s"/>
      <c r="V43" s="41" t="s"/>
      <c r="W43" s="9" t="s"/>
      <c r="X43" s="9" t="s"/>
      <c r="Y43" s="41" t="s"/>
      <c r="Z43" s="41" t="s"/>
      <c r="AA43" s="42" t="s"/>
      <c r="AB43" s="42" t="s"/>
    </row>
    <row r="44" spans="1:28" customHeight="false">
      <c r="A44" s="43" t="s"/>
      <c r="B44" s="92" t="s">
        <v>74</v>
      </c>
      <c r="C44" s="33" t="s"/>
      <c r="D44" s="101" t="s">
        <v>75</v>
      </c>
      <c r="E44" s="71" t="s">
        <v>36</v>
      </c>
      <c r="F44" s="71">
        <v>1</v>
      </c>
      <c r="G44" s="16" t="s"/>
      <c r="H44" s="35" t="s"/>
      <c r="I44" s="16" t="s"/>
      <c r="J44" s="80" t="s"/>
      <c r="K44" s="80">
        <f>=O44*0.9</f>
        <v>92070</v>
      </c>
      <c r="L44" s="80" t="s"/>
      <c r="M44" s="41" t="s">
        <v>26</v>
      </c>
      <c r="N44" s="41" t="s">
        <v>27</v>
      </c>
      <c r="O44" s="94">
        <v>102300</v>
      </c>
      <c r="P44" s="42">
        <f>=F44*O44</f>
        <v>102300</v>
      </c>
      <c r="Q44" s="41" t="s">
        <v>28</v>
      </c>
      <c r="R44" s="41" t="s">
        <v>29</v>
      </c>
      <c r="S44" s="16">
        <v>300000</v>
      </c>
      <c r="T44" s="16">
        <f>=S44*F44</f>
        <v>300000</v>
      </c>
      <c r="U44" s="52" t="s"/>
      <c r="V44" s="41" t="s"/>
      <c r="W44" s="9" t="s"/>
      <c r="X44" s="9" t="s"/>
      <c r="Y44" s="41" t="s"/>
      <c r="Z44" s="41" t="s"/>
      <c r="AA44" s="42" t="s"/>
      <c r="AB44" s="42" t="s"/>
    </row>
    <row r="45" spans="1:28" customHeight="false">
      <c r="A45" s="43" t="s"/>
      <c r="B45" s="102" t="s">
        <v>76</v>
      </c>
      <c r="C45" s="76" t="s"/>
      <c r="D45" s="101" t="s"/>
      <c r="E45" s="47" t="s"/>
      <c r="F45" s="48" t="s"/>
      <c r="G45" s="16" t="s"/>
      <c r="H45" s="35" t="s"/>
      <c r="I45" s="42" t="s"/>
      <c r="J45" s="80" t="s"/>
      <c r="K45" s="80" t="s"/>
      <c r="L45" s="80" t="s"/>
      <c r="M45" s="41" t="s"/>
      <c r="N45" s="41" t="s"/>
      <c r="O45" s="86" t="s"/>
      <c r="P45" s="42" t="s"/>
      <c r="Q45" s="41" t="s"/>
      <c r="R45" s="41" t="s"/>
      <c r="S45" s="41" t="s"/>
      <c r="T45" s="41" t="s"/>
      <c r="U45" s="103" t="s"/>
      <c r="V45" s="41" t="s"/>
      <c r="W45" s="9" t="s"/>
      <c r="X45" s="9" t="s"/>
      <c r="Y45" s="41" t="s"/>
      <c r="Z45" s="41" t="s"/>
      <c r="AA45" s="42" t="s"/>
      <c r="AB45" s="42" t="s"/>
    </row>
    <row r="46" spans="1:28" customHeight="false">
      <c r="A46" s="43" t="s"/>
      <c r="B46" s="104" t="s">
        <v>77</v>
      </c>
      <c r="C46" s="105" t="s"/>
      <c r="D46" s="101" t="s">
        <v>78</v>
      </c>
      <c r="E46" s="71" t="s">
        <v>36</v>
      </c>
      <c r="F46" s="71">
        <v>1</v>
      </c>
      <c r="G46" s="16" t="s"/>
      <c r="H46" s="35" t="s"/>
      <c r="I46" s="42" t="s"/>
      <c r="J46" s="80" t="s"/>
      <c r="K46" s="80">
        <f>=O46*0.8</f>
        <v>392000</v>
      </c>
      <c r="L46" s="80" t="s"/>
      <c r="M46" s="41" t="s">
        <v>26</v>
      </c>
      <c r="N46" s="41" t="s">
        <v>27</v>
      </c>
      <c r="O46" s="86">
        <v>490000</v>
      </c>
      <c r="P46" s="42">
        <f>=O46*F46</f>
        <v>490000</v>
      </c>
      <c r="Q46" s="41" t="s"/>
      <c r="R46" s="41" t="s"/>
      <c r="S46" s="41" t="s"/>
      <c r="T46" s="41" t="s"/>
      <c r="U46" s="103" t="s"/>
      <c r="V46" s="41" t="s"/>
      <c r="W46" s="9" t="s"/>
      <c r="X46" s="9" t="s"/>
      <c r="Y46" s="41" t="s"/>
      <c r="Z46" s="41" t="s"/>
      <c r="AA46" s="42" t="s"/>
      <c r="AB46" s="42" t="s"/>
    </row>
    <row r="47" spans="1:28" customHeight="false">
      <c r="A47" s="43" t="s"/>
      <c r="B47" s="104" t="s">
        <v>77</v>
      </c>
      <c r="C47" s="105" t="s"/>
      <c r="D47" s="101" t="s">
        <v>79</v>
      </c>
      <c r="E47" s="71" t="s">
        <v>36</v>
      </c>
      <c r="F47" s="71">
        <v>1</v>
      </c>
      <c r="G47" s="16" t="s"/>
      <c r="H47" s="35" t="s"/>
      <c r="I47" s="42" t="s"/>
      <c r="J47" s="80" t="s"/>
      <c r="K47" s="80">
        <f>=O47*0.8</f>
        <v>464000</v>
      </c>
      <c r="L47" s="80" t="s"/>
      <c r="M47" s="41" t="s">
        <v>26</v>
      </c>
      <c r="N47" s="41" t="s">
        <v>27</v>
      </c>
      <c r="O47" s="86">
        <v>580000</v>
      </c>
      <c r="P47" s="42">
        <f>=O47*F47</f>
        <v>580000</v>
      </c>
      <c r="Q47" s="41" t="s"/>
      <c r="R47" s="41" t="s"/>
      <c r="S47" s="41" t="s"/>
      <c r="T47" s="41" t="s"/>
      <c r="U47" s="103" t="s"/>
      <c r="V47" s="41" t="s"/>
      <c r="W47" s="9" t="s"/>
      <c r="X47" s="9" t="s"/>
      <c r="Y47" s="41" t="s"/>
      <c r="Z47" s="41" t="s"/>
      <c r="AA47" s="42" t="s"/>
      <c r="AB47" s="42" t="s"/>
    </row>
    <row r="48" spans="1:28" customHeight="false">
      <c r="A48" s="43" t="s"/>
      <c r="B48" s="102" t="s">
        <v>80</v>
      </c>
      <c r="C48" s="9" t="s"/>
      <c r="D48" s="101" t="s"/>
      <c r="E48" s="47" t="s"/>
      <c r="F48" s="48" t="s"/>
      <c r="G48" s="16" t="s"/>
      <c r="H48" s="35" t="s"/>
      <c r="I48" s="42" t="s"/>
      <c r="J48" s="80" t="s"/>
      <c r="K48" s="80" t="s"/>
      <c r="L48" s="80" t="s"/>
      <c r="M48" s="41" t="s"/>
      <c r="N48" s="41" t="s"/>
      <c r="O48" s="86" t="s"/>
      <c r="P48" s="42" t="s"/>
      <c r="Q48" s="41" t="s"/>
      <c r="R48" s="41" t="s"/>
      <c r="S48" s="41" t="s"/>
      <c r="T48" s="41" t="s"/>
      <c r="U48" s="52" t="s"/>
      <c r="V48" s="41" t="s"/>
      <c r="W48" s="9" t="s"/>
      <c r="X48" s="9" t="s"/>
      <c r="Y48" s="41" t="s"/>
      <c r="Z48" s="41" t="s"/>
      <c r="AA48" s="42" t="s"/>
      <c r="AB48" s="42" t="s"/>
    </row>
    <row r="49" spans="1:28" ht="31.5" customHeight="true">
      <c r="A49" s="43" t="s"/>
      <c r="B49" s="106" t="s">
        <v>81</v>
      </c>
      <c r="C49" s="33" t="s"/>
      <c r="D49" s="107" t="s">
        <v>82</v>
      </c>
      <c r="E49" s="90" t="s">
        <v>32</v>
      </c>
      <c r="F49" s="90">
        <v>1</v>
      </c>
      <c r="G49" s="16" t="s"/>
      <c r="H49" s="35" t="s"/>
      <c r="I49" s="16" t="s"/>
      <c r="J49" s="108" t="s"/>
      <c r="K49" s="80">
        <f>=O49*0.9</f>
        <v>12839.4</v>
      </c>
      <c r="L49" s="80" t="s"/>
      <c r="M49" s="41" t="s">
        <v>83</v>
      </c>
      <c r="N49" s="41" t="s">
        <v>84</v>
      </c>
      <c r="O49" s="109">
        <v>14266</v>
      </c>
      <c r="P49" s="41">
        <f>=O49*F49</f>
        <v>14266</v>
      </c>
      <c r="Q49" s="110" t="s">
        <v>85</v>
      </c>
      <c r="R49" s="9" t="s"/>
      <c r="S49" s="9" t="s"/>
      <c r="T49" s="9" t="s"/>
      <c r="U49" s="111" t="s">
        <v>86</v>
      </c>
      <c r="V49" s="112" t="s"/>
      <c r="W49" s="5" t="s"/>
      <c r="X49" s="113" t="s"/>
      <c r="Y49" s="41" t="s"/>
      <c r="Z49" s="41" t="s"/>
      <c r="AA49" s="42" t="s"/>
      <c r="AB49" s="42" t="s"/>
    </row>
    <row r="50" spans="1:28" ht="31.5" customHeight="true">
      <c r="A50" s="16" t="s"/>
      <c r="B50" s="114" t="s">
        <v>87</v>
      </c>
      <c r="C50" s="115" t="s"/>
      <c r="D50" s="106" t="s">
        <v>88</v>
      </c>
      <c r="E50" s="90" t="s">
        <v>32</v>
      </c>
      <c r="F50" s="90">
        <v>1</v>
      </c>
      <c r="G50" s="16" t="s"/>
      <c r="H50" s="35" t="s"/>
      <c r="I50" s="42" t="s"/>
      <c r="J50" s="80" t="s"/>
      <c r="K50" s="80">
        <f>=O50*0.9</f>
        <v>9234.9</v>
      </c>
      <c r="L50" s="80" t="s"/>
      <c r="M50" s="41" t="s">
        <v>83</v>
      </c>
      <c r="N50" s="41" t="s">
        <v>84</v>
      </c>
      <c r="O50" s="109">
        <v>10261</v>
      </c>
      <c r="P50" s="41">
        <f>=O50*F50</f>
        <v>10261</v>
      </c>
      <c r="Q50" s="9" t="s"/>
      <c r="R50" s="9" t="s"/>
      <c r="S50" s="9" t="s"/>
      <c r="T50" s="9" t="s"/>
      <c r="U50" s="116" t="s"/>
      <c r="X50" s="117" t="s"/>
      <c r="Y50" s="41" t="s"/>
      <c r="Z50" s="41" t="s"/>
      <c r="AA50" s="42" t="s"/>
      <c r="AB50" s="42" t="s"/>
    </row>
    <row r="51" spans="1:28" ht="31.5" customHeight="true">
      <c r="A51" s="16" t="s"/>
      <c r="B51" s="118" t="s">
        <v>89</v>
      </c>
      <c r="C51" s="33" t="s"/>
      <c r="D51" s="106" t="s">
        <v>90</v>
      </c>
      <c r="E51" s="90" t="s">
        <v>32</v>
      </c>
      <c r="F51" s="90">
        <v>1</v>
      </c>
      <c r="G51" s="16" t="s"/>
      <c r="H51" s="35" t="s"/>
      <c r="I51" s="42" t="s"/>
      <c r="J51" s="80" t="s"/>
      <c r="K51" s="80">
        <f>=O51*0.9</f>
        <v>9234.9</v>
      </c>
      <c r="L51" s="80" t="s"/>
      <c r="M51" s="41" t="s">
        <v>83</v>
      </c>
      <c r="N51" s="41" t="s">
        <v>84</v>
      </c>
      <c r="O51" s="109">
        <v>10261</v>
      </c>
      <c r="P51" s="41">
        <f>=O51*F51</f>
        <v>10261</v>
      </c>
      <c r="Q51" s="9" t="s"/>
      <c r="R51" s="9" t="s"/>
      <c r="S51" s="9" t="s"/>
      <c r="T51" s="9" t="s"/>
      <c r="U51" s="116" t="s"/>
      <c r="X51" s="117" t="s"/>
      <c r="Y51" s="41" t="s"/>
      <c r="Z51" s="41" t="s"/>
      <c r="AA51" s="42" t="s"/>
      <c r="AB51" s="42" t="s"/>
    </row>
    <row r="52" spans="1:28" ht="31.5" customHeight="true">
      <c r="A52" s="16" t="s"/>
      <c r="B52" s="118" t="s">
        <v>91</v>
      </c>
      <c r="C52" s="33" t="s"/>
      <c r="D52" s="106" t="s">
        <v>92</v>
      </c>
      <c r="E52" s="90" t="s">
        <v>32</v>
      </c>
      <c r="F52" s="90">
        <v>1</v>
      </c>
      <c r="G52" s="16" t="s"/>
      <c r="H52" s="35" t="s"/>
      <c r="I52" s="42" t="s"/>
      <c r="J52" s="119" t="s"/>
      <c r="K52" s="80">
        <f>=O52*0.9</f>
        <v>10471.5</v>
      </c>
      <c r="L52" s="119" t="s"/>
      <c r="M52" s="41" t="s">
        <v>83</v>
      </c>
      <c r="N52" s="41" t="s">
        <v>84</v>
      </c>
      <c r="O52" s="59">
        <v>11635</v>
      </c>
      <c r="P52" s="41">
        <f>=O52*F52</f>
        <v>11635</v>
      </c>
      <c r="Q52" s="9" t="s"/>
      <c r="R52" s="9" t="s"/>
      <c r="S52" s="9" t="s"/>
      <c r="T52" s="9" t="s"/>
      <c r="U52" s="116" t="s"/>
      <c r="X52" s="117" t="s"/>
      <c r="Y52" s="42" t="s"/>
      <c r="Z52" s="42" t="s"/>
      <c r="AA52" s="42" t="s"/>
      <c r="AB52" s="42" t="s"/>
    </row>
    <row r="53" spans="1:28" ht="31.5" customHeight="true">
      <c r="A53" s="16" t="s"/>
      <c r="B53" s="118" t="s">
        <v>93</v>
      </c>
      <c r="C53" s="33" t="s"/>
      <c r="D53" s="106" t="s">
        <v>92</v>
      </c>
      <c r="E53" s="90" t="s">
        <v>32</v>
      </c>
      <c r="F53" s="90">
        <v>1</v>
      </c>
      <c r="G53" s="16" t="s"/>
      <c r="H53" s="35" t="s"/>
      <c r="I53" s="9" t="s"/>
      <c r="J53" s="120" t="s"/>
      <c r="K53" s="80">
        <f>=O53*0.9</f>
        <v>10471.5</v>
      </c>
      <c r="L53" s="120" t="s"/>
      <c r="M53" s="41" t="s">
        <v>83</v>
      </c>
      <c r="N53" s="41" t="s">
        <v>84</v>
      </c>
      <c r="O53" s="59">
        <v>11635</v>
      </c>
      <c r="P53" s="41">
        <f>=O53*F53</f>
        <v>11635</v>
      </c>
      <c r="Q53" s="9" t="s"/>
      <c r="R53" s="9" t="s"/>
      <c r="S53" s="9" t="s"/>
      <c r="T53" s="9" t="s"/>
      <c r="U53" s="6" t="s"/>
      <c r="X53" s="117" t="s"/>
      <c r="Y53" s="9" t="s"/>
      <c r="Z53" s="9" t="s"/>
      <c r="AA53" s="9" t="s"/>
      <c r="AB53" s="9" t="s"/>
    </row>
    <row r="54" spans="1:28" ht="31.5" customHeight="true">
      <c r="A54" s="121" t="s"/>
      <c r="B54" s="118" t="s">
        <v>94</v>
      </c>
      <c r="C54" s="122" t="s">
        <v>95</v>
      </c>
      <c r="D54" s="106" t="s">
        <v>96</v>
      </c>
      <c r="E54" s="90" t="s">
        <v>32</v>
      </c>
      <c r="F54" s="90">
        <v>1</v>
      </c>
      <c r="G54" s="123">
        <v>3000</v>
      </c>
      <c r="H54" s="123" t="s"/>
      <c r="I54" s="124" t="s"/>
      <c r="J54" s="125" t="s"/>
      <c r="K54" s="80">
        <f>=O54*0.9</f>
        <v>7420.5</v>
      </c>
      <c r="L54" s="125" t="s"/>
      <c r="M54" s="41" t="s">
        <v>83</v>
      </c>
      <c r="N54" s="41" t="s">
        <v>84</v>
      </c>
      <c r="O54" s="126">
        <v>8245</v>
      </c>
      <c r="P54" s="41">
        <f>=O54*F54</f>
        <v>8245</v>
      </c>
      <c r="Q54" s="9" t="s"/>
      <c r="R54" s="9" t="s"/>
      <c r="S54" s="9" t="s"/>
      <c r="T54" s="9" t="s"/>
      <c r="U54" s="116" t="s"/>
      <c r="X54" s="127" t="s"/>
      <c r="Y54" s="124" t="s"/>
      <c r="Z54" s="124" t="s"/>
      <c r="AA54" s="9" t="s"/>
      <c r="AB54" s="9" t="s"/>
    </row>
    <row r="55" spans="1:28" ht="31.5" customHeight="true">
      <c r="A55" s="121" t="s"/>
      <c r="B55" s="118" t="s">
        <v>97</v>
      </c>
      <c r="C55" s="122" t="s"/>
      <c r="D55" s="106" t="s">
        <v>92</v>
      </c>
      <c r="E55" s="90" t="s">
        <v>32</v>
      </c>
      <c r="F55" s="90">
        <v>1</v>
      </c>
      <c r="G55" s="123" t="s"/>
      <c r="H55" s="123" t="s"/>
      <c r="I55" s="124" t="s"/>
      <c r="J55" s="125" t="s"/>
      <c r="K55" s="80">
        <f>=O55*0.9</f>
        <v>10471.5</v>
      </c>
      <c r="L55" s="125" t="s"/>
      <c r="M55" s="41" t="s">
        <v>83</v>
      </c>
      <c r="N55" s="41" t="s">
        <v>84</v>
      </c>
      <c r="O55" s="126">
        <v>11635</v>
      </c>
      <c r="P55" s="41">
        <f>=O55*F55</f>
        <v>11635</v>
      </c>
      <c r="Q55" s="9" t="s"/>
      <c r="R55" s="9" t="s"/>
      <c r="S55" s="9" t="s"/>
      <c r="T55" s="9" t="s"/>
      <c r="U55" s="116" t="s"/>
      <c r="X55" s="127" t="s"/>
      <c r="Y55" s="124" t="s"/>
      <c r="Z55" s="124" t="s"/>
      <c r="AA55" s="9" t="s"/>
      <c r="AB55" s="9" t="s"/>
    </row>
    <row r="56" spans="1:28" ht="31.5" customHeight="true">
      <c r="A56" s="121" t="s"/>
      <c r="B56" s="118" t="s">
        <v>98</v>
      </c>
      <c r="C56" s="122" t="s"/>
      <c r="D56" s="106" t="s">
        <v>92</v>
      </c>
      <c r="E56" s="90" t="s">
        <v>32</v>
      </c>
      <c r="F56" s="90">
        <v>1</v>
      </c>
      <c r="G56" s="123" t="s"/>
      <c r="H56" s="123" t="s"/>
      <c r="I56" s="124" t="s"/>
      <c r="J56" s="125" t="s"/>
      <c r="K56" s="80">
        <f>=O56*0.9</f>
        <v>10471.5</v>
      </c>
      <c r="L56" s="125" t="s"/>
      <c r="M56" s="41" t="s">
        <v>83</v>
      </c>
      <c r="N56" s="41" t="s">
        <v>84</v>
      </c>
      <c r="O56" s="126">
        <v>11635</v>
      </c>
      <c r="P56" s="41">
        <f>=O56*F56</f>
        <v>11635</v>
      </c>
      <c r="Q56" s="9" t="s"/>
      <c r="R56" s="9" t="s"/>
      <c r="S56" s="9" t="s"/>
      <c r="T56" s="9" t="s"/>
      <c r="U56" s="116" t="s"/>
      <c r="X56" s="127" t="s"/>
      <c r="Y56" s="124" t="s"/>
      <c r="Z56" s="124" t="s"/>
      <c r="AA56" s="9" t="s"/>
      <c r="AB56" s="9" t="s"/>
    </row>
    <row r="57" spans="1:28" ht="31.5" customHeight="true">
      <c r="A57" s="121" t="s"/>
      <c r="B57" s="118" t="s">
        <v>99</v>
      </c>
      <c r="C57" s="122" t="s">
        <v>100</v>
      </c>
      <c r="D57" s="106" t="s">
        <v>101</v>
      </c>
      <c r="E57" s="90" t="s">
        <v>32</v>
      </c>
      <c r="F57" s="90">
        <v>1</v>
      </c>
      <c r="G57" s="123">
        <v>3500</v>
      </c>
      <c r="H57" s="123" t="s"/>
      <c r="I57" s="124" t="s"/>
      <c r="J57" s="125" t="s"/>
      <c r="K57" s="80">
        <f>=O57*0.9</f>
        <v>7420.5</v>
      </c>
      <c r="L57" s="125" t="s"/>
      <c r="M57" s="41" t="s">
        <v>83</v>
      </c>
      <c r="N57" s="41" t="s">
        <v>84</v>
      </c>
      <c r="O57" s="126">
        <v>8245</v>
      </c>
      <c r="P57" s="41">
        <f>=O57*F57</f>
        <v>8245</v>
      </c>
      <c r="Q57" s="9" t="s"/>
      <c r="R57" s="9" t="s"/>
      <c r="S57" s="9" t="s"/>
      <c r="T57" s="9" t="s"/>
      <c r="U57" s="116" t="s"/>
      <c r="X57" s="127" t="s"/>
      <c r="Y57" s="124" t="s"/>
      <c r="Z57" s="124" t="s"/>
      <c r="AA57" s="9" t="s"/>
      <c r="AB57" s="9" t="s"/>
    </row>
    <row r="58" spans="1:28" ht="31.5" customHeight="true">
      <c r="A58" s="121" t="s"/>
      <c r="B58" s="118" t="s">
        <v>102</v>
      </c>
      <c r="C58" s="122" t="s"/>
      <c r="D58" s="106" t="s">
        <v>103</v>
      </c>
      <c r="E58" s="90" t="s">
        <v>32</v>
      </c>
      <c r="F58" s="90">
        <v>1</v>
      </c>
      <c r="G58" s="123" t="s"/>
      <c r="H58" s="123" t="s"/>
      <c r="I58" s="124" t="s"/>
      <c r="J58" s="125" t="s"/>
      <c r="K58" s="80">
        <f>=O58*0.9</f>
        <v>14583.6</v>
      </c>
      <c r="L58" s="125" t="s"/>
      <c r="M58" s="41" t="s">
        <v>83</v>
      </c>
      <c r="N58" s="41" t="s">
        <v>84</v>
      </c>
      <c r="O58" s="126">
        <v>16204</v>
      </c>
      <c r="P58" s="41">
        <f>=O58*F58</f>
        <v>16204</v>
      </c>
      <c r="Q58" s="9" t="s"/>
      <c r="R58" s="9" t="s"/>
      <c r="S58" s="9" t="s"/>
      <c r="T58" s="9" t="s"/>
      <c r="U58" s="116" t="s"/>
      <c r="X58" s="127" t="s"/>
      <c r="Y58" s="124" t="s"/>
      <c r="Z58" s="124" t="s"/>
      <c r="AA58" s="9" t="s"/>
      <c r="AB58" s="9" t="s"/>
    </row>
    <row r="59" spans="1:28" ht="31.5" customHeight="true">
      <c r="A59" s="121" t="s"/>
      <c r="B59" s="118" t="s">
        <v>104</v>
      </c>
      <c r="C59" s="122" t="s"/>
      <c r="D59" s="106" t="s">
        <v>101</v>
      </c>
      <c r="E59" s="90" t="s">
        <v>32</v>
      </c>
      <c r="F59" s="90">
        <v>1</v>
      </c>
      <c r="G59" s="123" t="s"/>
      <c r="H59" s="123" t="s"/>
      <c r="I59" s="124" t="s"/>
      <c r="J59" s="125" t="s"/>
      <c r="K59" s="80">
        <f>=O59*0.9</f>
        <v>7420.5</v>
      </c>
      <c r="L59" s="125" t="s"/>
      <c r="M59" s="41" t="s">
        <v>83</v>
      </c>
      <c r="N59" s="41" t="s">
        <v>84</v>
      </c>
      <c r="O59" s="126">
        <v>8245</v>
      </c>
      <c r="P59" s="41">
        <f>=O59*F59</f>
        <v>8245</v>
      </c>
      <c r="Q59" s="9" t="s"/>
      <c r="R59" s="9" t="s"/>
      <c r="S59" s="9" t="s"/>
      <c r="T59" s="9" t="s"/>
      <c r="U59" s="116" t="s"/>
      <c r="X59" s="127" t="s"/>
      <c r="Y59" s="124" t="s"/>
      <c r="Z59" s="124" t="s"/>
      <c r="AA59" s="9" t="s"/>
      <c r="AB59" s="9" t="s"/>
    </row>
    <row r="60" spans="1:28" ht="31.5" customHeight="true">
      <c r="A60" s="121" t="s"/>
      <c r="B60" s="118" t="s">
        <v>105</v>
      </c>
      <c r="C60" s="122" t="s"/>
      <c r="D60" s="106" t="s">
        <v>106</v>
      </c>
      <c r="E60" s="90" t="s">
        <v>32</v>
      </c>
      <c r="F60" s="90">
        <v>1</v>
      </c>
      <c r="G60" s="123" t="s"/>
      <c r="H60" s="123" t="s"/>
      <c r="I60" s="124" t="s"/>
      <c r="J60" s="125" t="s"/>
      <c r="K60" s="80">
        <f>=O60*0.9</f>
        <v>19067.4</v>
      </c>
      <c r="L60" s="125" t="s"/>
      <c r="M60" s="41" t="s">
        <v>83</v>
      </c>
      <c r="N60" s="41" t="s">
        <v>84</v>
      </c>
      <c r="O60" s="126">
        <v>21186</v>
      </c>
      <c r="P60" s="41">
        <f>=O60*F60</f>
        <v>21186</v>
      </c>
      <c r="Q60" s="9" t="s"/>
      <c r="R60" s="9" t="s"/>
      <c r="S60" s="9" t="s"/>
      <c r="T60" s="9" t="s"/>
      <c r="U60" s="116" t="s"/>
      <c r="X60" s="127" t="s"/>
      <c r="Y60" s="124" t="s"/>
      <c r="Z60" s="124" t="s"/>
      <c r="AA60" s="9" t="s"/>
      <c r="AB60" s="9" t="s"/>
    </row>
    <row r="61" spans="1:28" ht="31.5" customHeight="true">
      <c r="A61" s="121" t="s"/>
      <c r="B61" s="118" t="s">
        <v>107</v>
      </c>
      <c r="C61" s="122" t="s"/>
      <c r="D61" s="106" t="s">
        <v>108</v>
      </c>
      <c r="E61" s="90" t="s">
        <v>32</v>
      </c>
      <c r="F61" s="90">
        <v>1</v>
      </c>
      <c r="G61" s="123" t="s"/>
      <c r="H61" s="123" t="s"/>
      <c r="I61" s="124" t="s"/>
      <c r="J61" s="125" t="s"/>
      <c r="K61" s="80">
        <f>=O61*0.9</f>
        <v>9948.6</v>
      </c>
      <c r="L61" s="125" t="s"/>
      <c r="M61" s="41" t="s">
        <v>83</v>
      </c>
      <c r="N61" s="41" t="s">
        <v>84</v>
      </c>
      <c r="O61" s="126">
        <v>11054</v>
      </c>
      <c r="P61" s="41">
        <f>=O61*F61</f>
        <v>11054</v>
      </c>
      <c r="Q61" s="9" t="s"/>
      <c r="R61" s="9" t="s"/>
      <c r="S61" s="9" t="s"/>
      <c r="T61" s="9" t="s"/>
      <c r="U61" s="116" t="s"/>
      <c r="X61" s="127" t="s"/>
      <c r="Y61" s="124" t="s"/>
      <c r="Z61" s="124" t="s"/>
      <c r="AA61" s="9" t="s"/>
      <c r="AB61" s="9" t="s"/>
    </row>
    <row r="62" spans="1:28" ht="31.5" customHeight="true">
      <c r="A62" s="121" t="s"/>
      <c r="B62" s="118" t="s">
        <v>109</v>
      </c>
      <c r="C62" s="122" t="s"/>
      <c r="D62" s="106" t="s">
        <v>110</v>
      </c>
      <c r="E62" s="90" t="s">
        <v>32</v>
      </c>
      <c r="F62" s="90">
        <v>1</v>
      </c>
      <c r="G62" s="123" t="s"/>
      <c r="H62" s="123" t="s"/>
      <c r="I62" s="124" t="s"/>
      <c r="J62" s="125" t="s"/>
      <c r="K62" s="80">
        <f>=O62*0.9</f>
        <v>24447.6</v>
      </c>
      <c r="L62" s="125" t="s"/>
      <c r="M62" s="41" t="s">
        <v>83</v>
      </c>
      <c r="N62" s="41" t="s">
        <v>84</v>
      </c>
      <c r="O62" s="126">
        <v>27164</v>
      </c>
      <c r="P62" s="41">
        <f>=O62*F62</f>
        <v>27164</v>
      </c>
      <c r="Q62" s="9" t="s"/>
      <c r="R62" s="9" t="s"/>
      <c r="S62" s="9" t="s"/>
      <c r="T62" s="9" t="s"/>
      <c r="U62" s="116" t="s"/>
      <c r="X62" s="127" t="s"/>
      <c r="Y62" s="124" t="s"/>
      <c r="Z62" s="124" t="s"/>
      <c r="AA62" s="9" t="s"/>
      <c r="AB62" s="9" t="s"/>
    </row>
    <row r="63" spans="1:28" ht="31.5" customHeight="true">
      <c r="A63" s="121" t="s"/>
      <c r="B63" s="118" t="s">
        <v>111</v>
      </c>
      <c r="C63" s="122" t="s"/>
      <c r="D63" s="106" t="s">
        <v>112</v>
      </c>
      <c r="E63" s="90" t="s">
        <v>32</v>
      </c>
      <c r="F63" s="90">
        <v>1</v>
      </c>
      <c r="G63" s="123" t="s"/>
      <c r="H63" s="123" t="s"/>
      <c r="I63" s="124" t="s"/>
      <c r="J63" s="125" t="s"/>
      <c r="K63" s="80">
        <f>=O63*0.9</f>
        <v>14583.6</v>
      </c>
      <c r="L63" s="125" t="s"/>
      <c r="M63" s="41" t="s">
        <v>83</v>
      </c>
      <c r="N63" s="41" t="s">
        <v>84</v>
      </c>
      <c r="O63" s="126">
        <v>16204</v>
      </c>
      <c r="P63" s="41">
        <f>=O63*F63</f>
        <v>16204</v>
      </c>
      <c r="Q63" s="9" t="s"/>
      <c r="R63" s="9" t="s"/>
      <c r="S63" s="9" t="s"/>
      <c r="T63" s="9" t="s"/>
      <c r="U63" s="116" t="s"/>
      <c r="X63" s="127" t="s"/>
      <c r="Y63" s="124" t="s"/>
      <c r="Z63" s="124" t="s"/>
      <c r="AA63" s="9" t="s"/>
      <c r="AB63" s="9" t="s"/>
    </row>
    <row r="64" spans="1:28" ht="31.5" customHeight="true">
      <c r="A64" s="121" t="s"/>
      <c r="B64" s="118" t="s">
        <v>113</v>
      </c>
      <c r="C64" s="122" t="s"/>
      <c r="D64" s="106" t="s">
        <v>110</v>
      </c>
      <c r="E64" s="90" t="s">
        <v>32</v>
      </c>
      <c r="F64" s="90">
        <v>1</v>
      </c>
      <c r="G64" s="123" t="s"/>
      <c r="H64" s="123" t="s"/>
      <c r="I64" s="124" t="s"/>
      <c r="J64" s="125" t="s"/>
      <c r="K64" s="80">
        <f>=O64*0.9</f>
        <v>24447.6</v>
      </c>
      <c r="L64" s="125" t="s"/>
      <c r="M64" s="41" t="s">
        <v>83</v>
      </c>
      <c r="N64" s="41" t="s">
        <v>84</v>
      </c>
      <c r="O64" s="126">
        <v>27164</v>
      </c>
      <c r="P64" s="41">
        <f>=O64*F64</f>
        <v>27164</v>
      </c>
      <c r="Q64" s="9" t="s"/>
      <c r="R64" s="9" t="s"/>
      <c r="S64" s="9" t="s"/>
      <c r="T64" s="9" t="s"/>
      <c r="U64" s="116" t="s"/>
      <c r="X64" s="127" t="s"/>
      <c r="Y64" s="124" t="s"/>
      <c r="Z64" s="124" t="s"/>
      <c r="AA64" s="9" t="s"/>
      <c r="AB64" s="9" t="s"/>
    </row>
    <row r="65" spans="1:28" ht="31.5" customHeight="true">
      <c r="A65" s="121" t="s"/>
      <c r="B65" s="118" t="s">
        <v>114</v>
      </c>
      <c r="C65" s="122" t="s"/>
      <c r="D65" s="106" t="s">
        <v>112</v>
      </c>
      <c r="E65" s="90" t="s">
        <v>32</v>
      </c>
      <c r="F65" s="90">
        <v>1</v>
      </c>
      <c r="G65" s="123" t="s"/>
      <c r="H65" s="123" t="s"/>
      <c r="I65" s="124" t="s"/>
      <c r="J65" s="125" t="s"/>
      <c r="K65" s="80">
        <f>=O65*0.9</f>
        <v>14583.6</v>
      </c>
      <c r="L65" s="125" t="s"/>
      <c r="M65" s="41" t="s">
        <v>83</v>
      </c>
      <c r="N65" s="41" t="s">
        <v>84</v>
      </c>
      <c r="O65" s="126">
        <v>16204</v>
      </c>
      <c r="P65" s="41">
        <f>=O65*F65</f>
        <v>16204</v>
      </c>
      <c r="Q65" s="9" t="s"/>
      <c r="R65" s="9" t="s"/>
      <c r="S65" s="9" t="s"/>
      <c r="T65" s="9" t="s"/>
      <c r="U65" s="116" t="s"/>
      <c r="X65" s="127" t="s"/>
      <c r="Y65" s="124" t="s"/>
      <c r="Z65" s="124" t="s"/>
      <c r="AA65" s="9" t="s"/>
      <c r="AB65" s="9" t="s"/>
    </row>
    <row r="66" spans="1:28" ht="31.5" customHeight="true">
      <c r="A66" s="121" t="s"/>
      <c r="B66" s="118" t="s">
        <v>115</v>
      </c>
      <c r="C66" s="122" t="s"/>
      <c r="D66" s="106" t="s">
        <v>116</v>
      </c>
      <c r="E66" s="90" t="s">
        <v>32</v>
      </c>
      <c r="F66" s="90">
        <v>1</v>
      </c>
      <c r="G66" s="123" t="s"/>
      <c r="H66" s="123" t="s"/>
      <c r="I66" s="124" t="s"/>
      <c r="J66" s="125" t="s"/>
      <c r="K66" s="80">
        <f>=O66*0.9</f>
        <v>30415.5</v>
      </c>
      <c r="L66" s="125" t="s"/>
      <c r="M66" s="41" t="s">
        <v>83</v>
      </c>
      <c r="N66" s="41" t="s">
        <v>84</v>
      </c>
      <c r="O66" s="126">
        <v>33795</v>
      </c>
      <c r="P66" s="41">
        <f>=O66*F66</f>
        <v>33795</v>
      </c>
      <c r="Q66" s="9" t="s"/>
      <c r="R66" s="9" t="s"/>
      <c r="S66" s="9" t="s"/>
      <c r="T66" s="9" t="s"/>
      <c r="U66" s="116" t="s"/>
      <c r="X66" s="127" t="s"/>
      <c r="Y66" s="124" t="s"/>
      <c r="Z66" s="124" t="s"/>
      <c r="AA66" s="9" t="s"/>
      <c r="AB66" s="9" t="s"/>
    </row>
    <row r="67" spans="1:28" ht="31.5" customHeight="true">
      <c r="A67" s="121" t="s"/>
      <c r="B67" s="118" t="s">
        <v>117</v>
      </c>
      <c r="C67" s="122" t="s"/>
      <c r="D67" s="106" t="s">
        <v>101</v>
      </c>
      <c r="E67" s="90" t="s">
        <v>32</v>
      </c>
      <c r="F67" s="90">
        <v>1</v>
      </c>
      <c r="G67" s="123" t="s"/>
      <c r="H67" s="123" t="s"/>
      <c r="I67" s="124" t="s"/>
      <c r="J67" s="125" t="s"/>
      <c r="K67" s="80">
        <f>=O67*0.9</f>
        <v>7420.5</v>
      </c>
      <c r="L67" s="125" t="s"/>
      <c r="M67" s="41" t="s">
        <v>83</v>
      </c>
      <c r="N67" s="41" t="s">
        <v>84</v>
      </c>
      <c r="O67" s="126">
        <v>8245</v>
      </c>
      <c r="P67" s="41">
        <f>=O67*F67</f>
        <v>8245</v>
      </c>
      <c r="Q67" s="9" t="s"/>
      <c r="R67" s="9" t="s"/>
      <c r="S67" s="9" t="s"/>
      <c r="T67" s="9" t="s"/>
      <c r="U67" s="116" t="s"/>
      <c r="X67" s="127" t="s"/>
      <c r="Y67" s="124" t="s"/>
      <c r="Z67" s="124" t="s"/>
      <c r="AA67" s="9" t="s"/>
      <c r="AB67" s="9" t="s"/>
    </row>
    <row r="68" spans="1:28" ht="31.5" customHeight="true">
      <c r="A68" s="121" t="s"/>
      <c r="B68" s="118" t="s">
        <v>118</v>
      </c>
      <c r="C68" s="122" t="s"/>
      <c r="D68" s="106" t="s">
        <v>119</v>
      </c>
      <c r="E68" s="90" t="s">
        <v>32</v>
      </c>
      <c r="F68" s="90">
        <v>1</v>
      </c>
      <c r="G68" s="128">
        <v>10500</v>
      </c>
      <c r="H68" s="123" t="s"/>
      <c r="I68" s="124" t="s"/>
      <c r="J68" s="125" t="s"/>
      <c r="K68" s="80">
        <f>=O68*0.9</f>
        <v>11960.1</v>
      </c>
      <c r="L68" s="125" t="s"/>
      <c r="M68" s="41" t="s">
        <v>83</v>
      </c>
      <c r="N68" s="41" t="s">
        <v>84</v>
      </c>
      <c r="O68" s="126">
        <v>13289</v>
      </c>
      <c r="P68" s="41">
        <f>=O68*F68</f>
        <v>13289</v>
      </c>
      <c r="Q68" s="9" t="s"/>
      <c r="R68" s="9" t="s"/>
      <c r="S68" s="9" t="s"/>
      <c r="T68" s="9" t="s"/>
      <c r="U68" s="116" t="s"/>
      <c r="X68" s="127" t="s"/>
      <c r="Y68" s="124" t="s"/>
      <c r="Z68" s="124" t="s"/>
      <c r="AA68" s="9" t="s"/>
      <c r="AB68" s="9" t="s"/>
    </row>
    <row r="69" spans="1:28" ht="31.5" customHeight="true">
      <c r="A69" s="121" t="s"/>
      <c r="B69" s="118" t="s">
        <v>120</v>
      </c>
      <c r="C69" s="122" t="s"/>
      <c r="D69" s="106" t="s">
        <v>121</v>
      </c>
      <c r="E69" s="90" t="s">
        <v>32</v>
      </c>
      <c r="F69" s="90">
        <v>1</v>
      </c>
      <c r="G69" s="123" t="s"/>
      <c r="H69" s="123" t="s"/>
      <c r="I69" s="124" t="s"/>
      <c r="J69" s="125" t="s"/>
      <c r="K69" s="80">
        <f>=O69*0.9</f>
        <v>31296.6</v>
      </c>
      <c r="L69" s="125" t="s"/>
      <c r="M69" s="41" t="s">
        <v>83</v>
      </c>
      <c r="N69" s="41" t="s">
        <v>84</v>
      </c>
      <c r="O69" s="126">
        <v>34774</v>
      </c>
      <c r="P69" s="41">
        <f>=O69*F69</f>
        <v>34774</v>
      </c>
      <c r="Q69" s="9" t="s"/>
      <c r="R69" s="9" t="s"/>
      <c r="S69" s="9" t="s"/>
      <c r="T69" s="9" t="s"/>
      <c r="U69" s="116" t="s"/>
      <c r="X69" s="127" t="s"/>
      <c r="Y69" s="124" t="s"/>
      <c r="Z69" s="124" t="s"/>
      <c r="AA69" s="9" t="s"/>
      <c r="AB69" s="9" t="s"/>
    </row>
    <row r="70" spans="1:28" ht="31.5" customHeight="true">
      <c r="A70" s="121" t="s"/>
      <c r="B70" s="118" t="s">
        <v>122</v>
      </c>
      <c r="C70" s="122" t="s"/>
      <c r="D70" s="106" t="s">
        <v>121</v>
      </c>
      <c r="E70" s="90" t="s">
        <v>32</v>
      </c>
      <c r="F70" s="90">
        <v>1</v>
      </c>
      <c r="G70" s="123" t="s"/>
      <c r="H70" s="123" t="s"/>
      <c r="I70" s="124" t="s"/>
      <c r="J70" s="125" t="s"/>
      <c r="K70" s="80">
        <f>=O70*0.9</f>
        <v>31296.6</v>
      </c>
      <c r="L70" s="125" t="s"/>
      <c r="M70" s="41" t="s">
        <v>83</v>
      </c>
      <c r="N70" s="41" t="s">
        <v>84</v>
      </c>
      <c r="O70" s="126">
        <v>34774</v>
      </c>
      <c r="P70" s="41">
        <f>=O70*F70</f>
        <v>34774</v>
      </c>
      <c r="Q70" s="9" t="s"/>
      <c r="R70" s="9" t="s"/>
      <c r="S70" s="9" t="s"/>
      <c r="T70" s="9" t="s"/>
      <c r="U70" s="116" t="s"/>
      <c r="X70" s="127" t="s"/>
      <c r="Y70" s="124" t="s"/>
      <c r="Z70" s="124" t="s"/>
      <c r="AA70" s="9" t="s"/>
      <c r="AB70" s="9" t="s"/>
    </row>
    <row r="71" spans="1:28" ht="31.5" customHeight="true">
      <c r="A71" s="121" t="s"/>
      <c r="B71" s="118" t="s">
        <v>123</v>
      </c>
      <c r="C71" s="122" t="s">
        <v>124</v>
      </c>
      <c r="D71" s="106" t="s">
        <v>125</v>
      </c>
      <c r="E71" s="90" t="s">
        <v>32</v>
      </c>
      <c r="F71" s="90">
        <v>1</v>
      </c>
      <c r="G71" s="123">
        <v>3700</v>
      </c>
      <c r="H71" s="123" t="s"/>
      <c r="I71" s="124" t="s"/>
      <c r="J71" s="125" t="s"/>
      <c r="K71" s="80">
        <f>=O71*0.9</f>
        <v>7872.3</v>
      </c>
      <c r="L71" s="125" t="s"/>
      <c r="M71" s="41" t="s">
        <v>83</v>
      </c>
      <c r="N71" s="41" t="s">
        <v>84</v>
      </c>
      <c r="O71" s="126">
        <v>8747</v>
      </c>
      <c r="P71" s="41">
        <f>=O71*F71</f>
        <v>8747</v>
      </c>
      <c r="Q71" s="9" t="s"/>
      <c r="R71" s="9" t="s"/>
      <c r="S71" s="9" t="s"/>
      <c r="T71" s="9" t="s"/>
      <c r="U71" s="116" t="s"/>
      <c r="X71" s="127" t="s"/>
      <c r="Y71" s="124" t="s"/>
      <c r="Z71" s="124" t="s"/>
      <c r="AA71" s="9" t="s"/>
      <c r="AB71" s="9" t="s"/>
    </row>
    <row r="72" spans="1:28" ht="31.5" customHeight="true">
      <c r="A72" s="121" t="s"/>
      <c r="B72" s="118" t="s">
        <v>126</v>
      </c>
      <c r="C72" s="122" t="s"/>
      <c r="D72" s="106" t="s">
        <v>125</v>
      </c>
      <c r="E72" s="90" t="s">
        <v>32</v>
      </c>
      <c r="F72" s="90">
        <v>1</v>
      </c>
      <c r="G72" s="123" t="s"/>
      <c r="H72" s="123" t="s"/>
      <c r="I72" s="124" t="s"/>
      <c r="J72" s="125" t="s"/>
      <c r="K72" s="80">
        <f>=O72*0.9</f>
        <v>7872.3</v>
      </c>
      <c r="L72" s="125" t="s"/>
      <c r="M72" s="41" t="s">
        <v>83</v>
      </c>
      <c r="N72" s="41" t="s">
        <v>84</v>
      </c>
      <c r="O72" s="126">
        <v>8747</v>
      </c>
      <c r="P72" s="41">
        <f>=O72*F72</f>
        <v>8747</v>
      </c>
      <c r="Q72" s="9" t="s"/>
      <c r="R72" s="9" t="s"/>
      <c r="S72" s="9" t="s"/>
      <c r="T72" s="9" t="s"/>
      <c r="U72" s="116" t="s"/>
      <c r="X72" s="127" t="s"/>
      <c r="Y72" s="124" t="s"/>
      <c r="Z72" s="124" t="s"/>
      <c r="AA72" s="9" t="s"/>
      <c r="AB72" s="9" t="s"/>
    </row>
    <row r="73" spans="1:28" ht="31.5" customHeight="true">
      <c r="A73" s="121" t="s"/>
      <c r="B73" s="118" t="s">
        <v>127</v>
      </c>
      <c r="C73" s="122" t="s">
        <v>128</v>
      </c>
      <c r="D73" s="106" t="s">
        <v>92</v>
      </c>
      <c r="E73" s="90" t="s">
        <v>32</v>
      </c>
      <c r="F73" s="90">
        <v>1</v>
      </c>
      <c r="G73" s="123">
        <v>7200</v>
      </c>
      <c r="H73" s="123" t="s"/>
      <c r="I73" s="124" t="s"/>
      <c r="J73" s="125" t="s"/>
      <c r="K73" s="80">
        <f>=O73*0.9</f>
        <v>11895.3</v>
      </c>
      <c r="L73" s="125" t="s"/>
      <c r="M73" s="41" t="s">
        <v>83</v>
      </c>
      <c r="N73" s="41" t="s">
        <v>84</v>
      </c>
      <c r="O73" s="126">
        <v>13217</v>
      </c>
      <c r="P73" s="41">
        <f>=O73*F73</f>
        <v>13217</v>
      </c>
      <c r="Q73" s="9" t="s"/>
      <c r="R73" s="9" t="s"/>
      <c r="S73" s="9" t="s"/>
      <c r="T73" s="9" t="s"/>
      <c r="U73" s="116" t="s"/>
      <c r="X73" s="127" t="s"/>
      <c r="Y73" s="124" t="s"/>
      <c r="Z73" s="124" t="s"/>
      <c r="AA73" s="9" t="s"/>
      <c r="AB73" s="9" t="s"/>
    </row>
    <row r="74" spans="1:28" ht="31.5" customHeight="true">
      <c r="A74" s="121" t="s"/>
      <c r="B74" s="118" t="s">
        <v>129</v>
      </c>
      <c r="C74" s="122" t="s"/>
      <c r="D74" s="106" t="s">
        <v>92</v>
      </c>
      <c r="E74" s="90" t="s">
        <v>32</v>
      </c>
      <c r="F74" s="90">
        <v>1</v>
      </c>
      <c r="G74" s="123" t="s"/>
      <c r="H74" s="123" t="s"/>
      <c r="I74" s="124" t="s"/>
      <c r="J74" s="125" t="s"/>
      <c r="K74" s="80">
        <f>=O74*0.9</f>
        <v>11895.3</v>
      </c>
      <c r="L74" s="125" t="s"/>
      <c r="M74" s="41" t="s">
        <v>83</v>
      </c>
      <c r="N74" s="41" t="s">
        <v>84</v>
      </c>
      <c r="O74" s="126">
        <v>13217</v>
      </c>
      <c r="P74" s="41">
        <f>=O74*F74</f>
        <v>13217</v>
      </c>
      <c r="Q74" s="9" t="s"/>
      <c r="R74" s="9" t="s"/>
      <c r="S74" s="9" t="s"/>
      <c r="T74" s="9" t="s"/>
      <c r="U74" s="116" t="s"/>
      <c r="X74" s="127" t="s"/>
      <c r="Y74" s="124" t="s"/>
      <c r="Z74" s="124" t="s"/>
      <c r="AA74" s="9" t="s"/>
      <c r="AB74" s="9" t="s"/>
    </row>
    <row r="75" spans="1:28" ht="31.5" customHeight="true">
      <c r="A75" s="121" t="s"/>
      <c r="B75" s="118" t="s">
        <v>130</v>
      </c>
      <c r="C75" s="122" t="s">
        <v>131</v>
      </c>
      <c r="D75" s="106" t="s">
        <v>106</v>
      </c>
      <c r="E75" s="90" t="s">
        <v>32</v>
      </c>
      <c r="F75" s="90">
        <v>1</v>
      </c>
      <c r="G75" s="123">
        <v>10560</v>
      </c>
      <c r="H75" s="123" t="s"/>
      <c r="I75" s="124" t="s"/>
      <c r="J75" s="125" t="s"/>
      <c r="K75" s="80">
        <f>=O75*0.9</f>
        <v>19067.4</v>
      </c>
      <c r="L75" s="125" t="s"/>
      <c r="M75" s="41" t="s">
        <v>83</v>
      </c>
      <c r="N75" s="41" t="s">
        <v>84</v>
      </c>
      <c r="O75" s="126">
        <v>21186</v>
      </c>
      <c r="P75" s="41">
        <f>=O75*F75</f>
        <v>21186</v>
      </c>
      <c r="Q75" s="9" t="s"/>
      <c r="R75" s="9" t="s"/>
      <c r="S75" s="9" t="s"/>
      <c r="T75" s="9" t="s"/>
      <c r="U75" s="116" t="s"/>
      <c r="X75" s="127" t="s"/>
      <c r="Y75" s="124" t="s"/>
      <c r="Z75" s="124" t="s"/>
      <c r="AA75" s="9" t="s"/>
      <c r="AB75" s="9" t="s"/>
    </row>
    <row r="76" spans="1:28" ht="31.5" customHeight="true">
      <c r="A76" s="121" t="s"/>
      <c r="B76" s="118" t="s">
        <v>132</v>
      </c>
      <c r="C76" s="122" t="s"/>
      <c r="D76" s="106" t="s">
        <v>106</v>
      </c>
      <c r="E76" s="90" t="s">
        <v>32</v>
      </c>
      <c r="F76" s="90">
        <v>1</v>
      </c>
      <c r="G76" s="123" t="s"/>
      <c r="H76" s="123" t="s"/>
      <c r="I76" s="124" t="s"/>
      <c r="J76" s="125" t="s"/>
      <c r="K76" s="80">
        <f>=O76*0.9</f>
        <v>19067.4</v>
      </c>
      <c r="L76" s="125" t="s"/>
      <c r="M76" s="41" t="s">
        <v>83</v>
      </c>
      <c r="N76" s="41" t="s">
        <v>84</v>
      </c>
      <c r="O76" s="126">
        <v>21186</v>
      </c>
      <c r="P76" s="41">
        <f>=O76*F76</f>
        <v>21186</v>
      </c>
      <c r="Q76" s="9" t="s"/>
      <c r="R76" s="9" t="s"/>
      <c r="S76" s="9" t="s"/>
      <c r="T76" s="9" t="s"/>
      <c r="U76" s="116" t="s"/>
      <c r="X76" s="127" t="s"/>
      <c r="Y76" s="124" t="s"/>
      <c r="Z76" s="124" t="s"/>
      <c r="AA76" s="9" t="s"/>
      <c r="AB76" s="9" t="s"/>
    </row>
    <row r="77" spans="1:28" ht="31.5" customHeight="true">
      <c r="A77" s="121" t="s"/>
      <c r="B77" s="118" t="s">
        <v>133</v>
      </c>
      <c r="C77" s="122" t="s"/>
      <c r="D77" s="106" t="s">
        <v>134</v>
      </c>
      <c r="E77" s="90" t="s">
        <v>32</v>
      </c>
      <c r="F77" s="90">
        <v>1</v>
      </c>
      <c r="G77" s="123" t="s"/>
      <c r="H77" s="123" t="s"/>
      <c r="I77" s="124" t="s"/>
      <c r="J77" s="125" t="s"/>
      <c r="K77" s="80">
        <f>=O77*0.9</f>
        <v>23364</v>
      </c>
      <c r="L77" s="125" t="s"/>
      <c r="M77" s="41" t="s">
        <v>83</v>
      </c>
      <c r="N77" s="41" t="s">
        <v>84</v>
      </c>
      <c r="O77" s="126">
        <v>25960</v>
      </c>
      <c r="P77" s="41">
        <f>=O77*F77</f>
        <v>25960</v>
      </c>
      <c r="Q77" s="9" t="s"/>
      <c r="R77" s="9" t="s"/>
      <c r="S77" s="9" t="s"/>
      <c r="T77" s="9" t="s"/>
      <c r="U77" s="116" t="s"/>
      <c r="X77" s="127" t="s"/>
      <c r="Y77" s="124" t="s"/>
      <c r="Z77" s="124" t="s"/>
      <c r="AA77" s="9" t="s"/>
      <c r="AB77" s="9" t="s"/>
    </row>
    <row r="78" spans="1:28" ht="31.5" customHeight="true">
      <c r="A78" s="121" t="s"/>
      <c r="B78" s="118" t="s">
        <v>135</v>
      </c>
      <c r="C78" s="122" t="s"/>
      <c r="D78" s="106" t="s">
        <v>125</v>
      </c>
      <c r="E78" s="90" t="s">
        <v>32</v>
      </c>
      <c r="F78" s="90">
        <v>1</v>
      </c>
      <c r="G78" s="123" t="s"/>
      <c r="H78" s="123" t="s"/>
      <c r="I78" s="124" t="s"/>
      <c r="J78" s="125" t="s"/>
      <c r="K78" s="80">
        <f>=O78*0.9</f>
        <v>7420.5</v>
      </c>
      <c r="L78" s="125" t="s"/>
      <c r="M78" s="41" t="s">
        <v>83</v>
      </c>
      <c r="N78" s="41" t="s">
        <v>84</v>
      </c>
      <c r="O78" s="126">
        <v>8245</v>
      </c>
      <c r="P78" s="41">
        <f>=O78*F78</f>
        <v>8245</v>
      </c>
      <c r="Q78" s="9" t="s"/>
      <c r="R78" s="9" t="s"/>
      <c r="S78" s="9" t="s"/>
      <c r="T78" s="9" t="s"/>
      <c r="U78" s="116" t="s"/>
      <c r="X78" s="127" t="s"/>
      <c r="Y78" s="124" t="s"/>
      <c r="Z78" s="124" t="s"/>
      <c r="AA78" s="9" t="s"/>
      <c r="AB78" s="9" t="s"/>
    </row>
    <row r="79" spans="1:28" ht="31.5" customHeight="true">
      <c r="A79" s="121" t="s"/>
      <c r="B79" s="118" t="s">
        <v>136</v>
      </c>
      <c r="C79" s="122" t="s"/>
      <c r="D79" s="106" t="s">
        <v>134</v>
      </c>
      <c r="E79" s="90" t="s">
        <v>32</v>
      </c>
      <c r="F79" s="90">
        <v>1</v>
      </c>
      <c r="G79" s="123" t="s"/>
      <c r="H79" s="123" t="s"/>
      <c r="I79" s="124" t="s"/>
      <c r="J79" s="125" t="s"/>
      <c r="K79" s="80">
        <f>=O79*0.9</f>
        <v>23364</v>
      </c>
      <c r="L79" s="125" t="s"/>
      <c r="M79" s="41" t="s">
        <v>83</v>
      </c>
      <c r="N79" s="41" t="s">
        <v>84</v>
      </c>
      <c r="O79" s="126">
        <v>25960</v>
      </c>
      <c r="P79" s="41">
        <f>=O79*F79</f>
        <v>25960</v>
      </c>
      <c r="Q79" s="9" t="s"/>
      <c r="R79" s="9" t="s"/>
      <c r="S79" s="9" t="s"/>
      <c r="T79" s="9" t="s"/>
      <c r="U79" s="116" t="s"/>
      <c r="X79" s="127" t="s"/>
      <c r="Y79" s="124" t="s"/>
      <c r="Z79" s="124" t="s"/>
      <c r="AA79" s="9" t="s"/>
      <c r="AB79" s="9" t="s"/>
    </row>
    <row r="80" spans="1:28" ht="31.5" customHeight="true">
      <c r="A80" s="121" t="s"/>
      <c r="B80" s="118" t="s">
        <v>137</v>
      </c>
      <c r="C80" s="122" t="s"/>
      <c r="D80" s="106" t="s">
        <v>125</v>
      </c>
      <c r="E80" s="90" t="s">
        <v>32</v>
      </c>
      <c r="F80" s="90">
        <v>1</v>
      </c>
      <c r="G80" s="123" t="s"/>
      <c r="H80" s="123" t="s"/>
      <c r="I80" s="124" t="s"/>
      <c r="J80" s="125" t="s"/>
      <c r="K80" s="80">
        <f>=O80*0.9</f>
        <v>7872.3</v>
      </c>
      <c r="L80" s="125" t="s"/>
      <c r="M80" s="41" t="s">
        <v>83</v>
      </c>
      <c r="N80" s="41" t="s">
        <v>84</v>
      </c>
      <c r="O80" s="126">
        <v>8747</v>
      </c>
      <c r="P80" s="41">
        <f>=O80*F80</f>
        <v>8747</v>
      </c>
      <c r="Q80" s="9" t="s"/>
      <c r="R80" s="9" t="s"/>
      <c r="S80" s="9" t="s"/>
      <c r="T80" s="9" t="s"/>
      <c r="U80" s="116" t="s"/>
      <c r="X80" s="127" t="s"/>
      <c r="Y80" s="124" t="s"/>
      <c r="Z80" s="124" t="s"/>
      <c r="AA80" s="9" t="s"/>
      <c r="AB80" s="9" t="s"/>
    </row>
    <row r="81" spans="1:28" ht="31.5" customHeight="true">
      <c r="A81" s="121" t="s"/>
      <c r="B81" s="118" t="s">
        <v>138</v>
      </c>
      <c r="C81" s="122" t="s">
        <v>139</v>
      </c>
      <c r="D81" s="106" t="s">
        <v>140</v>
      </c>
      <c r="E81" s="90" t="s">
        <v>32</v>
      </c>
      <c r="F81" s="90">
        <v>1</v>
      </c>
      <c r="G81" s="123">
        <v>10520</v>
      </c>
      <c r="H81" s="123" t="s"/>
      <c r="I81" s="124" t="s"/>
      <c r="J81" s="125" t="s"/>
      <c r="K81" s="80">
        <f>=O81*0.9</f>
        <v>17073</v>
      </c>
      <c r="L81" s="125" t="s"/>
      <c r="M81" s="41" t="s">
        <v>83</v>
      </c>
      <c r="N81" s="41" t="s">
        <v>84</v>
      </c>
      <c r="O81" s="126">
        <v>18970</v>
      </c>
      <c r="P81" s="41">
        <f>=O81*F81</f>
        <v>18970</v>
      </c>
      <c r="Q81" s="9" t="s"/>
      <c r="R81" s="9" t="s"/>
      <c r="S81" s="9" t="s"/>
      <c r="T81" s="9" t="s"/>
      <c r="U81" s="116" t="s"/>
      <c r="X81" s="127" t="s"/>
      <c r="Y81" s="124" t="s"/>
      <c r="Z81" s="124" t="s"/>
      <c r="AA81" s="9" t="s"/>
      <c r="AB81" s="9" t="s"/>
    </row>
    <row r="82" spans="1:28" ht="31.5" customHeight="true">
      <c r="A82" s="121" t="s"/>
      <c r="B82" s="118" t="s">
        <v>141</v>
      </c>
      <c r="C82" s="122" t="s"/>
      <c r="D82" s="106" t="s">
        <v>142</v>
      </c>
      <c r="E82" s="90" t="s">
        <v>32</v>
      </c>
      <c r="F82" s="90">
        <v>1</v>
      </c>
      <c r="G82" s="123" t="s"/>
      <c r="H82" s="123" t="s"/>
      <c r="I82" s="124" t="s"/>
      <c r="J82" s="125" t="s"/>
      <c r="K82" s="80">
        <f>=O82*0.9</f>
        <v>19380.6</v>
      </c>
      <c r="L82" s="125" t="s"/>
      <c r="M82" s="41" t="s">
        <v>83</v>
      </c>
      <c r="N82" s="41" t="s">
        <v>84</v>
      </c>
      <c r="O82" s="126">
        <v>21534</v>
      </c>
      <c r="P82" s="41">
        <f>=O82*F82</f>
        <v>21534</v>
      </c>
      <c r="Q82" s="9" t="s"/>
      <c r="R82" s="9" t="s"/>
      <c r="S82" s="9" t="s"/>
      <c r="T82" s="9" t="s"/>
      <c r="U82" s="116" t="s"/>
      <c r="X82" s="127" t="s"/>
      <c r="Y82" s="124" t="s"/>
      <c r="Z82" s="124" t="s"/>
      <c r="AA82" s="9" t="s"/>
      <c r="AB82" s="9" t="s"/>
    </row>
    <row r="83" spans="1:28" ht="31.5" customHeight="true">
      <c r="A83" s="121" t="s"/>
      <c r="B83" s="118" t="s">
        <v>143</v>
      </c>
      <c r="C83" s="122" t="s">
        <v>144</v>
      </c>
      <c r="D83" s="106" t="s">
        <v>145</v>
      </c>
      <c r="E83" s="90" t="s">
        <v>32</v>
      </c>
      <c r="F83" s="90">
        <v>1</v>
      </c>
      <c r="G83" s="123">
        <v>9000</v>
      </c>
      <c r="H83" s="123" t="s"/>
      <c r="I83" s="124" t="s"/>
      <c r="J83" s="125" t="s"/>
      <c r="K83" s="80">
        <f>=O83*0.9</f>
        <v>13352.4</v>
      </c>
      <c r="L83" s="125" t="s"/>
      <c r="M83" s="41" t="s">
        <v>83</v>
      </c>
      <c r="N83" s="41" t="s">
        <v>84</v>
      </c>
      <c r="O83" s="126">
        <v>14836</v>
      </c>
      <c r="P83" s="41">
        <f>=O83*F83</f>
        <v>14836</v>
      </c>
      <c r="Q83" s="9" t="s"/>
      <c r="R83" s="9" t="s"/>
      <c r="S83" s="9" t="s"/>
      <c r="T83" s="9" t="s"/>
      <c r="U83" s="116" t="s"/>
      <c r="X83" s="127" t="s"/>
      <c r="Y83" s="124" t="s"/>
      <c r="Z83" s="124" t="s"/>
      <c r="AA83" s="9" t="s"/>
      <c r="AB83" s="9" t="s"/>
    </row>
    <row r="84" spans="1:28" ht="31.5" customHeight="true">
      <c r="A84" s="121" t="s"/>
      <c r="B84" s="118" t="s">
        <v>146</v>
      </c>
      <c r="C84" s="122" t="s"/>
      <c r="D84" s="106" t="s">
        <v>142</v>
      </c>
      <c r="E84" s="90" t="s">
        <v>32</v>
      </c>
      <c r="F84" s="90">
        <v>1</v>
      </c>
      <c r="G84" s="123" t="s"/>
      <c r="H84" s="123" t="s"/>
      <c r="I84" s="124" t="s"/>
      <c r="J84" s="125" t="s"/>
      <c r="K84" s="80">
        <f>=O84*0.9</f>
        <v>19380.6</v>
      </c>
      <c r="L84" s="125" t="s"/>
      <c r="M84" s="41" t="s">
        <v>83</v>
      </c>
      <c r="N84" s="41" t="s">
        <v>84</v>
      </c>
      <c r="O84" s="126">
        <v>21534</v>
      </c>
      <c r="P84" s="41">
        <f>=O84*F84</f>
        <v>21534</v>
      </c>
      <c r="Q84" s="9" t="s"/>
      <c r="R84" s="9" t="s"/>
      <c r="S84" s="9" t="s"/>
      <c r="T84" s="9" t="s"/>
      <c r="U84" s="116" t="s"/>
      <c r="X84" s="127" t="s"/>
      <c r="Y84" s="124" t="s"/>
      <c r="Z84" s="124" t="s"/>
      <c r="AA84" s="9" t="s"/>
      <c r="AB84" s="9" t="s"/>
    </row>
    <row r="85" spans="1:28" ht="31.5" customHeight="true">
      <c r="A85" s="121" t="s"/>
      <c r="B85" s="118" t="s">
        <v>147</v>
      </c>
      <c r="C85" s="122" t="s">
        <v>148</v>
      </c>
      <c r="D85" s="106" t="s">
        <v>110</v>
      </c>
      <c r="E85" s="90" t="s">
        <v>32</v>
      </c>
      <c r="F85" s="90">
        <v>1</v>
      </c>
      <c r="G85" s="123">
        <v>11000</v>
      </c>
      <c r="H85" s="123" t="s"/>
      <c r="I85" s="124" t="s"/>
      <c r="J85" s="125" t="s"/>
      <c r="K85" s="80">
        <f>=O85*0.9</f>
        <v>19067.4</v>
      </c>
      <c r="L85" s="125" t="s"/>
      <c r="M85" s="41" t="s">
        <v>83</v>
      </c>
      <c r="N85" s="41" t="s">
        <v>84</v>
      </c>
      <c r="O85" s="126">
        <v>21186</v>
      </c>
      <c r="P85" s="41">
        <f>=O85*F85</f>
        <v>21186</v>
      </c>
      <c r="Q85" s="9" t="s"/>
      <c r="R85" s="9" t="s"/>
      <c r="S85" s="9" t="s"/>
      <c r="T85" s="9" t="s"/>
      <c r="U85" s="116" t="s"/>
      <c r="X85" s="127" t="s"/>
      <c r="Y85" s="124" t="s"/>
      <c r="Z85" s="124" t="s"/>
      <c r="AA85" s="9" t="s"/>
      <c r="AB85" s="9" t="s"/>
    </row>
    <row r="86" spans="1:28" ht="31.5" customHeight="true">
      <c r="A86" s="121" t="s"/>
      <c r="B86" s="118" t="s">
        <v>149</v>
      </c>
      <c r="C86" s="122" t="s">
        <v>150</v>
      </c>
      <c r="D86" s="106" t="s">
        <v>151</v>
      </c>
      <c r="E86" s="90" t="s">
        <v>32</v>
      </c>
      <c r="F86" s="90">
        <v>1</v>
      </c>
      <c r="G86" s="123">
        <v>11500</v>
      </c>
      <c r="H86" s="123" t="s"/>
      <c r="I86" s="124" t="s"/>
      <c r="J86" s="125" t="s"/>
      <c r="K86" s="80">
        <f>=O86*0.9</f>
        <v>19380.6</v>
      </c>
      <c r="L86" s="125" t="s"/>
      <c r="M86" s="41" t="s">
        <v>83</v>
      </c>
      <c r="N86" s="41" t="s">
        <v>84</v>
      </c>
      <c r="O86" s="126">
        <v>21534</v>
      </c>
      <c r="P86" s="41">
        <f>=O86*F86</f>
        <v>21534</v>
      </c>
      <c r="Q86" s="9" t="s"/>
      <c r="R86" s="9" t="s"/>
      <c r="S86" s="9" t="s"/>
      <c r="T86" s="9" t="s"/>
      <c r="U86" s="116" t="s"/>
      <c r="X86" s="127" t="s"/>
      <c r="Y86" s="124" t="s"/>
      <c r="Z86" s="124" t="s"/>
      <c r="AA86" s="9" t="s"/>
      <c r="AB86" s="9" t="s"/>
    </row>
    <row r="87" spans="1:28" ht="31.5" customHeight="true">
      <c r="A87" s="121" t="s"/>
      <c r="B87" s="118" t="s">
        <v>152</v>
      </c>
      <c r="C87" s="122" t="s"/>
      <c r="D87" s="106" t="s">
        <v>125</v>
      </c>
      <c r="E87" s="90" t="s">
        <v>32</v>
      </c>
      <c r="F87" s="90">
        <v>1</v>
      </c>
      <c r="G87" s="123" t="s"/>
      <c r="H87" s="123" t="s"/>
      <c r="I87" s="124" t="s"/>
      <c r="J87" s="125" t="s"/>
      <c r="K87" s="80">
        <f>=O87*0.9</f>
        <v>7872.3</v>
      </c>
      <c r="L87" s="125" t="s"/>
      <c r="M87" s="41" t="s">
        <v>83</v>
      </c>
      <c r="N87" s="41" t="s">
        <v>84</v>
      </c>
      <c r="O87" s="126">
        <v>8747</v>
      </c>
      <c r="P87" s="41">
        <f>=O87*F87</f>
        <v>8747</v>
      </c>
      <c r="Q87" s="9" t="s"/>
      <c r="R87" s="9" t="s"/>
      <c r="S87" s="9" t="s"/>
      <c r="T87" s="9" t="s"/>
      <c r="U87" s="116" t="s"/>
      <c r="X87" s="127" t="s"/>
      <c r="Y87" s="124" t="s"/>
      <c r="Z87" s="124" t="s"/>
      <c r="AA87" s="9" t="s"/>
      <c r="AB87" s="9" t="s"/>
    </row>
    <row r="88" spans="1:28" ht="31.5" customHeight="true">
      <c r="A88" s="121" t="s"/>
      <c r="B88" s="118" t="s">
        <v>153</v>
      </c>
      <c r="C88" s="122" t="s">
        <v>154</v>
      </c>
      <c r="D88" s="106" t="s">
        <v>142</v>
      </c>
      <c r="E88" s="90" t="s">
        <v>32</v>
      </c>
      <c r="F88" s="90">
        <v>1</v>
      </c>
      <c r="G88" s="123">
        <v>12040</v>
      </c>
      <c r="H88" s="123" t="s"/>
      <c r="I88" s="124" t="s"/>
      <c r="J88" s="125" t="s"/>
      <c r="K88" s="80">
        <f>=O88*0.9</f>
        <v>21649.5</v>
      </c>
      <c r="L88" s="125" t="s"/>
      <c r="M88" s="41" t="s">
        <v>83</v>
      </c>
      <c r="N88" s="41" t="s">
        <v>84</v>
      </c>
      <c r="O88" s="126">
        <v>24055</v>
      </c>
      <c r="P88" s="41">
        <f>=O88*F88</f>
        <v>24055</v>
      </c>
      <c r="Q88" s="9" t="s"/>
      <c r="R88" s="9" t="s"/>
      <c r="S88" s="9" t="s"/>
      <c r="T88" s="9" t="s"/>
      <c r="U88" s="116" t="s"/>
      <c r="X88" s="127" t="s"/>
      <c r="Y88" s="124" t="s"/>
      <c r="Z88" s="124" t="s"/>
      <c r="AA88" s="9" t="s"/>
      <c r="AB88" s="9" t="s"/>
    </row>
    <row r="89" spans="1:28" ht="31.5" customHeight="true">
      <c r="A89" s="121" t="s"/>
      <c r="B89" s="118" t="s">
        <v>155</v>
      </c>
      <c r="C89" s="122" t="s"/>
      <c r="D89" s="106" t="s">
        <v>142</v>
      </c>
      <c r="E89" s="90" t="s">
        <v>32</v>
      </c>
      <c r="F89" s="90">
        <v>1</v>
      </c>
      <c r="G89" s="123" t="s"/>
      <c r="H89" s="123" t="s"/>
      <c r="I89" s="124" t="s"/>
      <c r="J89" s="125" t="s"/>
      <c r="K89" s="80">
        <f>=O89*0.9</f>
        <v>21649.5</v>
      </c>
      <c r="L89" s="125" t="s"/>
      <c r="M89" s="41" t="s">
        <v>83</v>
      </c>
      <c r="N89" s="41" t="s">
        <v>84</v>
      </c>
      <c r="O89" s="126">
        <v>24055</v>
      </c>
      <c r="P89" s="41">
        <f>=O89*F89</f>
        <v>24055</v>
      </c>
      <c r="Q89" s="9" t="s"/>
      <c r="R89" s="9" t="s"/>
      <c r="S89" s="9" t="s"/>
      <c r="T89" s="9" t="s"/>
      <c r="U89" s="116" t="s"/>
      <c r="X89" s="127" t="s"/>
      <c r="Y89" s="124" t="s"/>
      <c r="Z89" s="124" t="s"/>
      <c r="AA89" s="9" t="s"/>
      <c r="AB89" s="9" t="s"/>
    </row>
    <row r="90" spans="1:28" ht="31.5" customHeight="true">
      <c r="A90" s="121" t="s"/>
      <c r="B90" s="118" t="s">
        <v>156</v>
      </c>
      <c r="C90" s="122" t="s">
        <v>157</v>
      </c>
      <c r="D90" s="106" t="s">
        <v>158</v>
      </c>
      <c r="E90" s="90" t="s">
        <v>32</v>
      </c>
      <c r="F90" s="90">
        <v>1</v>
      </c>
      <c r="G90" s="128">
        <v>2500</v>
      </c>
      <c r="H90" s="123" t="s"/>
      <c r="I90" s="124" t="s"/>
      <c r="J90" s="125" t="s"/>
      <c r="K90" s="80">
        <f>=O90*0.9</f>
        <v>6857.1</v>
      </c>
      <c r="L90" s="125" t="s"/>
      <c r="M90" s="41" t="s">
        <v>83</v>
      </c>
      <c r="N90" s="41" t="s">
        <v>84</v>
      </c>
      <c r="O90" s="126">
        <v>7619</v>
      </c>
      <c r="P90" s="41">
        <f>=O90*F90</f>
        <v>7619</v>
      </c>
      <c r="Q90" s="9" t="s"/>
      <c r="R90" s="9" t="s"/>
      <c r="S90" s="9" t="s"/>
      <c r="T90" s="9" t="s"/>
      <c r="U90" s="116" t="s"/>
      <c r="X90" s="127" t="s"/>
      <c r="Y90" s="124" t="s"/>
      <c r="Z90" s="124" t="s"/>
      <c r="AA90" s="9" t="s"/>
      <c r="AB90" s="9" t="s"/>
    </row>
    <row r="91" spans="1:28" ht="31.5" customHeight="true">
      <c r="A91" s="121" t="s"/>
      <c r="B91" s="118" t="s">
        <v>159</v>
      </c>
      <c r="C91" s="122" t="s">
        <v>160</v>
      </c>
      <c r="D91" s="106" t="s">
        <v>161</v>
      </c>
      <c r="E91" s="90" t="s">
        <v>32</v>
      </c>
      <c r="F91" s="90">
        <v>1</v>
      </c>
      <c r="G91" s="123">
        <v>6000</v>
      </c>
      <c r="H91" s="123" t="s"/>
      <c r="I91" s="124" t="s"/>
      <c r="J91" s="125" t="s"/>
      <c r="K91" s="80">
        <f>=O91*0.9</f>
        <v>11441.7</v>
      </c>
      <c r="L91" s="125" t="s"/>
      <c r="M91" s="41" t="s">
        <v>83</v>
      </c>
      <c r="N91" s="41" t="s">
        <v>84</v>
      </c>
      <c r="O91" s="126">
        <v>12713</v>
      </c>
      <c r="P91" s="41">
        <f>=O91*F91</f>
        <v>12713</v>
      </c>
      <c r="Q91" s="9" t="s"/>
      <c r="R91" s="9" t="s"/>
      <c r="S91" s="9" t="s"/>
      <c r="T91" s="9" t="s"/>
      <c r="U91" s="116" t="s"/>
      <c r="X91" s="127" t="s"/>
      <c r="Y91" s="124" t="s"/>
      <c r="Z91" s="124" t="s"/>
      <c r="AA91" s="9" t="s"/>
      <c r="AB91" s="9" t="s"/>
    </row>
    <row r="92" spans="1:28" ht="31.5" customHeight="true">
      <c r="A92" s="121" t="s"/>
      <c r="B92" s="118" t="s">
        <v>162</v>
      </c>
      <c r="C92" s="122" t="s"/>
      <c r="D92" s="106" t="s">
        <v>163</v>
      </c>
      <c r="E92" s="90" t="s">
        <v>32</v>
      </c>
      <c r="F92" s="90">
        <v>1</v>
      </c>
      <c r="G92" s="123" t="s"/>
      <c r="H92" s="123" t="s"/>
      <c r="I92" s="124" t="s"/>
      <c r="J92" s="125" t="s"/>
      <c r="K92" s="80">
        <f>=O92*0.9</f>
        <v>29521.8</v>
      </c>
      <c r="L92" s="125" t="s"/>
      <c r="M92" s="41" t="s">
        <v>83</v>
      </c>
      <c r="N92" s="41" t="s">
        <v>84</v>
      </c>
      <c r="O92" s="126">
        <v>32802</v>
      </c>
      <c r="P92" s="41">
        <f>=O92*F92</f>
        <v>32802</v>
      </c>
      <c r="Q92" s="9" t="s"/>
      <c r="R92" s="9" t="s"/>
      <c r="S92" s="9" t="s"/>
      <c r="T92" s="9" t="s"/>
      <c r="U92" s="116" t="s"/>
      <c r="X92" s="127" t="s"/>
      <c r="Y92" s="124" t="s"/>
      <c r="Z92" s="124" t="s"/>
      <c r="AA92" s="9" t="s"/>
      <c r="AB92" s="9" t="s"/>
    </row>
    <row r="93" spans="1:28" ht="31.5" customHeight="true">
      <c r="A93" s="121" t="s"/>
      <c r="B93" s="118" t="s">
        <v>164</v>
      </c>
      <c r="C93" s="122" t="s"/>
      <c r="D93" s="106" t="s">
        <v>165</v>
      </c>
      <c r="E93" s="90" t="s">
        <v>32</v>
      </c>
      <c r="F93" s="90">
        <v>1</v>
      </c>
      <c r="G93" s="123" t="s"/>
      <c r="H93" s="123" t="s"/>
      <c r="I93" s="124" t="s"/>
      <c r="J93" s="125" t="s"/>
      <c r="K93" s="80">
        <f>=O93*0.9</f>
        <v>31725</v>
      </c>
      <c r="L93" s="125" t="s"/>
      <c r="M93" s="41" t="s">
        <v>83</v>
      </c>
      <c r="N93" s="41" t="s">
        <v>84</v>
      </c>
      <c r="O93" s="126">
        <v>35250</v>
      </c>
      <c r="P93" s="41">
        <f>=O93*F93</f>
        <v>35250</v>
      </c>
      <c r="Q93" s="9" t="s"/>
      <c r="R93" s="9" t="s"/>
      <c r="S93" s="9" t="s"/>
      <c r="T93" s="9" t="s"/>
      <c r="U93" s="116" t="s"/>
      <c r="X93" s="127" t="s"/>
      <c r="Y93" s="124" t="s"/>
      <c r="Z93" s="124" t="s"/>
      <c r="AA93" s="9" t="s"/>
      <c r="AB93" s="9" t="s"/>
    </row>
    <row r="94" spans="1:28" ht="31.5" customHeight="true">
      <c r="A94" s="121" t="s"/>
      <c r="B94" s="118" t="s">
        <v>166</v>
      </c>
      <c r="C94" s="122" t="s"/>
      <c r="D94" s="106" t="s">
        <v>151</v>
      </c>
      <c r="E94" s="90" t="s">
        <v>32</v>
      </c>
      <c r="F94" s="90">
        <v>1</v>
      </c>
      <c r="G94" s="123" t="s"/>
      <c r="H94" s="123" t="s"/>
      <c r="I94" s="124" t="s"/>
      <c r="J94" s="125" t="s"/>
      <c r="K94" s="80">
        <f>=O94*0.9</f>
        <v>19380.6</v>
      </c>
      <c r="L94" s="125" t="s"/>
      <c r="M94" s="41" t="s">
        <v>83</v>
      </c>
      <c r="N94" s="41" t="s">
        <v>84</v>
      </c>
      <c r="O94" s="126">
        <v>21534</v>
      </c>
      <c r="P94" s="41">
        <f>=O94*F94</f>
        <v>21534</v>
      </c>
      <c r="Q94" s="9" t="s"/>
      <c r="R94" s="9" t="s"/>
      <c r="S94" s="9" t="s"/>
      <c r="T94" s="9" t="s"/>
      <c r="U94" s="116" t="s"/>
      <c r="X94" s="127" t="s"/>
      <c r="Y94" s="124" t="s"/>
      <c r="Z94" s="124" t="s"/>
      <c r="AA94" s="9" t="s"/>
      <c r="AB94" s="9" t="s"/>
    </row>
    <row r="95" spans="1:28" ht="31.5" customHeight="true">
      <c r="A95" s="121" t="s"/>
      <c r="B95" s="118" t="s">
        <v>167</v>
      </c>
      <c r="C95" s="122" t="s">
        <v>168</v>
      </c>
      <c r="D95" s="106" t="s">
        <v>169</v>
      </c>
      <c r="E95" s="90" t="s">
        <v>32</v>
      </c>
      <c r="F95" s="90">
        <v>2</v>
      </c>
      <c r="G95" s="123">
        <v>14350</v>
      </c>
      <c r="H95" s="123" t="s"/>
      <c r="I95" s="124" t="s"/>
      <c r="J95" s="125" t="s"/>
      <c r="K95" s="80">
        <f>=O95*0.9</f>
        <v>23364</v>
      </c>
      <c r="L95" s="125" t="s"/>
      <c r="M95" s="41" t="s">
        <v>83</v>
      </c>
      <c r="N95" s="41" t="s">
        <v>84</v>
      </c>
      <c r="O95" s="126">
        <v>25960</v>
      </c>
      <c r="P95" s="41">
        <f>=O95*F95</f>
        <v>51920</v>
      </c>
      <c r="Q95" s="9" t="s"/>
      <c r="R95" s="9" t="s"/>
      <c r="S95" s="9" t="s"/>
      <c r="T95" s="9" t="s"/>
      <c r="U95" s="116" t="s"/>
      <c r="X95" s="127" t="s"/>
      <c r="Y95" s="124" t="s"/>
      <c r="Z95" s="124" t="s"/>
      <c r="AA95" s="9" t="s"/>
      <c r="AB95" s="9" t="s"/>
    </row>
    <row r="96" spans="1:28" ht="31.5" customHeight="true">
      <c r="A96" s="121" t="s"/>
      <c r="B96" s="118" t="s">
        <v>170</v>
      </c>
      <c r="C96" s="122" t="s"/>
      <c r="D96" s="106" t="s">
        <v>169</v>
      </c>
      <c r="E96" s="90" t="s">
        <v>32</v>
      </c>
      <c r="F96" s="90">
        <v>4</v>
      </c>
      <c r="G96" s="123" t="s"/>
      <c r="H96" s="123" t="s"/>
      <c r="I96" s="124" t="s"/>
      <c r="J96" s="125" t="s"/>
      <c r="K96" s="80">
        <f>=O96*0.9</f>
        <v>23364</v>
      </c>
      <c r="L96" s="125" t="s"/>
      <c r="M96" s="41" t="s">
        <v>83</v>
      </c>
      <c r="N96" s="41" t="s">
        <v>84</v>
      </c>
      <c r="O96" s="126">
        <v>25960</v>
      </c>
      <c r="P96" s="41">
        <f>=O96*F96</f>
        <v>103840</v>
      </c>
      <c r="Q96" s="9" t="s"/>
      <c r="R96" s="9" t="s"/>
      <c r="S96" s="9" t="s"/>
      <c r="T96" s="9" t="s"/>
      <c r="U96" s="116" t="s"/>
      <c r="X96" s="127" t="s"/>
      <c r="Y96" s="124" t="s"/>
      <c r="Z96" s="124" t="s"/>
      <c r="AA96" s="9" t="s"/>
      <c r="AB96" s="9" t="s"/>
    </row>
    <row r="97" spans="1:28" ht="31.5" customHeight="true">
      <c r="A97" s="121" t="s"/>
      <c r="B97" s="118" t="s">
        <v>171</v>
      </c>
      <c r="C97" s="122" t="s"/>
      <c r="D97" s="106" t="s">
        <v>165</v>
      </c>
      <c r="E97" s="90" t="s">
        <v>32</v>
      </c>
      <c r="F97" s="90">
        <v>2</v>
      </c>
      <c r="G97" s="123" t="s"/>
      <c r="H97" s="123" t="s"/>
      <c r="I97" s="124" t="s"/>
      <c r="J97" s="125" t="s"/>
      <c r="K97" s="80">
        <f>=O97*0.9</f>
        <v>45333.9</v>
      </c>
      <c r="L97" s="125" t="s"/>
      <c r="M97" s="41" t="s">
        <v>83</v>
      </c>
      <c r="N97" s="41" t="s">
        <v>84</v>
      </c>
      <c r="O97" s="126">
        <v>50371</v>
      </c>
      <c r="P97" s="41">
        <f>=O97*F97</f>
        <v>100742</v>
      </c>
      <c r="Q97" s="9" t="s"/>
      <c r="R97" s="9" t="s"/>
      <c r="S97" s="9" t="s"/>
      <c r="T97" s="9" t="s"/>
      <c r="U97" s="116" t="s"/>
      <c r="X97" s="127" t="s"/>
      <c r="Y97" s="124" t="s"/>
      <c r="Z97" s="124" t="s"/>
      <c r="AA97" s="9" t="s"/>
      <c r="AB97" s="9" t="s"/>
    </row>
    <row r="98" spans="1:28" ht="31.5" customHeight="true">
      <c r="A98" s="121" t="s"/>
      <c r="B98" s="118" t="s">
        <v>172</v>
      </c>
      <c r="C98" s="122" t="s">
        <v>173</v>
      </c>
      <c r="D98" s="106" t="s">
        <v>163</v>
      </c>
      <c r="E98" s="90" t="s">
        <v>32</v>
      </c>
      <c r="F98" s="90">
        <v>3</v>
      </c>
      <c r="G98" s="123">
        <v>18450</v>
      </c>
      <c r="H98" s="123" t="s"/>
      <c r="I98" s="124" t="s"/>
      <c r="J98" s="125" t="s"/>
      <c r="K98" s="80">
        <f>=O98*0.9</f>
        <v>29521.8</v>
      </c>
      <c r="L98" s="125" t="s"/>
      <c r="M98" s="41" t="s">
        <v>83</v>
      </c>
      <c r="N98" s="41" t="s">
        <v>84</v>
      </c>
      <c r="O98" s="126">
        <v>32802</v>
      </c>
      <c r="P98" s="41">
        <f>=O98*F98</f>
        <v>98406</v>
      </c>
      <c r="Q98" s="9" t="s"/>
      <c r="R98" s="9" t="s"/>
      <c r="S98" s="9" t="s"/>
      <c r="T98" s="9" t="s"/>
      <c r="U98" s="116" t="s"/>
      <c r="X98" s="127" t="s"/>
      <c r="Y98" s="124" t="s"/>
      <c r="Z98" s="124" t="s"/>
      <c r="AA98" s="9" t="s"/>
      <c r="AB98" s="9" t="s"/>
    </row>
    <row r="99" spans="1:28" ht="31.5" customHeight="true">
      <c r="A99" s="121" t="s"/>
      <c r="B99" s="118" t="s">
        <v>174</v>
      </c>
      <c r="C99" s="122" t="s"/>
      <c r="D99" s="106" t="s">
        <v>151</v>
      </c>
      <c r="E99" s="90" t="s">
        <v>32</v>
      </c>
      <c r="F99" s="90">
        <v>8</v>
      </c>
      <c r="G99" s="123" t="s"/>
      <c r="H99" s="123" t="s"/>
      <c r="I99" s="124" t="s"/>
      <c r="J99" s="125" t="s"/>
      <c r="K99" s="80">
        <f>=O99*0.9</f>
        <v>19380.6</v>
      </c>
      <c r="L99" s="125" t="s"/>
      <c r="M99" s="41" t="s">
        <v>83</v>
      </c>
      <c r="N99" s="41" t="s">
        <v>84</v>
      </c>
      <c r="O99" s="126">
        <v>21534</v>
      </c>
      <c r="P99" s="41">
        <f>=O99*F99</f>
        <v>172272</v>
      </c>
      <c r="Q99" s="9" t="s"/>
      <c r="R99" s="9" t="s"/>
      <c r="S99" s="9" t="s"/>
      <c r="T99" s="9" t="s"/>
      <c r="U99" s="116" t="s"/>
      <c r="X99" s="127" t="s"/>
      <c r="Y99" s="124" t="s"/>
      <c r="Z99" s="124" t="s"/>
      <c r="AA99" s="9" t="s"/>
      <c r="AB99" s="9" t="s"/>
    </row>
    <row r="100" spans="1:28" ht="31.5" customHeight="true">
      <c r="A100" s="121" t="s"/>
      <c r="B100" s="118" t="s">
        <v>175</v>
      </c>
      <c r="C100" s="122" t="s">
        <v>176</v>
      </c>
      <c r="D100" s="106" t="s">
        <v>134</v>
      </c>
      <c r="E100" s="90" t="s">
        <v>32</v>
      </c>
      <c r="F100" s="90">
        <v>2</v>
      </c>
      <c r="G100" s="123">
        <v>14760</v>
      </c>
      <c r="H100" s="123" t="s"/>
      <c r="I100" s="124" t="s"/>
      <c r="J100" s="125" t="s"/>
      <c r="K100" s="80">
        <f>=O100*0.9</f>
        <v>23364</v>
      </c>
      <c r="L100" s="125" t="s"/>
      <c r="M100" s="41" t="s">
        <v>83</v>
      </c>
      <c r="N100" s="41" t="s">
        <v>84</v>
      </c>
      <c r="O100" s="126">
        <v>25960</v>
      </c>
      <c r="P100" s="41">
        <f>=O100*F100</f>
        <v>51920</v>
      </c>
      <c r="Q100" s="9" t="s"/>
      <c r="R100" s="9" t="s"/>
      <c r="S100" s="9" t="s"/>
      <c r="T100" s="9" t="s"/>
      <c r="U100" s="116" t="s"/>
      <c r="X100" s="127" t="s"/>
      <c r="Y100" s="124" t="s"/>
      <c r="Z100" s="124" t="s"/>
      <c r="AA100" s="9" t="s"/>
      <c r="AB100" s="9" t="s"/>
    </row>
    <row r="101" spans="1:28" ht="31.5" customHeight="true">
      <c r="A101" s="121" t="s"/>
      <c r="B101" s="118" t="s">
        <v>177</v>
      </c>
      <c r="C101" s="122" t="s"/>
      <c r="D101" s="106" t="s">
        <v>134</v>
      </c>
      <c r="E101" s="90" t="s">
        <v>32</v>
      </c>
      <c r="F101" s="90">
        <v>1</v>
      </c>
      <c r="G101" s="123" t="s"/>
      <c r="H101" s="123" t="s"/>
      <c r="I101" s="124" t="s"/>
      <c r="J101" s="125" t="s"/>
      <c r="K101" s="80">
        <f>=O101*0.9</f>
        <v>23364</v>
      </c>
      <c r="L101" s="125" t="s"/>
      <c r="M101" s="41" t="s">
        <v>83</v>
      </c>
      <c r="N101" s="41" t="s">
        <v>84</v>
      </c>
      <c r="O101" s="126">
        <v>25960</v>
      </c>
      <c r="P101" s="41">
        <f>=O101*F101</f>
        <v>25960</v>
      </c>
      <c r="Q101" s="9" t="s"/>
      <c r="R101" s="9" t="s"/>
      <c r="S101" s="9" t="s"/>
      <c r="T101" s="9" t="s"/>
      <c r="U101" s="116" t="s"/>
      <c r="X101" s="127" t="s"/>
      <c r="Y101" s="124" t="s"/>
      <c r="Z101" s="124" t="s"/>
      <c r="AA101" s="9" t="s"/>
      <c r="AB101" s="9" t="s"/>
    </row>
    <row r="102" spans="1:28" ht="31.5" customHeight="true">
      <c r="A102" s="121" t="s"/>
      <c r="B102" s="118" t="s">
        <v>178</v>
      </c>
      <c r="C102" s="122" t="s">
        <v>179</v>
      </c>
      <c r="D102" s="106" t="s">
        <v>180</v>
      </c>
      <c r="E102" s="90" t="s">
        <v>32</v>
      </c>
      <c r="F102" s="90">
        <v>1</v>
      </c>
      <c r="G102" s="123">
        <v>12915</v>
      </c>
      <c r="H102" s="123" t="s"/>
      <c r="I102" s="124" t="s"/>
      <c r="J102" s="125" t="s"/>
      <c r="K102" s="80">
        <f>=O102*0.9</f>
        <v>23364</v>
      </c>
      <c r="L102" s="125" t="s"/>
      <c r="M102" s="41" t="s">
        <v>83</v>
      </c>
      <c r="N102" s="41" t="s">
        <v>84</v>
      </c>
      <c r="O102" s="126">
        <v>25960</v>
      </c>
      <c r="P102" s="41">
        <f>=O102*F102</f>
        <v>25960</v>
      </c>
      <c r="Q102" s="9" t="s"/>
      <c r="R102" s="9" t="s"/>
      <c r="S102" s="9" t="s"/>
      <c r="T102" s="9" t="s"/>
      <c r="U102" s="116" t="s"/>
      <c r="X102" s="127" t="s"/>
      <c r="Y102" s="124" t="s"/>
      <c r="Z102" s="124" t="s"/>
      <c r="AA102" s="9" t="s"/>
      <c r="AB102" s="9" t="s"/>
    </row>
    <row r="103" spans="1:28" ht="31.5" customHeight="true">
      <c r="A103" s="121" t="s"/>
      <c r="B103" s="118" t="s">
        <v>181</v>
      </c>
      <c r="C103" s="122" t="s"/>
      <c r="D103" s="106" t="s">
        <v>180</v>
      </c>
      <c r="E103" s="90" t="s">
        <v>32</v>
      </c>
      <c r="F103" s="90">
        <v>2</v>
      </c>
      <c r="G103" s="123" t="s"/>
      <c r="H103" s="123" t="s"/>
      <c r="I103" s="124" t="s"/>
      <c r="J103" s="125" t="s"/>
      <c r="K103" s="80">
        <f>=O103*0.9</f>
        <v>23364</v>
      </c>
      <c r="L103" s="125" t="s"/>
      <c r="M103" s="41" t="s">
        <v>83</v>
      </c>
      <c r="N103" s="41" t="s">
        <v>84</v>
      </c>
      <c r="O103" s="126">
        <v>25960</v>
      </c>
      <c r="P103" s="41">
        <f>=O103*F103</f>
        <v>51920</v>
      </c>
      <c r="Q103" s="9" t="s"/>
      <c r="R103" s="9" t="s"/>
      <c r="S103" s="9" t="s"/>
      <c r="T103" s="9" t="s"/>
      <c r="U103" s="116" t="s"/>
      <c r="X103" s="127" t="s"/>
      <c r="Y103" s="124" t="s"/>
      <c r="Z103" s="124" t="s"/>
      <c r="AA103" s="9" t="s"/>
      <c r="AB103" s="9" t="s"/>
    </row>
    <row r="104" spans="1:28" ht="31.5" customHeight="true">
      <c r="A104" s="121" t="s"/>
      <c r="B104" s="118" t="s">
        <v>182</v>
      </c>
      <c r="C104" s="122" t="s"/>
      <c r="D104" s="106" t="s">
        <v>183</v>
      </c>
      <c r="E104" s="90" t="s">
        <v>32</v>
      </c>
      <c r="F104" s="90">
        <v>1</v>
      </c>
      <c r="G104" s="123" t="s"/>
      <c r="H104" s="123" t="s"/>
      <c r="I104" s="124" t="s"/>
      <c r="J104" s="125" t="s"/>
      <c r="K104" s="80">
        <f>=O104*0.9</f>
        <v>19380.6</v>
      </c>
      <c r="L104" s="125" t="s"/>
      <c r="M104" s="41" t="s">
        <v>83</v>
      </c>
      <c r="N104" s="41" t="s">
        <v>84</v>
      </c>
      <c r="O104" s="126">
        <v>21534</v>
      </c>
      <c r="P104" s="41">
        <f>=O104*F104</f>
        <v>21534</v>
      </c>
      <c r="Q104" s="9" t="s"/>
      <c r="R104" s="9" t="s"/>
      <c r="S104" s="9" t="s"/>
      <c r="T104" s="9" t="s"/>
      <c r="U104" s="116" t="s"/>
      <c r="X104" s="127" t="s"/>
      <c r="Y104" s="124" t="s"/>
      <c r="Z104" s="124" t="s"/>
      <c r="AA104" s="9" t="s"/>
      <c r="AB104" s="9" t="s"/>
    </row>
    <row r="105" spans="1:28" ht="31.5" customHeight="true">
      <c r="A105" s="121" t="s"/>
      <c r="B105" s="118" t="s">
        <v>184</v>
      </c>
      <c r="C105" s="122" t="s"/>
      <c r="D105" s="106" t="s">
        <v>183</v>
      </c>
      <c r="E105" s="90" t="s">
        <v>32</v>
      </c>
      <c r="F105" s="90">
        <v>1</v>
      </c>
      <c r="G105" s="123" t="s"/>
      <c r="H105" s="123" t="s"/>
      <c r="I105" s="124" t="s"/>
      <c r="J105" s="125" t="s"/>
      <c r="K105" s="80">
        <f>=O105*0.9</f>
        <v>19380.6</v>
      </c>
      <c r="L105" s="125" t="s"/>
      <c r="M105" s="41" t="s">
        <v>83</v>
      </c>
      <c r="N105" s="41" t="s">
        <v>84</v>
      </c>
      <c r="O105" s="126">
        <v>21534</v>
      </c>
      <c r="P105" s="41">
        <f>=O105*F105</f>
        <v>21534</v>
      </c>
      <c r="Q105" s="9" t="s"/>
      <c r="R105" s="9" t="s"/>
      <c r="S105" s="9" t="s"/>
      <c r="T105" s="9" t="s"/>
      <c r="U105" s="116" t="s"/>
      <c r="X105" s="127" t="s"/>
      <c r="Y105" s="124" t="s"/>
      <c r="Z105" s="124" t="s"/>
      <c r="AA105" s="9" t="s"/>
      <c r="AB105" s="9" t="s"/>
    </row>
    <row r="106" spans="1:28" ht="31.5" customHeight="true">
      <c r="A106" s="121" t="s"/>
      <c r="B106" s="118" t="s">
        <v>185</v>
      </c>
      <c r="C106" s="122" t="s">
        <v>186</v>
      </c>
      <c r="D106" s="106" t="s">
        <v>187</v>
      </c>
      <c r="E106" s="90" t="s">
        <v>32</v>
      </c>
      <c r="F106" s="90">
        <v>1</v>
      </c>
      <c r="G106" s="123">
        <v>13940</v>
      </c>
      <c r="H106" s="123" t="s"/>
      <c r="I106" s="124" t="s"/>
      <c r="J106" s="125" t="s"/>
      <c r="K106" s="80">
        <f>=O106*0.9</f>
        <v>23364</v>
      </c>
      <c r="L106" s="125" t="s"/>
      <c r="M106" s="41" t="s">
        <v>83</v>
      </c>
      <c r="N106" s="41" t="s">
        <v>84</v>
      </c>
      <c r="O106" s="126">
        <v>25960</v>
      </c>
      <c r="P106" s="41">
        <f>=O106*F106</f>
        <v>25960</v>
      </c>
      <c r="Q106" s="9" t="s"/>
      <c r="R106" s="9" t="s"/>
      <c r="S106" s="9" t="s"/>
      <c r="T106" s="9" t="s"/>
      <c r="U106" s="116" t="s"/>
      <c r="X106" s="127" t="s"/>
      <c r="Y106" s="124" t="s"/>
      <c r="Z106" s="124" t="s"/>
      <c r="AA106" s="9" t="s"/>
      <c r="AB106" s="9" t="s"/>
    </row>
    <row r="107" spans="1:28" ht="31.5" customHeight="true">
      <c r="A107" s="121" t="s"/>
      <c r="B107" s="129" t="s">
        <v>188</v>
      </c>
      <c r="C107" s="130" t="s"/>
      <c r="D107" s="131" t="s">
        <v>187</v>
      </c>
      <c r="E107" s="90" t="s">
        <v>32</v>
      </c>
      <c r="F107" s="90">
        <v>8</v>
      </c>
      <c r="G107" s="123" t="s"/>
      <c r="H107" s="123" t="s"/>
      <c r="I107" s="124" t="s"/>
      <c r="J107" s="125" t="s"/>
      <c r="K107" s="80">
        <f>=O107*0.9</f>
        <v>23364</v>
      </c>
      <c r="L107" s="125" t="s"/>
      <c r="M107" s="41" t="s">
        <v>83</v>
      </c>
      <c r="N107" s="41" t="s">
        <v>84</v>
      </c>
      <c r="O107" s="126">
        <v>25960</v>
      </c>
      <c r="P107" s="41">
        <f>=O107*F107</f>
        <v>207680</v>
      </c>
      <c r="Q107" s="9" t="s"/>
      <c r="R107" s="9" t="s"/>
      <c r="S107" s="9" t="s"/>
      <c r="T107" s="9" t="s"/>
      <c r="U107" s="116" t="s"/>
      <c r="X107" s="127" t="s"/>
      <c r="Y107" s="124" t="s"/>
      <c r="Z107" s="124" t="s"/>
      <c r="AA107" s="9" t="s"/>
      <c r="AB107" s="9" t="s"/>
    </row>
    <row r="108" spans="1:28" ht="31.5" customHeight="true">
      <c r="A108" s="121" t="s"/>
      <c r="B108" s="106" t="s">
        <v>189</v>
      </c>
      <c r="C108" s="122" t="s">
        <v>63</v>
      </c>
      <c r="D108" s="106" t="s">
        <v>190</v>
      </c>
      <c r="E108" s="132" t="s">
        <v>32</v>
      </c>
      <c r="F108" s="90">
        <v>7</v>
      </c>
      <c r="G108" s="123">
        <v>17220</v>
      </c>
      <c r="H108" s="123" t="s"/>
      <c r="I108" s="124" t="s"/>
      <c r="J108" s="125" t="s"/>
      <c r="K108" s="80">
        <f>=O108*0.9</f>
        <v>28659.6</v>
      </c>
      <c r="L108" s="125" t="s"/>
      <c r="M108" s="41" t="s">
        <v>83</v>
      </c>
      <c r="N108" s="41" t="s">
        <v>84</v>
      </c>
      <c r="O108" s="126">
        <v>31844</v>
      </c>
      <c r="P108" s="41">
        <f>=O108*F108</f>
        <v>222908</v>
      </c>
      <c r="Q108" s="9" t="s"/>
      <c r="R108" s="9" t="s"/>
      <c r="S108" s="9" t="s"/>
      <c r="T108" s="9" t="s"/>
      <c r="U108" s="116" t="s"/>
      <c r="X108" s="127" t="s"/>
      <c r="Y108" s="124" t="s"/>
      <c r="Z108" s="124" t="s"/>
      <c r="AA108" s="9" t="s"/>
      <c r="AB108" s="9" t="s"/>
    </row>
    <row r="109" spans="1:28" ht="31.5" customHeight="true">
      <c r="A109" s="121" t="s"/>
      <c r="B109" s="106" t="s">
        <v>191</v>
      </c>
      <c r="C109" s="122" t="s"/>
      <c r="D109" s="106" t="s">
        <v>190</v>
      </c>
      <c r="E109" s="133" t="s">
        <v>32</v>
      </c>
      <c r="F109" s="134">
        <v>1</v>
      </c>
      <c r="G109" s="135" t="s"/>
      <c r="H109" s="135" t="s"/>
      <c r="I109" s="136" t="s"/>
      <c r="J109" s="137" t="s"/>
      <c r="K109" s="80">
        <f>=O109*0.9</f>
        <v>28659.6</v>
      </c>
      <c r="L109" s="137" t="s"/>
      <c r="M109" s="41" t="s">
        <v>83</v>
      </c>
      <c r="N109" s="41" t="s">
        <v>84</v>
      </c>
      <c r="O109" s="138">
        <v>31844</v>
      </c>
      <c r="P109" s="41">
        <f>=O109*F109</f>
        <v>31844</v>
      </c>
      <c r="Q109" s="9" t="s"/>
      <c r="R109" s="9" t="s"/>
      <c r="S109" s="9" t="s"/>
      <c r="T109" s="9" t="s"/>
      <c r="U109" s="116" t="s"/>
      <c r="X109" s="127" t="s"/>
      <c r="Y109" s="136" t="s"/>
      <c r="Z109" s="136" t="s"/>
      <c r="AA109" s="10" t="s"/>
      <c r="AB109" s="10" t="s"/>
    </row>
    <row r="110" spans="1:28" ht="31.5" customHeight="true">
      <c r="A110" s="121" t="s"/>
      <c r="B110" s="106" t="s">
        <v>192</v>
      </c>
      <c r="C110" s="81" t="s">
        <v>193</v>
      </c>
      <c r="D110" s="106" t="s">
        <v>103</v>
      </c>
      <c r="E110" s="90" t="s">
        <v>32</v>
      </c>
      <c r="F110" s="90">
        <v>2</v>
      </c>
      <c r="G110" s="123">
        <v>10500</v>
      </c>
      <c r="H110" s="123" t="s"/>
      <c r="I110" s="124" t="s"/>
      <c r="J110" s="125" t="s"/>
      <c r="K110" s="80">
        <f>=O110*0.9</f>
        <v>5113.8</v>
      </c>
      <c r="L110" s="125" t="s"/>
      <c r="M110" s="41" t="s">
        <v>83</v>
      </c>
      <c r="N110" s="41" t="s">
        <v>84</v>
      </c>
      <c r="O110" s="126">
        <v>5682</v>
      </c>
      <c r="P110" s="41">
        <f>=O110*F110</f>
        <v>11364</v>
      </c>
      <c r="Q110" s="9" t="s"/>
      <c r="R110" s="9" t="s"/>
      <c r="S110" s="9" t="s"/>
      <c r="T110" s="9" t="s"/>
      <c r="U110" s="116" t="s"/>
      <c r="X110" s="127" t="s"/>
      <c r="Y110" s="124" t="s"/>
      <c r="Z110" s="124" t="s"/>
      <c r="AA110" s="9" t="s"/>
      <c r="AB110" s="9" t="s"/>
    </row>
    <row r="111" spans="1:28" ht="31.5" customHeight="true">
      <c r="A111" s="121" t="s"/>
      <c r="B111" s="106" t="s">
        <v>194</v>
      </c>
      <c r="C111" s="122" t="s"/>
      <c r="D111" s="106" t="s">
        <v>195</v>
      </c>
      <c r="E111" s="90" t="s">
        <v>32</v>
      </c>
      <c r="F111" s="90">
        <v>1</v>
      </c>
      <c r="G111" s="139" t="s"/>
      <c r="H111" s="139" t="s"/>
      <c r="I111" s="140" t="s"/>
      <c r="J111" s="141" t="s"/>
      <c r="K111" s="80">
        <f>=O111*0.9</f>
        <v>4135.5</v>
      </c>
      <c r="L111" s="141" t="s"/>
      <c r="M111" s="41" t="s">
        <v>83</v>
      </c>
      <c r="N111" s="41" t="s">
        <v>84</v>
      </c>
      <c r="O111" s="142">
        <v>4595</v>
      </c>
      <c r="P111" s="41">
        <f>=O111*F111</f>
        <v>4595</v>
      </c>
      <c r="Q111" s="9" t="s"/>
      <c r="R111" s="9" t="s"/>
      <c r="S111" s="9" t="s"/>
      <c r="T111" s="9" t="s"/>
      <c r="U111" s="116" t="s"/>
      <c r="X111" s="127" t="s"/>
      <c r="Y111" s="140" t="s"/>
      <c r="Z111" s="140" t="s"/>
      <c r="AA111" s="143" t="s"/>
      <c r="AB111" s="143" t="s"/>
    </row>
    <row r="112" spans="1:28" ht="31.5" customHeight="true">
      <c r="A112" s="121" t="s"/>
      <c r="B112" s="106" t="s">
        <v>196</v>
      </c>
      <c r="C112" s="122" t="s">
        <v>197</v>
      </c>
      <c r="D112" s="106" t="s">
        <v>198</v>
      </c>
      <c r="E112" s="90" t="s">
        <v>32</v>
      </c>
      <c r="F112" s="90">
        <v>1</v>
      </c>
      <c r="G112" s="123">
        <v>850</v>
      </c>
      <c r="H112" s="123" t="s"/>
      <c r="I112" s="124" t="s"/>
      <c r="J112" s="125" t="s"/>
      <c r="K112" s="80">
        <f>=O112*0.9</f>
        <v>941.4</v>
      </c>
      <c r="L112" s="125" t="s"/>
      <c r="M112" s="41" t="s">
        <v>83</v>
      </c>
      <c r="N112" s="41" t="s">
        <v>84</v>
      </c>
      <c r="O112" s="126">
        <v>1046</v>
      </c>
      <c r="P112" s="41">
        <f>=O112*F112</f>
        <v>1046</v>
      </c>
      <c r="Q112" s="9" t="s"/>
      <c r="R112" s="9" t="s"/>
      <c r="S112" s="9" t="s"/>
      <c r="T112" s="9" t="s"/>
      <c r="U112" s="116" t="s"/>
      <c r="X112" s="127" t="s"/>
      <c r="Y112" s="124" t="s"/>
      <c r="Z112" s="124" t="s"/>
      <c r="AA112" s="9" t="s"/>
      <c r="AB112" s="9" t="s"/>
    </row>
    <row r="113" spans="1:28" ht="31.5" customHeight="true">
      <c r="A113" s="121" t="s"/>
      <c r="B113" s="106" t="s">
        <v>199</v>
      </c>
      <c r="C113" s="122" t="s">
        <v>200</v>
      </c>
      <c r="D113" s="106" t="s">
        <v>201</v>
      </c>
      <c r="E113" s="90" t="s">
        <v>32</v>
      </c>
      <c r="F113" s="90">
        <v>2</v>
      </c>
      <c r="G113" s="123">
        <v>1020</v>
      </c>
      <c r="H113" s="123" t="s"/>
      <c r="I113" s="124" t="s"/>
      <c r="J113" s="125" t="s"/>
      <c r="K113" s="80">
        <f>=O113*0.9</f>
        <v>1276.2</v>
      </c>
      <c r="L113" s="125" t="s"/>
      <c r="M113" s="41" t="s">
        <v>83</v>
      </c>
      <c r="N113" s="41" t="s">
        <v>84</v>
      </c>
      <c r="O113" s="126">
        <v>1418</v>
      </c>
      <c r="P113" s="41">
        <f>=O113*F113</f>
        <v>2836</v>
      </c>
      <c r="Q113" s="9" t="s"/>
      <c r="R113" s="9" t="s"/>
      <c r="S113" s="9" t="s"/>
      <c r="T113" s="9" t="s"/>
      <c r="U113" s="116" t="s"/>
      <c r="X113" s="127" t="s"/>
      <c r="Y113" s="124" t="s"/>
      <c r="Z113" s="124" t="s"/>
      <c r="AA113" s="9" t="s"/>
      <c r="AB113" s="9" t="s"/>
    </row>
    <row r="114" spans="1:28" ht="31.5" customHeight="true">
      <c r="A114" s="121" t="s"/>
      <c r="B114" s="106" t="s">
        <v>202</v>
      </c>
      <c r="C114" s="122" t="s">
        <v>203</v>
      </c>
      <c r="D114" s="106" t="s">
        <v>204</v>
      </c>
      <c r="E114" s="90" t="s">
        <v>32</v>
      </c>
      <c r="F114" s="90">
        <v>1</v>
      </c>
      <c r="G114" s="123">
        <v>912</v>
      </c>
      <c r="H114" s="123" t="s"/>
      <c r="I114" s="124" t="s"/>
      <c r="J114" s="125" t="s"/>
      <c r="K114" s="80">
        <f>=O114*0.9</f>
        <v>941.4</v>
      </c>
      <c r="L114" s="125" t="s"/>
      <c r="M114" s="41" t="s">
        <v>83</v>
      </c>
      <c r="N114" s="41" t="s">
        <v>84</v>
      </c>
      <c r="O114" s="126">
        <v>1046</v>
      </c>
      <c r="P114" s="41">
        <f>=O114*F114</f>
        <v>1046</v>
      </c>
      <c r="Q114" s="9" t="s"/>
      <c r="R114" s="9" t="s"/>
      <c r="S114" s="9" t="s"/>
      <c r="T114" s="9" t="s"/>
      <c r="U114" s="116" t="s"/>
      <c r="X114" s="127" t="s"/>
      <c r="Y114" s="124" t="s"/>
      <c r="Z114" s="124" t="s"/>
      <c r="AA114" s="9" t="s"/>
      <c r="AB114" s="9" t="s"/>
    </row>
    <row r="115" spans="1:28" ht="31.5" customHeight="true">
      <c r="A115" s="121" t="s"/>
      <c r="B115" s="114" t="s">
        <v>205</v>
      </c>
      <c r="C115" s="144" t="s">
        <v>206</v>
      </c>
      <c r="D115" s="145" t="s">
        <v>207</v>
      </c>
      <c r="E115" s="90" t="s">
        <v>36</v>
      </c>
      <c r="F115" s="90">
        <v>6</v>
      </c>
      <c r="G115" s="123">
        <v>670</v>
      </c>
      <c r="H115" s="123" t="s"/>
      <c r="I115" s="124" t="s"/>
      <c r="J115" s="125" t="s"/>
      <c r="K115" s="80">
        <f>=O115*0.9</f>
        <v>1160.1</v>
      </c>
      <c r="L115" s="125" t="s"/>
      <c r="M115" s="41" t="s">
        <v>83</v>
      </c>
      <c r="N115" s="41" t="s">
        <v>84</v>
      </c>
      <c r="O115" s="126">
        <v>1289</v>
      </c>
      <c r="P115" s="41">
        <f>=O115*F115</f>
        <v>7734</v>
      </c>
      <c r="Q115" s="9" t="s"/>
      <c r="R115" s="9" t="s"/>
      <c r="S115" s="9" t="s"/>
      <c r="T115" s="9" t="s"/>
      <c r="U115" s="116" t="s"/>
      <c r="X115" s="127" t="s"/>
      <c r="Y115" s="124" t="s"/>
      <c r="Z115" s="124" t="s"/>
      <c r="AA115" s="9" t="s"/>
      <c r="AB115" s="9" t="s"/>
    </row>
    <row r="116" spans="1:28" ht="31.5" customHeight="true">
      <c r="A116" s="121" t="s"/>
      <c r="B116" s="118" t="s">
        <v>208</v>
      </c>
      <c r="C116" s="122" t="s">
        <v>209</v>
      </c>
      <c r="D116" s="106" t="s">
        <v>210</v>
      </c>
      <c r="E116" s="90" t="s">
        <v>32</v>
      </c>
      <c r="F116" s="90">
        <v>18</v>
      </c>
      <c r="G116" s="123">
        <v>197.8</v>
      </c>
      <c r="H116" s="123" t="s"/>
      <c r="I116" s="124" t="s"/>
      <c r="J116" s="125" t="s"/>
      <c r="K116" s="80">
        <f>=O116*0.9</f>
        <v>613.8</v>
      </c>
      <c r="L116" s="125" t="s"/>
      <c r="M116" s="41" t="s">
        <v>83</v>
      </c>
      <c r="N116" s="41" t="s">
        <v>84</v>
      </c>
      <c r="O116" s="126">
        <v>682</v>
      </c>
      <c r="P116" s="41">
        <f>=O116*F116</f>
        <v>12276</v>
      </c>
      <c r="Q116" s="9" t="s"/>
      <c r="R116" s="9" t="s"/>
      <c r="S116" s="9" t="s"/>
      <c r="T116" s="9" t="s"/>
      <c r="U116" s="116" t="s"/>
      <c r="X116" s="127" t="s"/>
      <c r="Y116" s="124" t="s"/>
      <c r="Z116" s="124" t="s"/>
      <c r="AA116" s="9" t="s"/>
      <c r="AB116" s="9" t="s"/>
    </row>
    <row r="117" spans="1:28" ht="31.5" customHeight="true">
      <c r="A117" s="121" t="s"/>
      <c r="B117" s="118" t="s">
        <v>211</v>
      </c>
      <c r="C117" s="122" t="s">
        <v>212</v>
      </c>
      <c r="D117" s="106" t="s">
        <v>213</v>
      </c>
      <c r="E117" s="90" t="s">
        <v>32</v>
      </c>
      <c r="F117" s="90">
        <v>12</v>
      </c>
      <c r="G117" s="123">
        <v>180</v>
      </c>
      <c r="H117" s="123" t="s"/>
      <c r="I117" s="124" t="s"/>
      <c r="J117" s="125" t="s"/>
      <c r="K117" s="80">
        <f>=O117*0.9</f>
        <v>560.7</v>
      </c>
      <c r="L117" s="125" t="s"/>
      <c r="M117" s="41" t="s">
        <v>83</v>
      </c>
      <c r="N117" s="41" t="s">
        <v>84</v>
      </c>
      <c r="O117" s="126">
        <v>623</v>
      </c>
      <c r="P117" s="41">
        <f>=O117*F117</f>
        <v>7476</v>
      </c>
      <c r="Q117" s="9" t="s"/>
      <c r="R117" s="9" t="s"/>
      <c r="S117" s="9" t="s"/>
      <c r="T117" s="9" t="s"/>
      <c r="U117" s="116" t="s"/>
      <c r="X117" s="127" t="s"/>
      <c r="Y117" s="124" t="s"/>
      <c r="Z117" s="124" t="s"/>
      <c r="AA117" s="9" t="s"/>
      <c r="AB117" s="9" t="s"/>
    </row>
    <row r="118" spans="1:28" ht="31.5" customHeight="true">
      <c r="A118" s="121" t="s"/>
      <c r="B118" s="118" t="s">
        <v>214</v>
      </c>
      <c r="C118" s="122" t="s">
        <v>215</v>
      </c>
      <c r="D118" s="106" t="s">
        <v>216</v>
      </c>
      <c r="E118" s="90" t="s">
        <v>32</v>
      </c>
      <c r="F118" s="90">
        <v>2</v>
      </c>
      <c r="G118" s="123">
        <v>1140</v>
      </c>
      <c r="H118" s="123" t="s"/>
      <c r="I118" s="124" t="s"/>
      <c r="J118" s="125" t="s"/>
      <c r="K118" s="80">
        <f>=O118*0.9</f>
        <v>1432.8</v>
      </c>
      <c r="L118" s="125" t="s"/>
      <c r="M118" s="41" t="s">
        <v>83</v>
      </c>
      <c r="N118" s="41" t="s">
        <v>84</v>
      </c>
      <c r="O118" s="126">
        <v>1592</v>
      </c>
      <c r="P118" s="41">
        <f>=O118*F118</f>
        <v>3184</v>
      </c>
      <c r="Q118" s="9" t="s"/>
      <c r="R118" s="9" t="s"/>
      <c r="S118" s="9" t="s"/>
      <c r="T118" s="9" t="s"/>
      <c r="U118" s="116" t="s"/>
      <c r="X118" s="127" t="s"/>
      <c r="Y118" s="124" t="s"/>
      <c r="Z118" s="124" t="s"/>
      <c r="AA118" s="9" t="s"/>
      <c r="AB118" s="9" t="s"/>
    </row>
    <row r="119" spans="1:28" ht="31.5" customHeight="true">
      <c r="A119" s="121" t="s"/>
      <c r="B119" s="118" t="s">
        <v>217</v>
      </c>
      <c r="C119" s="122" t="s">
        <v>218</v>
      </c>
      <c r="D119" s="106" t="s">
        <v>219</v>
      </c>
      <c r="E119" s="90" t="s">
        <v>32</v>
      </c>
      <c r="F119" s="90">
        <v>10</v>
      </c>
      <c r="G119" s="123">
        <v>964</v>
      </c>
      <c r="H119" s="123" t="s"/>
      <c r="I119" s="124" t="s"/>
      <c r="J119" s="125" t="s"/>
      <c r="K119" s="80">
        <f>=O119*0.9</f>
        <v>1160.1</v>
      </c>
      <c r="L119" s="125" t="s"/>
      <c r="M119" s="41" t="s">
        <v>83</v>
      </c>
      <c r="N119" s="41" t="s">
        <v>84</v>
      </c>
      <c r="O119" s="126">
        <v>1289</v>
      </c>
      <c r="P119" s="41">
        <f>=O119*F119</f>
        <v>12890</v>
      </c>
      <c r="Q119" s="9" t="s"/>
      <c r="R119" s="9" t="s"/>
      <c r="S119" s="9" t="s"/>
      <c r="T119" s="9" t="s"/>
      <c r="U119" s="116" t="s"/>
      <c r="X119" s="127" t="s"/>
      <c r="Y119" s="124" t="s"/>
      <c r="Z119" s="124" t="s"/>
      <c r="AA119" s="9" t="s"/>
      <c r="AB119" s="9" t="s"/>
    </row>
    <row r="120" spans="1:28" ht="31.5" customHeight="true">
      <c r="A120" s="121" t="s"/>
      <c r="B120" s="118" t="s">
        <v>220</v>
      </c>
      <c r="C120" s="122" t="s"/>
      <c r="D120" s="106" t="s">
        <v>219</v>
      </c>
      <c r="E120" s="90" t="s">
        <v>36</v>
      </c>
      <c r="F120" s="90">
        <v>4</v>
      </c>
      <c r="G120" s="123" t="s"/>
      <c r="H120" s="123" t="s"/>
      <c r="I120" s="124" t="s"/>
      <c r="J120" s="125" t="s"/>
      <c r="K120" s="80">
        <f>=O120*0.9</f>
        <v>1160.1</v>
      </c>
      <c r="L120" s="125" t="s"/>
      <c r="M120" s="41" t="s">
        <v>83</v>
      </c>
      <c r="N120" s="41" t="s">
        <v>84</v>
      </c>
      <c r="O120" s="126">
        <v>1289</v>
      </c>
      <c r="P120" s="41">
        <f>=O120*F120</f>
        <v>5156</v>
      </c>
      <c r="Q120" s="9" t="s"/>
      <c r="R120" s="9" t="s"/>
      <c r="S120" s="9" t="s"/>
      <c r="T120" s="9" t="s"/>
      <c r="U120" s="116" t="s"/>
      <c r="X120" s="127" t="s"/>
      <c r="Y120" s="124" t="s"/>
      <c r="Z120" s="124" t="s"/>
      <c r="AA120" s="9" t="s"/>
      <c r="AB120" s="9" t="s"/>
    </row>
    <row r="121" spans="1:28" ht="31.5" customHeight="true">
      <c r="A121" s="121" t="s"/>
      <c r="B121" s="118" t="s">
        <v>221</v>
      </c>
      <c r="C121" s="122" t="s"/>
      <c r="D121" s="106" t="s">
        <v>222</v>
      </c>
      <c r="E121" s="90" t="s">
        <v>32</v>
      </c>
      <c r="F121" s="90">
        <v>1</v>
      </c>
      <c r="G121" s="123" t="s"/>
      <c r="H121" s="123" t="s"/>
      <c r="I121" s="124" t="s"/>
      <c r="J121" s="125" t="s"/>
      <c r="K121" s="80">
        <f>=O121*0.9</f>
        <v>1269</v>
      </c>
      <c r="L121" s="125" t="s"/>
      <c r="M121" s="41" t="s">
        <v>83</v>
      </c>
      <c r="N121" s="41" t="s">
        <v>84</v>
      </c>
      <c r="O121" s="126">
        <v>1410</v>
      </c>
      <c r="P121" s="41">
        <f>=O121*F121</f>
        <v>1410</v>
      </c>
      <c r="Q121" s="9" t="s"/>
      <c r="R121" s="9" t="s"/>
      <c r="S121" s="9" t="s"/>
      <c r="T121" s="9" t="s"/>
      <c r="U121" s="116" t="s"/>
      <c r="X121" s="127" t="s"/>
      <c r="Y121" s="124" t="s"/>
      <c r="Z121" s="124" t="s"/>
      <c r="AA121" s="9" t="s"/>
      <c r="AB121" s="9" t="s"/>
    </row>
    <row r="122" spans="1:28" ht="31.5" customHeight="true">
      <c r="A122" s="121" t="s"/>
      <c r="B122" s="118" t="s">
        <v>223</v>
      </c>
      <c r="C122" s="122" t="s">
        <v>212</v>
      </c>
      <c r="D122" s="106" t="s">
        <v>224</v>
      </c>
      <c r="E122" s="90" t="s">
        <v>32</v>
      </c>
      <c r="F122" s="90">
        <v>1</v>
      </c>
      <c r="G122" s="123">
        <v>180</v>
      </c>
      <c r="H122" s="123" t="s"/>
      <c r="I122" s="124" t="s"/>
      <c r="J122" s="125" t="s"/>
      <c r="K122" s="80">
        <f>=O122*0.9</f>
        <v>250.2</v>
      </c>
      <c r="L122" s="125" t="s"/>
      <c r="M122" s="41" t="s">
        <v>83</v>
      </c>
      <c r="N122" s="41" t="s">
        <v>84</v>
      </c>
      <c r="O122" s="126">
        <v>278</v>
      </c>
      <c r="P122" s="41">
        <f>=O122*F122</f>
        <v>278</v>
      </c>
      <c r="Q122" s="9" t="s"/>
      <c r="R122" s="9" t="s"/>
      <c r="S122" s="9" t="s"/>
      <c r="T122" s="9" t="s"/>
      <c r="U122" s="116" t="s"/>
      <c r="X122" s="127" t="s"/>
      <c r="Y122" s="124" t="s"/>
      <c r="Z122" s="124" t="s"/>
      <c r="AA122" s="9" t="s"/>
      <c r="AB122" s="9" t="s"/>
    </row>
    <row r="123" spans="1:28" ht="31.5" customHeight="true">
      <c r="A123" s="121" t="s"/>
      <c r="B123" s="118" t="s">
        <v>225</v>
      </c>
      <c r="C123" s="122" t="s"/>
      <c r="D123" s="146" t="s">
        <v>224</v>
      </c>
      <c r="E123" s="90" t="s">
        <v>32</v>
      </c>
      <c r="F123" s="90">
        <v>1</v>
      </c>
      <c r="G123" s="123" t="s"/>
      <c r="H123" s="123" t="s"/>
      <c r="I123" s="124" t="s"/>
      <c r="J123" s="125" t="s"/>
      <c r="K123" s="80">
        <f>=O123*0.9</f>
        <v>250.2</v>
      </c>
      <c r="L123" s="125" t="s"/>
      <c r="M123" s="41" t="s">
        <v>83</v>
      </c>
      <c r="N123" s="41" t="s">
        <v>84</v>
      </c>
      <c r="O123" s="126">
        <v>278</v>
      </c>
      <c r="P123" s="41">
        <f>=O123*F123</f>
        <v>278</v>
      </c>
      <c r="Q123" s="9" t="s"/>
      <c r="R123" s="9" t="s"/>
      <c r="S123" s="9" t="s"/>
      <c r="T123" s="9" t="s"/>
      <c r="U123" s="116" t="s"/>
      <c r="X123" s="127" t="s"/>
      <c r="Y123" s="124" t="s"/>
      <c r="Z123" s="124" t="s"/>
      <c r="AA123" s="9" t="s"/>
      <c r="AB123" s="9" t="s"/>
    </row>
    <row r="124" spans="1:28" ht="31.5" customHeight="true">
      <c r="A124" s="121" t="s"/>
      <c r="B124" s="129" t="s">
        <v>226</v>
      </c>
      <c r="C124" s="130" t="s">
        <v>227</v>
      </c>
      <c r="E124" s="134" t="s">
        <v>32</v>
      </c>
      <c r="F124" s="134">
        <v>32</v>
      </c>
      <c r="G124" s="135">
        <v>223</v>
      </c>
      <c r="H124" s="135" t="s"/>
      <c r="I124" s="136" t="s"/>
      <c r="J124" s="137" t="s"/>
      <c r="K124" s="80">
        <f>=O124*0.9</f>
        <v>868.5</v>
      </c>
      <c r="L124" s="137" t="s"/>
      <c r="M124" s="38" t="s">
        <v>83</v>
      </c>
      <c r="N124" s="38" t="s">
        <v>84</v>
      </c>
      <c r="O124" s="138">
        <v>965</v>
      </c>
      <c r="P124" s="41">
        <f>=O124*F124</f>
        <v>30880</v>
      </c>
      <c r="Q124" s="9" t="s"/>
      <c r="R124" s="9" t="s"/>
      <c r="S124" s="9" t="s"/>
      <c r="T124" s="9" t="s"/>
      <c r="U124" s="116" t="s"/>
      <c r="X124" s="127" t="s"/>
      <c r="Y124" s="136" t="s"/>
      <c r="Z124" s="136" t="s"/>
      <c r="AA124" s="10" t="s"/>
      <c r="AB124" s="10" t="s"/>
    </row>
    <row r="125" spans="1:28" customHeight="false">
      <c r="A125" s="121" t="s"/>
      <c r="B125" s="147" t="s">
        <v>228</v>
      </c>
      <c r="C125" s="148" t="s"/>
      <c r="D125" s="149" t="s">
        <v>229</v>
      </c>
      <c r="E125" s="150" t="s">
        <v>32</v>
      </c>
      <c r="F125" s="90">
        <v>1</v>
      </c>
      <c r="G125" s="151" t="s"/>
      <c r="H125" s="151" t="s"/>
      <c r="I125" s="152" t="s"/>
      <c r="J125" s="153" t="s"/>
      <c r="K125" s="80">
        <f>=O125*0.9</f>
        <v>5977.8</v>
      </c>
      <c r="L125" s="153" t="s"/>
      <c r="M125" s="154" t="s">
        <v>83</v>
      </c>
      <c r="N125" s="154" t="s">
        <v>84</v>
      </c>
      <c r="O125" s="155">
        <v>6642</v>
      </c>
      <c r="P125" s="156" t="s"/>
      <c r="Q125" s="157" t="s"/>
      <c r="R125" s="158" t="s"/>
      <c r="S125" s="159" t="s"/>
      <c r="T125" s="160" t="s"/>
      <c r="U125" s="157" t="s"/>
      <c r="V125" s="161" t="s"/>
      <c r="W125" s="161" t="s"/>
      <c r="X125" s="160" t="s"/>
      <c r="Y125" s="152" t="s"/>
      <c r="Z125" s="152" t="s"/>
      <c r="AA125" s="162" t="s"/>
      <c r="AB125" s="162" t="s"/>
    </row>
    <row r="126" spans="1:28" customHeight="false">
      <c r="A126" s="121" t="s"/>
      <c r="B126" s="147" t="s">
        <v>228</v>
      </c>
      <c r="C126" s="148" t="s"/>
      <c r="D126" s="149" t="s">
        <v>230</v>
      </c>
      <c r="E126" s="150" t="s">
        <v>32</v>
      </c>
      <c r="F126" s="90">
        <v>5</v>
      </c>
      <c r="G126" s="151" t="s"/>
      <c r="H126" s="151" t="s"/>
      <c r="I126" s="152" t="s"/>
      <c r="J126" s="153" t="s"/>
      <c r="K126" s="80">
        <f>=O126*0.9</f>
        <v>5977.8</v>
      </c>
      <c r="L126" s="153" t="s"/>
      <c r="M126" s="154" t="s">
        <v>83</v>
      </c>
      <c r="N126" s="154" t="s">
        <v>84</v>
      </c>
      <c r="O126" s="155">
        <v>6642</v>
      </c>
      <c r="P126" s="163" t="s"/>
      <c r="Q126" s="157" t="s"/>
      <c r="R126" s="158" t="s"/>
      <c r="S126" s="159" t="s"/>
      <c r="T126" s="160" t="s"/>
      <c r="U126" s="157" t="s"/>
      <c r="V126" s="161" t="s"/>
      <c r="W126" s="161" t="s"/>
      <c r="X126" s="160" t="s"/>
      <c r="Y126" s="152" t="s"/>
      <c r="Z126" s="152" t="s"/>
      <c r="AA126" s="162" t="s"/>
      <c r="AB126" s="162" t="s"/>
    </row>
    <row r="127" spans="1:28" customHeight="false">
      <c r="A127" s="121" t="s"/>
      <c r="B127" s="147" t="s">
        <v>228</v>
      </c>
      <c r="C127" s="148" t="s"/>
      <c r="D127" s="149" t="s">
        <v>231</v>
      </c>
      <c r="E127" s="150" t="s">
        <v>32</v>
      </c>
      <c r="F127" s="90">
        <v>1</v>
      </c>
      <c r="G127" s="151" t="s"/>
      <c r="H127" s="151" t="s"/>
      <c r="I127" s="152" t="s"/>
      <c r="J127" s="153" t="s"/>
      <c r="K127" s="80">
        <f>=O127*0.9</f>
        <v>11191.5</v>
      </c>
      <c r="L127" s="153" t="s"/>
      <c r="M127" s="154" t="s">
        <v>83</v>
      </c>
      <c r="N127" s="154" t="s">
        <v>84</v>
      </c>
      <c r="O127" s="155">
        <v>12435</v>
      </c>
      <c r="P127" s="163" t="s"/>
      <c r="Q127" s="157" t="s"/>
      <c r="R127" s="158" t="s"/>
      <c r="S127" s="159" t="s"/>
      <c r="T127" s="160" t="s"/>
      <c r="U127" s="157" t="s"/>
      <c r="V127" s="161" t="s"/>
      <c r="W127" s="161" t="s"/>
      <c r="X127" s="160" t="s"/>
      <c r="Y127" s="152" t="s"/>
      <c r="Z127" s="152" t="s"/>
      <c r="AA127" s="162" t="s"/>
      <c r="AB127" s="162" t="s"/>
    </row>
    <row r="128" spans="1:28" customHeight="false">
      <c r="A128" s="121" t="s"/>
      <c r="B128" s="147" t="s">
        <v>228</v>
      </c>
      <c r="C128" s="148" t="s"/>
      <c r="D128" s="149" t="s">
        <v>232</v>
      </c>
      <c r="E128" s="150" t="s">
        <v>32</v>
      </c>
      <c r="F128" s="90">
        <v>3</v>
      </c>
      <c r="G128" s="151" t="s"/>
      <c r="H128" s="151" t="s"/>
      <c r="I128" s="152" t="s"/>
      <c r="J128" s="153" t="s"/>
      <c r="K128" s="80">
        <f>=O128*0.9</f>
        <v>8793.9</v>
      </c>
      <c r="L128" s="153" t="s"/>
      <c r="M128" s="154" t="s">
        <v>83</v>
      </c>
      <c r="N128" s="154" t="s">
        <v>84</v>
      </c>
      <c r="O128" s="155">
        <v>9771</v>
      </c>
      <c r="P128" s="163" t="s"/>
      <c r="Q128" s="157" t="s"/>
      <c r="R128" s="158" t="s"/>
      <c r="S128" s="159" t="s"/>
      <c r="T128" s="160" t="s"/>
      <c r="U128" s="157" t="s"/>
      <c r="V128" s="161" t="s"/>
      <c r="W128" s="161" t="s"/>
      <c r="X128" s="160" t="s"/>
      <c r="Y128" s="152" t="s"/>
      <c r="Z128" s="152" t="s"/>
      <c r="AA128" s="162" t="s"/>
      <c r="AB128" s="162" t="s"/>
    </row>
    <row r="129" spans="1:28" customHeight="false">
      <c r="A129" s="123" t="s"/>
      <c r="B129" s="164" t="s">
        <v>233</v>
      </c>
      <c r="C129" s="165" t="s"/>
      <c r="D129" s="122" t="s"/>
      <c r="E129" s="123" t="s"/>
      <c r="F129" s="123" t="s"/>
      <c r="G129" s="123" t="s"/>
      <c r="H129" s="123" t="s"/>
      <c r="I129" s="124" t="s"/>
      <c r="J129" s="125" t="s"/>
      <c r="K129" s="125" t="s"/>
      <c r="L129" s="125" t="s"/>
      <c r="M129" s="166" t="s"/>
      <c r="N129" s="124" t="s"/>
      <c r="O129" s="167" t="s"/>
      <c r="P129" s="124" t="s"/>
      <c r="Q129" s="124" t="s"/>
      <c r="R129" s="124" t="s"/>
      <c r="S129" s="168" t="s"/>
      <c r="T129" s="124" t="s"/>
      <c r="U129" s="124" t="s"/>
      <c r="V129" s="124" t="s"/>
      <c r="W129" s="124" t="s"/>
      <c r="X129" s="124" t="s"/>
      <c r="Y129" s="124" t="s"/>
      <c r="Z129" s="124" t="s"/>
      <c r="AA129" s="9" t="s"/>
      <c r="AB129" s="9" t="s"/>
    </row>
    <row r="130" spans="1:28" ht="31.5" customHeight="true">
      <c r="A130" s="123" t="s"/>
      <c r="B130" s="122" t="s">
        <v>234</v>
      </c>
      <c r="C130" s="122" t="s"/>
      <c r="D130" s="122" t="s">
        <v>235</v>
      </c>
      <c r="E130" s="134" t="s">
        <v>32</v>
      </c>
      <c r="F130" s="123">
        <v>1</v>
      </c>
      <c r="G130" s="123" t="s"/>
      <c r="H130" s="123" t="s"/>
      <c r="I130" s="124" t="s"/>
      <c r="J130" s="125" t="s"/>
      <c r="K130" s="125">
        <f>=O130*0.9</f>
        <v>40342.5</v>
      </c>
      <c r="L130" s="125" t="s"/>
      <c r="M130" s="166" t="s">
        <v>236</v>
      </c>
      <c r="N130" s="169" t="s">
        <v>237</v>
      </c>
      <c r="O130" s="167">
        <v>44825</v>
      </c>
      <c r="P130" s="124">
        <f>=O130*F130</f>
        <v>44825</v>
      </c>
      <c r="Q130" s="170" t="s">
        <v>238</v>
      </c>
      <c r="R130" s="171" t="s"/>
      <c r="S130" s="171" t="s"/>
      <c r="T130" s="172" t="s"/>
      <c r="U130" s="173" t="s">
        <v>239</v>
      </c>
      <c r="V130" s="112" t="s"/>
      <c r="W130" s="112" t="s"/>
      <c r="X130" s="174" t="s"/>
      <c r="Y130" s="124" t="s"/>
      <c r="Z130" s="124" t="s"/>
      <c r="AA130" s="9" t="s"/>
      <c r="AB130" s="9" t="s"/>
    </row>
    <row r="131" spans="1:28" ht="31.5" customHeight="true">
      <c r="A131" s="123" t="s"/>
      <c r="B131" s="122" t="s">
        <v>234</v>
      </c>
      <c r="C131" s="122" t="s"/>
      <c r="D131" s="122" t="s">
        <v>240</v>
      </c>
      <c r="E131" s="134" t="s">
        <v>32</v>
      </c>
      <c r="F131" s="123">
        <v>1</v>
      </c>
      <c r="G131" s="123" t="s"/>
      <c r="H131" s="123" t="s"/>
      <c r="I131" s="124" t="s"/>
      <c r="J131" s="125" t="s"/>
      <c r="K131" s="125">
        <f>=O131*0.9</f>
        <v>40342.5</v>
      </c>
      <c r="L131" s="125" t="s"/>
      <c r="M131" s="166" t="s">
        <v>236</v>
      </c>
      <c r="N131" s="169" t="s">
        <v>237</v>
      </c>
      <c r="O131" s="167">
        <v>44825</v>
      </c>
      <c r="P131" s="124">
        <f>=O131*F131</f>
        <v>44825</v>
      </c>
      <c r="Q131" s="175" t="s"/>
      <c r="R131" s="176" t="s"/>
      <c r="S131" s="176" t="s"/>
      <c r="T131" s="177" t="s"/>
      <c r="U131" s="178" t="s"/>
      <c r="X131" s="127" t="s"/>
      <c r="Y131" s="124" t="s"/>
      <c r="Z131" s="124" t="s"/>
      <c r="AA131" s="9" t="s"/>
      <c r="AB131" s="9" t="s"/>
    </row>
    <row r="132" spans="1:28" ht="31.5" customHeight="true">
      <c r="A132" s="123" t="s"/>
      <c r="B132" s="122" t="s">
        <v>234</v>
      </c>
      <c r="C132" s="122" t="s"/>
      <c r="D132" s="122" t="s">
        <v>241</v>
      </c>
      <c r="E132" s="134" t="s">
        <v>32</v>
      </c>
      <c r="F132" s="123">
        <v>2</v>
      </c>
      <c r="G132" s="123" t="s"/>
      <c r="H132" s="123" t="s"/>
      <c r="I132" s="124" t="s"/>
      <c r="J132" s="125" t="s"/>
      <c r="K132" s="125">
        <f>=O132*0.9</f>
        <v>25120.8</v>
      </c>
      <c r="L132" s="125" t="s"/>
      <c r="M132" s="166" t="s">
        <v>236</v>
      </c>
      <c r="N132" s="169" t="s">
        <v>237</v>
      </c>
      <c r="O132" s="167">
        <v>27912</v>
      </c>
      <c r="P132" s="124">
        <f>=O132*F132</f>
        <v>55824</v>
      </c>
      <c r="Q132" s="175" t="s"/>
      <c r="R132" s="176" t="s"/>
      <c r="S132" s="176" t="s"/>
      <c r="T132" s="177" t="s"/>
      <c r="U132" s="178" t="s"/>
      <c r="X132" s="127" t="s"/>
      <c r="Y132" s="124" t="s"/>
      <c r="Z132" s="124" t="s"/>
      <c r="AA132" s="9" t="s"/>
      <c r="AB132" s="9" t="s"/>
    </row>
    <row r="133" spans="1:28" ht="31.5" customHeight="true">
      <c r="A133" s="123" t="s"/>
      <c r="B133" s="122" t="s">
        <v>234</v>
      </c>
      <c r="C133" s="122" t="s"/>
      <c r="D133" s="122" t="s">
        <v>242</v>
      </c>
      <c r="E133" s="134" t="s">
        <v>32</v>
      </c>
      <c r="F133" s="123">
        <v>2</v>
      </c>
      <c r="G133" s="123" t="s"/>
      <c r="H133" s="123" t="s"/>
      <c r="I133" s="124" t="s"/>
      <c r="J133" s="125" t="s"/>
      <c r="K133" s="125">
        <f>=O133*0.9</f>
        <v>79090.2</v>
      </c>
      <c r="L133" s="125" t="s"/>
      <c r="M133" s="166" t="s">
        <v>236</v>
      </c>
      <c r="N133" s="169" t="s">
        <v>237</v>
      </c>
      <c r="O133" s="167">
        <v>87878</v>
      </c>
      <c r="P133" s="124">
        <f>=O133*F133</f>
        <v>175756</v>
      </c>
      <c r="Q133" s="175" t="s"/>
      <c r="R133" s="176" t="s"/>
      <c r="S133" s="176" t="s"/>
      <c r="T133" s="177" t="s"/>
      <c r="U133" s="178" t="s"/>
      <c r="X133" s="127" t="s"/>
      <c r="Y133" s="124" t="s"/>
      <c r="Z133" s="124" t="s"/>
      <c r="AA133" s="9" t="s"/>
      <c r="AB133" s="9" t="s"/>
    </row>
    <row r="134" spans="1:28" ht="31.5" customHeight="true">
      <c r="A134" s="123" t="s"/>
      <c r="B134" s="122" t="s">
        <v>243</v>
      </c>
      <c r="C134" s="122" t="s"/>
      <c r="D134" s="122" t="s">
        <v>244</v>
      </c>
      <c r="E134" s="134" t="s">
        <v>32</v>
      </c>
      <c r="F134" s="123">
        <v>1</v>
      </c>
      <c r="G134" s="123" t="s"/>
      <c r="H134" s="123" t="s"/>
      <c r="I134" s="124" t="s"/>
      <c r="J134" s="125" t="s"/>
      <c r="K134" s="125">
        <f>=O134*0.9</f>
        <v>21069.9</v>
      </c>
      <c r="L134" s="125" t="s"/>
      <c r="M134" s="166" t="s">
        <v>236</v>
      </c>
      <c r="N134" s="169" t="s">
        <v>237</v>
      </c>
      <c r="O134" s="167">
        <v>23411</v>
      </c>
      <c r="P134" s="124" t="e">
        <f>=O134*#REF!</f>
        <v>#REF!</v>
      </c>
      <c r="Q134" s="175" t="s"/>
      <c r="R134" s="176" t="s"/>
      <c r="S134" s="176" t="s"/>
      <c r="T134" s="177" t="s"/>
      <c r="U134" s="178" t="s"/>
      <c r="X134" s="127" t="s"/>
      <c r="Y134" s="124" t="s"/>
      <c r="Z134" s="124" t="s"/>
      <c r="AA134" s="9" t="s"/>
      <c r="AB134" s="9" t="s"/>
    </row>
    <row r="135" spans="1:28" ht="31.5" customHeight="true">
      <c r="A135" s="123" t="s"/>
      <c r="B135" s="122" t="s">
        <v>245</v>
      </c>
      <c r="C135" s="122" t="s"/>
      <c r="D135" s="122" t="s">
        <v>246</v>
      </c>
      <c r="E135" s="134" t="s">
        <v>32</v>
      </c>
      <c r="F135" s="123">
        <v>1</v>
      </c>
      <c r="G135" s="123" t="s"/>
      <c r="H135" s="123" t="s"/>
      <c r="I135" s="124" t="s"/>
      <c r="J135" s="125" t="s"/>
      <c r="K135" s="125">
        <f>=O135*0.9</f>
        <v>5188.5</v>
      </c>
      <c r="L135" s="125" t="s"/>
      <c r="M135" s="166" t="s">
        <v>236</v>
      </c>
      <c r="N135" s="169" t="s">
        <v>237</v>
      </c>
      <c r="O135" s="167">
        <v>5765</v>
      </c>
      <c r="P135" s="124">
        <f>=O135*F135</f>
        <v>5765</v>
      </c>
      <c r="Q135" s="175" t="s"/>
      <c r="R135" s="176" t="s"/>
      <c r="S135" s="176" t="s"/>
      <c r="T135" s="177" t="s"/>
      <c r="U135" s="178" t="s"/>
      <c r="X135" s="127" t="s"/>
      <c r="Y135" s="124" t="s"/>
      <c r="Z135" s="124" t="s"/>
      <c r="AA135" s="9" t="s"/>
      <c r="AB135" s="9" t="s"/>
    </row>
    <row r="136" spans="1:28" ht="31.5" customHeight="true">
      <c r="A136" s="123" t="s"/>
      <c r="B136" s="122" t="s">
        <v>247</v>
      </c>
      <c r="C136" s="122" t="s"/>
      <c r="D136" s="122" t="s">
        <v>248</v>
      </c>
      <c r="E136" s="134" t="s">
        <v>32</v>
      </c>
      <c r="F136" s="123">
        <v>6</v>
      </c>
      <c r="G136" s="123" t="s"/>
      <c r="H136" s="123" t="s"/>
      <c r="I136" s="124" t="s"/>
      <c r="J136" s="125" t="s"/>
      <c r="K136" s="125">
        <f>=O136*0.9</f>
        <v>0</v>
      </c>
      <c r="L136" s="125" t="s"/>
      <c r="M136" s="166" t="s">
        <v>236</v>
      </c>
      <c r="N136" s="169" t="s">
        <v>237</v>
      </c>
      <c r="O136" s="167" t="s"/>
      <c r="P136" s="124">
        <f>=O136*F136</f>
        <v>0</v>
      </c>
      <c r="Q136" s="175" t="s"/>
      <c r="R136" s="176" t="s"/>
      <c r="S136" s="176" t="s"/>
      <c r="T136" s="177" t="s"/>
      <c r="U136" s="178" t="s"/>
      <c r="X136" s="127" t="s"/>
      <c r="Y136" s="124" t="s"/>
      <c r="Z136" s="124" t="s"/>
      <c r="AA136" s="9" t="s"/>
      <c r="AB136" s="9" t="s"/>
    </row>
    <row r="137" spans="1:28" ht="31.5" customHeight="true">
      <c r="A137" s="123" t="s"/>
      <c r="B137" s="122" t="s">
        <v>249</v>
      </c>
      <c r="C137" s="122" t="s"/>
      <c r="D137" s="122" t="s">
        <v>250</v>
      </c>
      <c r="E137" s="134" t="s">
        <v>32</v>
      </c>
      <c r="F137" s="123">
        <v>18</v>
      </c>
      <c r="G137" s="123" t="s"/>
      <c r="H137" s="123" t="s"/>
      <c r="I137" s="124" t="s"/>
      <c r="J137" s="125" t="s"/>
      <c r="K137" s="125">
        <f>=O137*0.9</f>
        <v>2867.4</v>
      </c>
      <c r="L137" s="125" t="s"/>
      <c r="M137" s="166" t="s">
        <v>236</v>
      </c>
      <c r="N137" s="169" t="s">
        <v>237</v>
      </c>
      <c r="O137" s="167">
        <v>3186</v>
      </c>
      <c r="P137" s="124">
        <f>=O137*F137</f>
        <v>57348</v>
      </c>
      <c r="Q137" s="175" t="s"/>
      <c r="R137" s="176" t="s"/>
      <c r="S137" s="176" t="s"/>
      <c r="T137" s="177" t="s"/>
      <c r="U137" s="178" t="s"/>
      <c r="X137" s="127" t="s"/>
      <c r="Y137" s="124" t="s"/>
      <c r="Z137" s="124" t="s"/>
      <c r="AA137" s="9" t="s"/>
      <c r="AB137" s="9" t="s"/>
    </row>
    <row r="138" spans="1:28" ht="31.5" customHeight="true">
      <c r="A138" s="123" t="s"/>
      <c r="B138" s="122" t="s">
        <v>249</v>
      </c>
      <c r="C138" s="122" t="s"/>
      <c r="D138" s="122" t="s">
        <v>251</v>
      </c>
      <c r="E138" s="134" t="s">
        <v>32</v>
      </c>
      <c r="F138" s="123">
        <v>12</v>
      </c>
      <c r="G138" s="123" t="s"/>
      <c r="H138" s="123" t="s"/>
      <c r="I138" s="124" t="s"/>
      <c r="J138" s="125" t="s"/>
      <c r="K138" s="125">
        <f>=O138*0.9</f>
        <v>2368.8</v>
      </c>
      <c r="L138" s="125" t="s"/>
      <c r="M138" s="166" t="s">
        <v>236</v>
      </c>
      <c r="N138" s="169" t="s">
        <v>237</v>
      </c>
      <c r="O138" s="167">
        <v>2632</v>
      </c>
      <c r="P138" s="124">
        <f>=O138*F138</f>
        <v>31584</v>
      </c>
      <c r="Q138" s="175" t="s"/>
      <c r="R138" s="176" t="s"/>
      <c r="S138" s="176" t="s"/>
      <c r="T138" s="177" t="s"/>
      <c r="U138" s="178" t="s"/>
      <c r="X138" s="127" t="s"/>
      <c r="Y138" s="124" t="s"/>
      <c r="Z138" s="124" t="s"/>
      <c r="AA138" s="9" t="s"/>
      <c r="AB138" s="9" t="s"/>
    </row>
    <row r="139" spans="1:28" ht="31.5" customHeight="true">
      <c r="A139" s="123" t="s"/>
      <c r="B139" s="122" t="s">
        <v>249</v>
      </c>
      <c r="C139" s="122" t="s"/>
      <c r="D139" s="122" t="s">
        <v>252</v>
      </c>
      <c r="E139" s="134" t="s">
        <v>32</v>
      </c>
      <c r="F139" s="123">
        <v>2</v>
      </c>
      <c r="G139" s="123" t="s"/>
      <c r="H139" s="123" t="s"/>
      <c r="I139" s="124" t="s"/>
      <c r="J139" s="125" t="s"/>
      <c r="K139" s="125">
        <f>=O139*0.9</f>
        <v>2801.7</v>
      </c>
      <c r="L139" s="125" t="s"/>
      <c r="M139" s="166" t="s">
        <v>236</v>
      </c>
      <c r="N139" s="169" t="s">
        <v>237</v>
      </c>
      <c r="O139" s="167">
        <v>3113</v>
      </c>
      <c r="P139" s="124">
        <f>=O139*F139</f>
        <v>6226</v>
      </c>
      <c r="Q139" s="175" t="s"/>
      <c r="R139" s="176" t="s"/>
      <c r="S139" s="176" t="s"/>
      <c r="T139" s="177" t="s"/>
      <c r="U139" s="178" t="s"/>
      <c r="X139" s="127" t="s"/>
      <c r="Y139" s="124" t="s"/>
      <c r="Z139" s="124" t="s"/>
      <c r="AA139" s="9" t="s"/>
      <c r="AB139" s="9" t="s"/>
    </row>
    <row r="140" spans="1:28" ht="31.5" customHeight="true">
      <c r="A140" s="123" t="s"/>
      <c r="B140" s="122" t="s">
        <v>249</v>
      </c>
      <c r="C140" s="122" t="s"/>
      <c r="D140" s="122" t="s">
        <v>253</v>
      </c>
      <c r="E140" s="134" t="s">
        <v>32</v>
      </c>
      <c r="F140" s="123">
        <v>10</v>
      </c>
      <c r="G140" s="123" t="s"/>
      <c r="H140" s="123" t="s"/>
      <c r="I140" s="124" t="s"/>
      <c r="J140" s="125" t="s"/>
      <c r="K140" s="125">
        <f>=O140*0.9</f>
        <v>2282.4</v>
      </c>
      <c r="L140" s="125" t="s"/>
      <c r="M140" s="166" t="s">
        <v>236</v>
      </c>
      <c r="N140" s="169" t="s">
        <v>237</v>
      </c>
      <c r="O140" s="167">
        <v>2536</v>
      </c>
      <c r="P140" s="124">
        <f>=O140*F140</f>
        <v>25360</v>
      </c>
      <c r="Q140" s="175" t="s"/>
      <c r="R140" s="176" t="s"/>
      <c r="S140" s="176" t="s"/>
      <c r="T140" s="177" t="s"/>
      <c r="U140" s="178" t="s"/>
      <c r="X140" s="127" t="s"/>
      <c r="Y140" s="124" t="s"/>
      <c r="Z140" s="124" t="s"/>
      <c r="AA140" s="9" t="s"/>
      <c r="AB140" s="9" t="s"/>
    </row>
    <row r="141" spans="1:28" ht="31.5" customHeight="true">
      <c r="A141" s="123" t="s"/>
      <c r="B141" s="122" t="s">
        <v>247</v>
      </c>
      <c r="C141" s="122" t="s"/>
      <c r="D141" s="122" t="s">
        <v>254</v>
      </c>
      <c r="E141" s="134" t="s">
        <v>32</v>
      </c>
      <c r="F141" s="123">
        <v>8</v>
      </c>
      <c r="G141" s="123" t="s"/>
      <c r="H141" s="123" t="s"/>
      <c r="I141" s="124" t="s"/>
      <c r="J141" s="125" t="s"/>
      <c r="K141" s="125">
        <f>=O141*0.9</f>
        <v>2340</v>
      </c>
      <c r="L141" s="125" t="s"/>
      <c r="M141" s="166" t="s">
        <v>236</v>
      </c>
      <c r="N141" s="169" t="s">
        <v>237</v>
      </c>
      <c r="O141" s="179">
        <v>2600</v>
      </c>
      <c r="P141" s="124">
        <f>=O141*F141</f>
        <v>20800</v>
      </c>
      <c r="Q141" s="180" t="s"/>
      <c r="R141" s="181" t="s"/>
      <c r="S141" s="181" t="s"/>
      <c r="T141" s="182" t="s"/>
      <c r="U141" s="183" t="s"/>
      <c r="V141" s="184" t="s"/>
      <c r="W141" s="184" t="s"/>
      <c r="X141" s="185" t="s"/>
      <c r="Y141" s="124" t="s"/>
      <c r="Z141" s="124" t="s"/>
      <c r="AA141" s="9" t="s"/>
      <c r="AB141" s="9" t="s"/>
    </row>
    <row r="142" spans="1:28" customHeight="false">
      <c r="A142" s="123" t="s"/>
      <c r="B142" s="122" t="s">
        <v>234</v>
      </c>
      <c r="C142" s="122" t="s"/>
      <c r="D142" s="122" t="s">
        <v>255</v>
      </c>
      <c r="E142" s="134" t="s">
        <v>32</v>
      </c>
      <c r="F142" s="123">
        <v>1</v>
      </c>
      <c r="G142" s="123" t="s"/>
      <c r="H142" s="123" t="s"/>
      <c r="I142" s="124" t="s"/>
      <c r="J142" s="125" t="s"/>
      <c r="K142" s="125">
        <f>=O142*0.9</f>
        <v>111662.1</v>
      </c>
      <c r="L142" s="125" t="s"/>
      <c r="M142" s="166" t="s">
        <v>236</v>
      </c>
      <c r="N142" s="169" t="s">
        <v>237</v>
      </c>
      <c r="O142" s="167">
        <v>124069</v>
      </c>
      <c r="P142" s="124">
        <f>=O142*F142</f>
        <v>124069</v>
      </c>
      <c r="Q142" s="124" t="s"/>
      <c r="R142" s="124" t="s"/>
      <c r="S142" s="168" t="s"/>
      <c r="T142" s="124" t="s"/>
      <c r="U142" s="124" t="s"/>
      <c r="V142" s="124" t="s"/>
      <c r="W142" s="124" t="s"/>
      <c r="X142" s="124" t="s"/>
      <c r="Y142" s="124" t="s"/>
      <c r="Z142" s="124" t="s"/>
      <c r="AA142" s="9" t="s"/>
      <c r="AB142" s="9" t="s"/>
    </row>
    <row r="143" spans="1:28" customHeight="false">
      <c r="A143" s="123" t="s"/>
      <c r="B143" s="122" t="s">
        <v>234</v>
      </c>
      <c r="C143" s="122" t="s"/>
      <c r="D143" s="122" t="s">
        <v>256</v>
      </c>
      <c r="E143" s="134" t="s">
        <v>32</v>
      </c>
      <c r="F143" s="123">
        <v>1</v>
      </c>
      <c r="G143" s="123" t="s"/>
      <c r="H143" s="123" t="s"/>
      <c r="I143" s="124" t="s"/>
      <c r="J143" s="125" t="s"/>
      <c r="K143" s="125">
        <f>=O143*0.9</f>
        <v>45968.4</v>
      </c>
      <c r="L143" s="125" t="s"/>
      <c r="M143" s="166" t="s">
        <v>236</v>
      </c>
      <c r="N143" s="169" t="s">
        <v>237</v>
      </c>
      <c r="O143" s="167">
        <v>51076</v>
      </c>
      <c r="P143" s="124">
        <f>=O143*F143</f>
        <v>51076</v>
      </c>
      <c r="Q143" s="124" t="s"/>
      <c r="R143" s="124" t="s"/>
      <c r="S143" s="168" t="s"/>
      <c r="T143" s="124" t="s"/>
      <c r="U143" s="124" t="s"/>
      <c r="V143" s="124" t="s"/>
      <c r="W143" s="124" t="s"/>
      <c r="X143" s="124" t="s"/>
      <c r="Y143" s="124" t="s"/>
      <c r="Z143" s="124" t="s"/>
      <c r="AA143" s="9" t="s"/>
      <c r="AB143" s="9" t="s"/>
    </row>
    <row r="144" spans="1:28" customHeight="false">
      <c r="A144" s="123" t="s"/>
      <c r="B144" s="90" t="s"/>
      <c r="C144" s="122" t="s"/>
      <c r="D144" s="122" t="s"/>
      <c r="E144" s="123" t="s"/>
      <c r="F144" s="123" t="s"/>
      <c r="G144" s="123" t="s"/>
      <c r="H144" s="123" t="s"/>
      <c r="I144" s="124" t="s"/>
      <c r="J144" s="125" t="s"/>
      <c r="K144" s="125" t="s"/>
      <c r="L144" s="125" t="s"/>
      <c r="M144" s="166" t="s"/>
      <c r="N144" s="124" t="s"/>
      <c r="O144" s="167" t="s"/>
      <c r="P144" s="124" t="s"/>
      <c r="Q144" s="124" t="s"/>
      <c r="R144" s="124" t="s"/>
      <c r="S144" s="168" t="s"/>
      <c r="T144" s="124" t="s"/>
      <c r="U144" s="124" t="s"/>
      <c r="V144" s="124" t="s"/>
      <c r="W144" s="124" t="s"/>
      <c r="X144" s="124" t="s"/>
      <c r="Y144" s="124" t="s"/>
      <c r="Z144" s="124" t="s"/>
      <c r="AA144" s="9" t="s"/>
      <c r="AB144" s="9" t="s"/>
    </row>
    <row r="145" spans="1:28" customHeight="false">
      <c r="A145" s="123" t="s"/>
      <c r="B145" s="122" t="s"/>
      <c r="C145" s="122" t="s"/>
      <c r="D145" s="122" t="s"/>
      <c r="E145" s="123" t="s"/>
      <c r="F145" s="123" t="s"/>
      <c r="G145" s="123" t="s"/>
      <c r="H145" s="123" t="s"/>
      <c r="I145" s="124" t="s"/>
      <c r="J145" s="125" t="s"/>
      <c r="K145" s="125" t="s"/>
      <c r="L145" s="125" t="s"/>
      <c r="M145" s="166" t="s"/>
      <c r="N145" s="124" t="s"/>
      <c r="O145" s="167" t="s"/>
      <c r="P145" s="124" t="s"/>
      <c r="Q145" s="124" t="s"/>
      <c r="R145" s="124" t="s"/>
      <c r="S145" s="168" t="s"/>
      <c r="T145" s="124" t="s"/>
      <c r="U145" s="124" t="s"/>
      <c r="V145" s="124" t="s"/>
      <c r="W145" s="124" t="s"/>
      <c r="X145" s="124" t="s"/>
      <c r="Y145" s="124" t="s"/>
      <c r="Z145" s="124" t="s"/>
      <c r="AA145" s="9" t="s"/>
      <c r="AB145" s="9" t="s"/>
    </row>
    <row r="146" spans="1:28" customHeight="false">
      <c r="A146" s="123" t="s"/>
      <c r="B146" s="122" t="s"/>
      <c r="C146" s="122" t="s"/>
      <c r="D146" s="122" t="s"/>
      <c r="E146" s="123" t="s"/>
      <c r="F146" s="123" t="s"/>
      <c r="G146" s="123" t="s"/>
      <c r="H146" s="123" t="s"/>
      <c r="I146" s="124" t="s"/>
      <c r="J146" s="125" t="s"/>
      <c r="K146" s="125" t="s"/>
      <c r="L146" s="125" t="s"/>
      <c r="M146" s="166" t="s"/>
      <c r="N146" s="124" t="s"/>
      <c r="O146" s="167" t="s"/>
      <c r="P146" s="124" t="s"/>
      <c r="Q146" s="124" t="s"/>
      <c r="R146" s="124" t="s"/>
      <c r="S146" s="168" t="s"/>
      <c r="T146" s="124" t="s"/>
      <c r="U146" s="124" t="s"/>
      <c r="V146" s="124" t="s"/>
      <c r="W146" s="124" t="s"/>
      <c r="X146" s="124" t="s"/>
      <c r="Y146" s="124" t="s"/>
      <c r="Z146" s="124" t="s"/>
      <c r="AA146" s="9" t="s"/>
      <c r="AB146" s="9" t="s"/>
    </row>
    <row r="147" spans="1:28" customHeight="false">
      <c r="A147" s="123" t="s"/>
      <c r="B147" s="122" t="s"/>
      <c r="C147" s="122" t="s"/>
      <c r="D147" s="122" t="s"/>
      <c r="E147" s="123" t="s"/>
      <c r="F147" s="123" t="s"/>
      <c r="G147" s="123" t="s"/>
      <c r="H147" s="123" t="s"/>
      <c r="I147" s="124" t="s"/>
      <c r="J147" s="125" t="s"/>
      <c r="K147" s="125" t="s"/>
      <c r="L147" s="125" t="s"/>
      <c r="M147" s="166" t="s"/>
      <c r="N147" s="124" t="s"/>
      <c r="O147" s="167" t="s"/>
      <c r="P147" s="124" t="s"/>
      <c r="Q147" s="124" t="s"/>
      <c r="R147" s="124" t="s"/>
      <c r="S147" s="168" t="s"/>
      <c r="T147" s="124" t="s"/>
      <c r="U147" s="124" t="s"/>
      <c r="V147" s="124" t="s"/>
      <c r="W147" s="124" t="s"/>
      <c r="X147" s="124" t="s"/>
      <c r="Y147" s="124" t="s"/>
      <c r="Z147" s="124" t="s"/>
      <c r="AA147" s="9" t="s"/>
      <c r="AB147" s="9" t="s"/>
    </row>
    <row r="148" spans="1:28" customHeight="false">
      <c r="A148" s="123" t="s"/>
      <c r="B148" s="122" t="s"/>
      <c r="C148" s="122" t="s"/>
      <c r="D148" s="122" t="s"/>
      <c r="E148" s="123" t="s"/>
      <c r="F148" s="123" t="s"/>
      <c r="G148" s="123" t="s"/>
      <c r="H148" s="123" t="s"/>
      <c r="I148" s="124" t="s"/>
      <c r="J148" s="125" t="s"/>
      <c r="K148" s="125" t="s"/>
      <c r="L148" s="125" t="s"/>
      <c r="M148" s="166" t="s"/>
      <c r="N148" s="124" t="s"/>
      <c r="O148" s="167" t="s"/>
      <c r="P148" s="124" t="s"/>
      <c r="Q148" s="124" t="s"/>
      <c r="R148" s="124" t="s"/>
      <c r="S148" s="168" t="s"/>
      <c r="T148" s="124" t="s"/>
      <c r="U148" s="124" t="s"/>
      <c r="V148" s="124" t="s"/>
      <c r="W148" s="124" t="s"/>
      <c r="X148" s="124" t="s"/>
      <c r="Y148" s="124" t="s"/>
      <c r="Z148" s="124" t="s"/>
      <c r="AA148" s="9" t="s"/>
      <c r="AB148" s="9" t="s"/>
    </row>
    <row r="149" spans="1:28" customHeight="false">
      <c r="A149" s="123" t="s"/>
      <c r="B149" s="122" t="s"/>
      <c r="C149" s="122" t="s"/>
      <c r="D149" s="122" t="s"/>
      <c r="E149" s="123" t="s"/>
      <c r="F149" s="123" t="s"/>
      <c r="G149" s="123" t="s"/>
      <c r="H149" s="123" t="s"/>
      <c r="I149" s="124" t="s"/>
      <c r="J149" s="125" t="s"/>
      <c r="K149" s="125" t="s"/>
      <c r="L149" s="125" t="s"/>
      <c r="M149" s="166" t="s"/>
      <c r="N149" s="124" t="s"/>
      <c r="O149" s="167" t="s"/>
      <c r="P149" s="124" t="s"/>
      <c r="Q149" s="124" t="s"/>
      <c r="R149" s="124" t="s"/>
      <c r="S149" s="168" t="s"/>
      <c r="T149" s="124" t="s"/>
      <c r="U149" s="124" t="s"/>
      <c r="V149" s="124" t="s"/>
      <c r="W149" s="124" t="s"/>
      <c r="X149" s="124" t="s"/>
      <c r="Y149" s="124" t="s"/>
      <c r="Z149" s="124" t="s"/>
      <c r="AA149" s="9" t="s"/>
      <c r="AB149" s="9" t="s"/>
    </row>
    <row r="150" spans="1:28" customHeight="false">
      <c r="A150" s="123" t="s"/>
      <c r="B150" s="122" t="s"/>
      <c r="C150" s="122" t="s"/>
      <c r="D150" s="122" t="s"/>
      <c r="E150" s="123" t="s"/>
      <c r="F150" s="123" t="s"/>
      <c r="G150" s="123" t="s"/>
      <c r="H150" s="123" t="s"/>
      <c r="I150" s="124" t="s"/>
      <c r="J150" s="125" t="s"/>
      <c r="K150" s="125" t="s"/>
      <c r="L150" s="125" t="s"/>
      <c r="M150" s="166" t="s"/>
      <c r="N150" s="124" t="s"/>
      <c r="O150" s="167" t="s"/>
      <c r="P150" s="124" t="s"/>
      <c r="Q150" s="124" t="s"/>
      <c r="R150" s="124" t="s"/>
      <c r="S150" s="168" t="s"/>
      <c r="T150" s="124" t="s"/>
      <c r="U150" s="124" t="s"/>
      <c r="V150" s="124" t="s"/>
      <c r="W150" s="124" t="s"/>
      <c r="X150" s="124" t="s"/>
      <c r="Y150" s="124" t="s"/>
      <c r="Z150" s="124" t="s"/>
      <c r="AA150" s="9" t="s"/>
      <c r="AB150" s="9" t="s"/>
    </row>
    <row r="151" spans="1:28" customHeight="false">
      <c r="A151" s="123" t="s"/>
      <c r="B151" s="122" t="s"/>
      <c r="C151" s="122" t="s"/>
      <c r="D151" s="122" t="s"/>
      <c r="E151" s="123" t="s"/>
      <c r="F151" s="123" t="s"/>
      <c r="G151" s="123" t="s"/>
      <c r="H151" s="123" t="s"/>
      <c r="I151" s="124" t="s"/>
      <c r="J151" s="125" t="s"/>
      <c r="K151" s="125" t="s"/>
      <c r="L151" s="125" t="s"/>
      <c r="M151" s="166" t="s"/>
      <c r="N151" s="124" t="s"/>
      <c r="O151" s="167" t="s"/>
      <c r="P151" s="124" t="s"/>
      <c r="Q151" s="124" t="s"/>
      <c r="R151" s="124" t="s"/>
      <c r="S151" s="168" t="s"/>
      <c r="T151" s="124" t="s"/>
      <c r="U151" s="124" t="s"/>
      <c r="V151" s="124" t="s"/>
      <c r="W151" s="124" t="s"/>
      <c r="X151" s="124" t="s"/>
      <c r="Y151" s="124" t="s"/>
      <c r="Z151" s="124" t="s"/>
      <c r="AA151" s="9" t="s"/>
      <c r="AB151" s="9" t="s"/>
    </row>
    <row r="152" spans="1:28" customHeight="false">
      <c r="A152" s="123" t="s"/>
      <c r="B152" s="122" t="s"/>
      <c r="C152" s="122" t="s"/>
      <c r="D152" s="122" t="s"/>
      <c r="E152" s="123" t="s"/>
      <c r="F152" s="123" t="s"/>
      <c r="G152" s="123" t="s"/>
      <c r="H152" s="123" t="s"/>
      <c r="I152" s="124" t="s"/>
      <c r="J152" s="125" t="s"/>
      <c r="K152" s="125" t="s"/>
      <c r="L152" s="125" t="s"/>
      <c r="M152" s="166" t="s"/>
      <c r="N152" s="124" t="s"/>
      <c r="O152" s="167" t="s"/>
      <c r="P152" s="124" t="s"/>
      <c r="Q152" s="124" t="s"/>
      <c r="R152" s="124" t="s"/>
      <c r="S152" s="168" t="s"/>
      <c r="T152" s="124" t="s"/>
      <c r="U152" s="124" t="s"/>
      <c r="V152" s="124" t="s"/>
      <c r="W152" s="124" t="s"/>
      <c r="X152" s="124" t="s"/>
      <c r="Y152" s="124" t="s"/>
      <c r="Z152" s="124" t="s"/>
      <c r="AA152" s="9" t="s"/>
      <c r="AB152" s="9" t="s"/>
    </row>
    <row r="153" spans="1:28" customHeight="false">
      <c r="A153" s="123" t="s"/>
      <c r="B153" s="122" t="s"/>
      <c r="C153" s="122" t="s"/>
      <c r="D153" s="122" t="s"/>
      <c r="E153" s="123" t="s"/>
      <c r="F153" s="123" t="s"/>
      <c r="G153" s="123" t="s"/>
      <c r="H153" s="123" t="s"/>
      <c r="I153" s="124" t="s"/>
      <c r="J153" s="125" t="s"/>
      <c r="K153" s="125" t="s"/>
      <c r="L153" s="125" t="s"/>
      <c r="M153" s="166" t="s"/>
      <c r="N153" s="124" t="s"/>
      <c r="O153" s="167" t="s"/>
      <c r="P153" s="124" t="s"/>
      <c r="Q153" s="124" t="s"/>
      <c r="R153" s="124" t="s"/>
      <c r="S153" s="168" t="s"/>
      <c r="T153" s="124" t="s"/>
      <c r="U153" s="124" t="s"/>
      <c r="V153" s="124" t="s"/>
      <c r="W153" s="124" t="s"/>
      <c r="X153" s="124" t="s"/>
      <c r="Y153" s="124" t="s"/>
      <c r="Z153" s="124" t="s"/>
      <c r="AA153" s="9" t="s"/>
      <c r="AB153" s="9" t="s"/>
    </row>
    <row r="154" spans="1:28" customHeight="false">
      <c r="A154" s="123" t="s"/>
      <c r="B154" s="122" t="s"/>
      <c r="C154" s="122" t="s"/>
      <c r="D154" s="122" t="s"/>
      <c r="E154" s="123" t="s"/>
      <c r="F154" s="123" t="s"/>
      <c r="G154" s="123" t="s"/>
      <c r="H154" s="123" t="s"/>
      <c r="I154" s="124" t="s"/>
      <c r="J154" s="125" t="s"/>
      <c r="K154" s="125" t="s"/>
      <c r="L154" s="125" t="s"/>
      <c r="M154" s="166" t="s"/>
      <c r="N154" s="124" t="s"/>
      <c r="O154" s="167" t="s"/>
      <c r="P154" s="124" t="s"/>
      <c r="Q154" s="124" t="s"/>
      <c r="R154" s="124" t="s"/>
      <c r="S154" s="168" t="s"/>
      <c r="T154" s="124" t="s"/>
      <c r="U154" s="124" t="s"/>
      <c r="V154" s="124" t="s"/>
      <c r="W154" s="124" t="s"/>
      <c r="X154" s="124" t="s"/>
      <c r="Y154" s="124" t="s"/>
      <c r="Z154" s="124" t="s"/>
      <c r="AA154" s="9" t="s"/>
      <c r="AB154" s="9" t="s"/>
    </row>
    <row r="155" spans="1:28" customHeight="false">
      <c r="A155" s="123" t="s"/>
      <c r="B155" s="122" t="s"/>
      <c r="C155" s="122" t="s"/>
      <c r="D155" s="122" t="s"/>
      <c r="E155" s="123" t="s"/>
      <c r="F155" s="123" t="s"/>
      <c r="G155" s="123" t="s"/>
      <c r="H155" s="123" t="s"/>
      <c r="I155" s="124" t="s"/>
      <c r="J155" s="125" t="s"/>
      <c r="K155" s="125" t="s"/>
      <c r="L155" s="125" t="s"/>
      <c r="M155" s="166" t="s"/>
      <c r="N155" s="124" t="s"/>
      <c r="O155" s="167" t="s"/>
      <c r="P155" s="124" t="s"/>
      <c r="Q155" s="124" t="s"/>
      <c r="R155" s="124" t="s"/>
      <c r="S155" s="168" t="s"/>
      <c r="T155" s="124" t="s"/>
      <c r="U155" s="124" t="s"/>
      <c r="V155" s="124" t="s"/>
      <c r="W155" s="124" t="s"/>
      <c r="X155" s="124" t="s"/>
      <c r="Y155" s="124" t="s"/>
      <c r="Z155" s="124" t="s"/>
      <c r="AA155" s="9" t="s"/>
      <c r="AB155" s="9" t="s"/>
    </row>
    <row r="156" spans="1:28" customHeight="false">
      <c r="A156" s="123" t="s"/>
      <c r="B156" s="122" t="s"/>
      <c r="C156" s="122" t="s"/>
      <c r="D156" s="122" t="s"/>
      <c r="E156" s="123" t="s"/>
      <c r="F156" s="123" t="s"/>
      <c r="G156" s="123" t="s"/>
      <c r="H156" s="123" t="s"/>
      <c r="I156" s="124" t="s"/>
      <c r="J156" s="125" t="s"/>
      <c r="K156" s="125" t="s"/>
      <c r="L156" s="125" t="s"/>
      <c r="M156" s="166" t="s"/>
      <c r="N156" s="124" t="s"/>
      <c r="O156" s="167" t="s"/>
      <c r="P156" s="124" t="s"/>
      <c r="Q156" s="124" t="s"/>
      <c r="R156" s="124" t="s"/>
      <c r="S156" s="168" t="s"/>
      <c r="T156" s="124" t="s"/>
      <c r="U156" s="124" t="s"/>
      <c r="V156" s="124" t="s"/>
      <c r="W156" s="124" t="s"/>
      <c r="X156" s="124" t="s"/>
      <c r="Y156" s="124" t="s"/>
      <c r="Z156" s="124" t="s"/>
      <c r="AA156" s="9" t="s"/>
      <c r="AB156" s="9" t="s"/>
    </row>
    <row r="157" spans="1:28" customHeight="false">
      <c r="A157" s="123" t="s"/>
      <c r="B157" s="122" t="s"/>
      <c r="C157" s="122" t="s"/>
      <c r="D157" s="122" t="s"/>
      <c r="E157" s="123" t="s"/>
      <c r="F157" s="123" t="s"/>
      <c r="G157" s="123" t="s"/>
      <c r="H157" s="123" t="s"/>
      <c r="I157" s="124" t="s"/>
      <c r="J157" s="125" t="s"/>
      <c r="K157" s="125" t="s"/>
      <c r="L157" s="125" t="s"/>
      <c r="M157" s="166" t="s"/>
      <c r="N157" s="124" t="s"/>
      <c r="O157" s="167" t="s"/>
      <c r="P157" s="124" t="s"/>
      <c r="Q157" s="124" t="s"/>
      <c r="R157" s="124" t="s"/>
      <c r="S157" s="168" t="s"/>
      <c r="T157" s="124" t="s"/>
      <c r="U157" s="124" t="s"/>
      <c r="V157" s="124" t="s"/>
      <c r="W157" s="124" t="s"/>
      <c r="X157" s="124" t="s"/>
      <c r="Y157" s="124" t="s"/>
      <c r="Z157" s="124" t="s"/>
      <c r="AA157" s="9" t="s"/>
      <c r="AB157" s="9" t="s"/>
    </row>
    <row r="158" spans="1:28" customHeight="false">
      <c r="A158" s="123" t="s"/>
      <c r="B158" s="122" t="s"/>
      <c r="C158" s="122" t="s"/>
      <c r="D158" s="122" t="s"/>
      <c r="E158" s="123" t="s"/>
      <c r="F158" s="123" t="s"/>
      <c r="G158" s="123" t="s"/>
      <c r="H158" s="123" t="s"/>
      <c r="I158" s="124" t="s"/>
      <c r="J158" s="125" t="s"/>
      <c r="K158" s="125" t="s"/>
      <c r="L158" s="125" t="s"/>
      <c r="M158" s="166" t="s"/>
      <c r="N158" s="124" t="s"/>
      <c r="O158" s="167" t="s"/>
      <c r="P158" s="124" t="s"/>
      <c r="Q158" s="124" t="s"/>
      <c r="R158" s="124" t="s"/>
      <c r="S158" s="168" t="s"/>
      <c r="T158" s="124" t="s"/>
      <c r="U158" s="124" t="s"/>
      <c r="V158" s="124" t="s"/>
      <c r="W158" s="124" t="s"/>
      <c r="X158" s="124" t="s"/>
      <c r="Y158" s="124" t="s"/>
      <c r="Z158" s="124" t="s"/>
      <c r="AA158" s="9" t="s"/>
      <c r="AB158" s="9" t="s"/>
    </row>
    <row r="159" spans="1:28" customHeight="false">
      <c r="A159" s="123" t="s"/>
      <c r="B159" s="122" t="s"/>
      <c r="C159" s="122" t="s"/>
      <c r="D159" s="122" t="s"/>
      <c r="E159" s="123" t="s"/>
      <c r="F159" s="123" t="s"/>
      <c r="G159" s="123" t="s"/>
      <c r="H159" s="123" t="s"/>
      <c r="I159" s="124" t="s"/>
      <c r="J159" s="125" t="s"/>
      <c r="K159" s="125" t="s"/>
      <c r="L159" s="125" t="s"/>
      <c r="M159" s="166" t="s"/>
      <c r="N159" s="124" t="s"/>
      <c r="O159" s="167" t="s"/>
      <c r="P159" s="124" t="s"/>
      <c r="Q159" s="124" t="s"/>
      <c r="R159" s="124" t="s"/>
      <c r="S159" s="168" t="s"/>
      <c r="T159" s="124" t="s"/>
      <c r="U159" s="124" t="s"/>
      <c r="V159" s="124" t="s"/>
      <c r="W159" s="124" t="s"/>
      <c r="X159" s="124" t="s"/>
      <c r="Y159" s="124" t="s"/>
      <c r="Z159" s="124" t="s"/>
      <c r="AA159" s="9" t="s"/>
      <c r="AB159" s="9" t="s"/>
    </row>
    <row r="160" spans="1:28" customHeight="false">
      <c r="A160" s="123" t="s"/>
      <c r="B160" s="122" t="s"/>
      <c r="C160" s="122" t="s"/>
      <c r="D160" s="122" t="s"/>
      <c r="E160" s="123" t="s"/>
      <c r="F160" s="123" t="s"/>
      <c r="G160" s="123" t="s"/>
      <c r="H160" s="123" t="s"/>
      <c r="I160" s="124" t="s"/>
      <c r="J160" s="125" t="s"/>
      <c r="K160" s="125" t="s"/>
      <c r="L160" s="125" t="s"/>
      <c r="M160" s="166" t="s"/>
      <c r="N160" s="124" t="s"/>
      <c r="O160" s="167" t="s"/>
      <c r="P160" s="124" t="s"/>
      <c r="Q160" s="124" t="s"/>
      <c r="R160" s="124" t="s"/>
      <c r="S160" s="168" t="s"/>
      <c r="T160" s="124" t="s"/>
      <c r="U160" s="124" t="s"/>
      <c r="V160" s="124" t="s"/>
      <c r="W160" s="124" t="s"/>
      <c r="X160" s="124" t="s"/>
      <c r="Y160" s="124" t="s"/>
      <c r="Z160" s="124" t="s"/>
      <c r="AA160" s="9" t="s"/>
      <c r="AB160" s="9" t="s"/>
    </row>
    <row r="161" spans="1:28" customHeight="false">
      <c r="A161" s="123" t="s"/>
      <c r="B161" s="122" t="s"/>
      <c r="C161" s="122" t="s"/>
      <c r="D161" s="122" t="s"/>
      <c r="E161" s="123" t="s"/>
      <c r="F161" s="123" t="s"/>
      <c r="G161" s="123" t="s"/>
      <c r="H161" s="123" t="s"/>
      <c r="I161" s="124" t="s"/>
      <c r="J161" s="125" t="s"/>
      <c r="K161" s="125" t="s"/>
      <c r="L161" s="125" t="s"/>
      <c r="M161" s="166" t="s"/>
      <c r="N161" s="124" t="s"/>
      <c r="O161" s="167" t="s"/>
      <c r="P161" s="124" t="s"/>
      <c r="Q161" s="124" t="s"/>
      <c r="R161" s="124" t="s"/>
      <c r="S161" s="168" t="s"/>
      <c r="T161" s="124" t="s"/>
      <c r="U161" s="124" t="s"/>
      <c r="V161" s="124" t="s"/>
      <c r="W161" s="124" t="s"/>
      <c r="X161" s="124" t="s"/>
      <c r="Y161" s="124" t="s"/>
      <c r="Z161" s="124" t="s"/>
      <c r="AA161" s="9" t="s"/>
      <c r="AB161" s="9" t="s"/>
    </row>
    <row r="162" spans="1:28" customHeight="false">
      <c r="A162" s="123" t="s"/>
      <c r="B162" s="122" t="s"/>
      <c r="C162" s="122" t="s"/>
      <c r="D162" s="122" t="s"/>
      <c r="E162" s="123" t="s"/>
      <c r="F162" s="123" t="s"/>
      <c r="G162" s="123" t="s"/>
      <c r="H162" s="123" t="s"/>
      <c r="I162" s="124" t="s"/>
      <c r="J162" s="125" t="s"/>
      <c r="K162" s="125" t="s"/>
      <c r="L162" s="125" t="s"/>
      <c r="M162" s="166" t="s"/>
      <c r="N162" s="124" t="s"/>
      <c r="O162" s="167" t="s"/>
      <c r="P162" s="124" t="s"/>
      <c r="Q162" s="124" t="s"/>
      <c r="R162" s="124" t="s"/>
      <c r="S162" s="168" t="s"/>
      <c r="T162" s="124" t="s"/>
      <c r="U162" s="124" t="s"/>
      <c r="V162" s="124" t="s"/>
      <c r="W162" s="124" t="s"/>
      <c r="X162" s="124" t="s"/>
      <c r="Y162" s="124" t="s"/>
      <c r="Z162" s="124" t="s"/>
      <c r="AA162" s="9" t="s"/>
      <c r="AB162" s="9" t="s"/>
    </row>
    <row r="163" spans="1:28" customHeight="false">
      <c r="A163" s="123" t="s"/>
      <c r="B163" s="122" t="s"/>
      <c r="C163" s="122" t="s"/>
      <c r="D163" s="122" t="s"/>
      <c r="E163" s="123" t="s"/>
      <c r="F163" s="123" t="s"/>
      <c r="G163" s="123" t="s"/>
      <c r="H163" s="123" t="s"/>
      <c r="I163" s="124" t="s"/>
      <c r="J163" s="125" t="s"/>
      <c r="K163" s="125" t="s"/>
      <c r="L163" s="125" t="s"/>
      <c r="M163" s="166" t="s"/>
      <c r="N163" s="124" t="s"/>
      <c r="O163" s="167" t="s"/>
      <c r="P163" s="124" t="s"/>
      <c r="Q163" s="124" t="s"/>
      <c r="R163" s="124" t="s"/>
      <c r="S163" s="168" t="s"/>
      <c r="T163" s="124" t="s"/>
      <c r="U163" s="124" t="s"/>
      <c r="V163" s="124" t="s"/>
      <c r="W163" s="124" t="s"/>
      <c r="X163" s="124" t="s"/>
      <c r="Y163" s="124" t="s"/>
      <c r="Z163" s="124" t="s"/>
      <c r="AA163" s="9" t="s"/>
      <c r="AB163" s="9" t="s"/>
    </row>
    <row r="164" spans="1:28" customHeight="false">
      <c r="A164" s="123" t="s"/>
      <c r="B164" s="122" t="s"/>
      <c r="C164" s="122" t="s"/>
      <c r="D164" s="122" t="s"/>
      <c r="E164" s="123" t="s"/>
      <c r="F164" s="123" t="s"/>
      <c r="G164" s="123" t="s"/>
      <c r="H164" s="123" t="s"/>
      <c r="I164" s="124" t="s"/>
      <c r="J164" s="125" t="s"/>
      <c r="K164" s="125" t="s"/>
      <c r="L164" s="125" t="s"/>
      <c r="M164" s="166" t="s"/>
      <c r="N164" s="124" t="s"/>
      <c r="O164" s="167" t="s"/>
      <c r="P164" s="124" t="s"/>
      <c r="Q164" s="124" t="s"/>
      <c r="R164" s="124" t="s"/>
      <c r="S164" s="168" t="s"/>
      <c r="T164" s="124" t="s"/>
      <c r="U164" s="124" t="s"/>
      <c r="V164" s="124" t="s"/>
      <c r="W164" s="124" t="s"/>
      <c r="X164" s="124" t="s"/>
      <c r="Y164" s="124" t="s"/>
      <c r="Z164" s="124" t="s"/>
      <c r="AA164" s="9" t="s"/>
      <c r="AB164" s="9" t="s"/>
    </row>
    <row r="165" spans="1:28" customHeight="false">
      <c r="A165" s="123" t="s"/>
      <c r="B165" s="122" t="s"/>
      <c r="C165" s="122" t="s"/>
      <c r="D165" s="122" t="s"/>
      <c r="E165" s="123" t="s"/>
      <c r="F165" s="123" t="s"/>
      <c r="G165" s="123" t="s"/>
      <c r="H165" s="123" t="s"/>
      <c r="I165" s="124" t="s"/>
      <c r="J165" s="125" t="s"/>
      <c r="K165" s="125" t="s"/>
      <c r="L165" s="125" t="s"/>
      <c r="M165" s="166" t="s"/>
      <c r="N165" s="124" t="s"/>
      <c r="O165" s="167" t="s"/>
      <c r="P165" s="124" t="s"/>
      <c r="Q165" s="124" t="s"/>
      <c r="R165" s="124" t="s"/>
      <c r="S165" s="168" t="s"/>
      <c r="T165" s="124" t="s"/>
      <c r="U165" s="124" t="s"/>
      <c r="V165" s="124" t="s"/>
      <c r="W165" s="124" t="s"/>
      <c r="X165" s="124" t="s"/>
      <c r="Y165" s="124" t="s"/>
      <c r="Z165" s="124" t="s"/>
      <c r="AA165" s="9" t="s"/>
      <c r="AB165" s="9" t="s"/>
    </row>
    <row r="166" spans="1:28" customHeight="false">
      <c r="A166" s="123" t="s"/>
      <c r="B166" s="122" t="s"/>
      <c r="C166" s="122" t="s"/>
      <c r="D166" s="122" t="s"/>
      <c r="E166" s="123" t="s"/>
      <c r="F166" s="123" t="s"/>
      <c r="G166" s="123" t="s"/>
      <c r="H166" s="123" t="s"/>
      <c r="I166" s="124" t="s"/>
      <c r="J166" s="125" t="s"/>
      <c r="K166" s="125" t="s"/>
      <c r="L166" s="125" t="s"/>
      <c r="M166" s="166" t="s"/>
      <c r="N166" s="124" t="s"/>
      <c r="O166" s="167" t="s"/>
      <c r="P166" s="124" t="s"/>
      <c r="Q166" s="124" t="s"/>
      <c r="R166" s="124" t="s"/>
      <c r="S166" s="168" t="s"/>
      <c r="T166" s="124" t="s"/>
      <c r="U166" s="124" t="s"/>
      <c r="V166" s="124" t="s"/>
      <c r="W166" s="124" t="s"/>
      <c r="X166" s="124" t="s"/>
      <c r="Y166" s="124" t="s"/>
      <c r="Z166" s="124" t="s"/>
      <c r="AA166" s="9" t="s"/>
      <c r="AB166" s="9" t="s"/>
    </row>
    <row r="167" spans="1:28" customHeight="false">
      <c r="A167" s="123" t="s"/>
      <c r="B167" s="122" t="s"/>
      <c r="C167" s="122" t="s"/>
      <c r="D167" s="122" t="s"/>
      <c r="E167" s="123" t="s"/>
      <c r="F167" s="123" t="s"/>
      <c r="G167" s="123" t="s"/>
      <c r="H167" s="123" t="s"/>
      <c r="I167" s="124" t="s"/>
      <c r="J167" s="125" t="s"/>
      <c r="K167" s="125" t="s"/>
      <c r="L167" s="125" t="s"/>
      <c r="M167" s="166" t="s"/>
      <c r="N167" s="124" t="s"/>
      <c r="O167" s="167" t="s"/>
      <c r="P167" s="124" t="s"/>
      <c r="Q167" s="124" t="s"/>
      <c r="R167" s="124" t="s"/>
      <c r="S167" s="168" t="s"/>
      <c r="T167" s="124" t="s"/>
      <c r="U167" s="124" t="s"/>
      <c r="V167" s="124" t="s"/>
      <c r="W167" s="124" t="s"/>
      <c r="X167" s="124" t="s"/>
      <c r="Y167" s="124" t="s"/>
      <c r="Z167" s="124" t="s"/>
      <c r="AA167" s="9" t="s"/>
      <c r="AB167" s="9" t="s"/>
    </row>
    <row r="168" spans="1:28" customHeight="false">
      <c r="A168" s="123" t="s"/>
      <c r="B168" s="122" t="s"/>
      <c r="C168" s="122" t="s"/>
      <c r="D168" s="122" t="s"/>
      <c r="E168" s="123" t="s"/>
      <c r="F168" s="123" t="s"/>
      <c r="G168" s="123" t="s"/>
      <c r="H168" s="123" t="s"/>
      <c r="I168" s="124" t="s"/>
      <c r="J168" s="125" t="s"/>
      <c r="K168" s="125" t="s"/>
      <c r="L168" s="125" t="s"/>
      <c r="M168" s="166" t="s"/>
      <c r="N168" s="124" t="s"/>
      <c r="O168" s="167" t="s"/>
      <c r="P168" s="124" t="s"/>
      <c r="Q168" s="124" t="s"/>
      <c r="R168" s="124" t="s"/>
      <c r="S168" s="168" t="s"/>
      <c r="T168" s="124" t="s"/>
      <c r="U168" s="124" t="s"/>
      <c r="V168" s="124" t="s"/>
      <c r="W168" s="124" t="s"/>
      <c r="X168" s="124" t="s"/>
      <c r="Y168" s="124" t="s"/>
      <c r="Z168" s="124" t="s"/>
      <c r="AA168" s="9" t="s"/>
      <c r="AB168" s="9" t="s"/>
    </row>
    <row r="169" spans="1:28" customHeight="false">
      <c r="A169" s="123" t="s"/>
      <c r="B169" s="122" t="s"/>
      <c r="C169" s="122" t="s"/>
      <c r="D169" s="122" t="s"/>
      <c r="E169" s="123" t="s"/>
      <c r="F169" s="123" t="s"/>
      <c r="G169" s="123" t="s"/>
      <c r="H169" s="123" t="s"/>
      <c r="I169" s="124" t="s"/>
      <c r="J169" s="125" t="s"/>
      <c r="K169" s="125" t="s"/>
      <c r="L169" s="125" t="s"/>
      <c r="M169" s="166" t="s"/>
      <c r="N169" s="124" t="s"/>
      <c r="O169" s="167" t="s"/>
      <c r="P169" s="124" t="s"/>
      <c r="Q169" s="124" t="s"/>
      <c r="R169" s="124" t="s"/>
      <c r="S169" s="168" t="s"/>
      <c r="T169" s="124" t="s"/>
      <c r="U169" s="124" t="s"/>
      <c r="V169" s="124" t="s"/>
      <c r="W169" s="124" t="s"/>
      <c r="X169" s="124" t="s"/>
      <c r="Y169" s="124" t="s"/>
      <c r="Z169" s="124" t="s"/>
      <c r="AA169" s="9" t="s"/>
      <c r="AB169" s="9" t="s"/>
    </row>
    <row r="170" spans="1:28" customHeight="false">
      <c r="A170" s="123" t="s"/>
      <c r="B170" s="122" t="s"/>
      <c r="C170" s="122" t="s"/>
      <c r="D170" s="122" t="s"/>
      <c r="E170" s="123" t="s"/>
      <c r="F170" s="123" t="s"/>
      <c r="G170" s="123" t="s"/>
      <c r="H170" s="123" t="s"/>
      <c r="I170" s="124" t="s"/>
      <c r="J170" s="125" t="s"/>
      <c r="K170" s="125" t="s"/>
      <c r="L170" s="125" t="s"/>
      <c r="M170" s="166" t="s"/>
      <c r="N170" s="124" t="s"/>
      <c r="O170" s="167" t="s"/>
      <c r="P170" s="124" t="s"/>
      <c r="Q170" s="124" t="s"/>
      <c r="R170" s="124" t="s"/>
      <c r="S170" s="168" t="s"/>
      <c r="T170" s="124" t="s"/>
      <c r="U170" s="124" t="s"/>
      <c r="V170" s="124" t="s"/>
      <c r="W170" s="124" t="s"/>
      <c r="X170" s="124" t="s"/>
      <c r="Y170" s="124" t="s"/>
      <c r="Z170" s="124" t="s"/>
      <c r="AA170" s="9" t="s"/>
      <c r="AB170" s="9" t="s"/>
    </row>
    <row r="171" spans="1:26" customHeight="false">
      <c r="A171" s="121" t="s"/>
      <c r="B171" s="186" t="s"/>
      <c r="C171" s="186" t="s"/>
      <c r="D171" s="186" t="s"/>
      <c r="E171" s="121" t="s"/>
      <c r="F171" s="121" t="s"/>
      <c r="G171" s="121" t="s"/>
      <c r="H171" s="121" t="s"/>
      <c r="I171" s="161" t="s"/>
      <c r="J171" s="187" t="s"/>
      <c r="K171" s="187" t="s"/>
      <c r="L171" s="187" t="s"/>
      <c r="M171" s="188" t="s"/>
      <c r="N171" s="161" t="s"/>
      <c r="O171" s="189" t="s"/>
      <c r="P171" s="161" t="s"/>
      <c r="Q171" s="161" t="s"/>
      <c r="R171" s="161" t="s"/>
      <c r="S171" s="190" t="s"/>
      <c r="T171" s="161" t="s"/>
      <c r="U171" s="161" t="s"/>
      <c r="V171" s="161" t="s"/>
      <c r="W171" s="161" t="s"/>
      <c r="X171" s="161" t="s"/>
      <c r="Y171" s="161" t="s"/>
      <c r="Z171" s="161" t="s"/>
    </row>
    <row r="172" spans="1:26" customHeight="false">
      <c r="A172" s="121" t="s"/>
      <c r="B172" s="186" t="s"/>
      <c r="C172" s="186" t="s"/>
      <c r="D172" s="186" t="s"/>
      <c r="E172" s="121" t="s"/>
      <c r="F172" s="121" t="s"/>
      <c r="G172" s="121" t="s"/>
      <c r="H172" s="121" t="s"/>
      <c r="I172" s="161" t="s"/>
      <c r="J172" s="187" t="s"/>
      <c r="K172" s="187" t="s"/>
      <c r="L172" s="187" t="s"/>
      <c r="M172" s="188" t="s"/>
      <c r="N172" s="161" t="s"/>
      <c r="O172" s="189" t="s"/>
      <c r="P172" s="161" t="s"/>
      <c r="Q172" s="161" t="s"/>
      <c r="R172" s="161" t="s"/>
      <c r="S172" s="190" t="s"/>
      <c r="T172" s="161" t="s"/>
      <c r="U172" s="161" t="s"/>
      <c r="V172" s="161" t="s"/>
      <c r="W172" s="161" t="s"/>
      <c r="X172" s="161" t="s"/>
      <c r="Y172" s="161" t="s"/>
      <c r="Z172" s="161" t="s"/>
    </row>
    <row r="173" spans="1:26" customHeight="false">
      <c r="A173" s="121" t="s"/>
      <c r="B173" s="186" t="s"/>
      <c r="C173" s="186" t="s"/>
      <c r="D173" s="186" t="s"/>
      <c r="E173" s="121" t="s"/>
      <c r="F173" s="121" t="s"/>
      <c r="G173" s="121" t="s"/>
      <c r="H173" s="121" t="s"/>
      <c r="I173" s="161" t="s"/>
      <c r="J173" s="187" t="s"/>
      <c r="K173" s="187" t="s"/>
      <c r="L173" s="187" t="s"/>
      <c r="M173" s="188" t="s"/>
      <c r="N173" s="161" t="s"/>
      <c r="O173" s="189" t="s"/>
      <c r="P173" s="161" t="s"/>
      <c r="Q173" s="161" t="s"/>
      <c r="R173" s="161" t="s"/>
      <c r="S173" s="190" t="s"/>
      <c r="T173" s="161" t="s"/>
      <c r="U173" s="161" t="s"/>
      <c r="V173" s="161" t="s"/>
      <c r="W173" s="161" t="s"/>
      <c r="X173" s="161" t="s"/>
      <c r="Y173" s="161" t="s"/>
      <c r="Z173" s="161" t="s"/>
    </row>
    <row r="174" spans="1:26" customHeight="false">
      <c r="A174" s="121" t="s"/>
      <c r="B174" s="186" t="s"/>
      <c r="C174" s="186" t="s"/>
      <c r="D174" s="186" t="s"/>
      <c r="E174" s="121" t="s"/>
      <c r="F174" s="121" t="s"/>
      <c r="G174" s="121" t="s"/>
      <c r="H174" s="121" t="s"/>
      <c r="I174" s="161" t="s"/>
      <c r="J174" s="187" t="s"/>
      <c r="K174" s="187" t="s"/>
      <c r="L174" s="187" t="s"/>
      <c r="M174" s="188" t="s"/>
      <c r="N174" s="161" t="s"/>
      <c r="O174" s="189" t="s"/>
      <c r="P174" s="161" t="s"/>
      <c r="Q174" s="161" t="s"/>
      <c r="R174" s="161" t="s"/>
      <c r="S174" s="190" t="s"/>
      <c r="T174" s="161" t="s"/>
      <c r="U174" s="161" t="s"/>
      <c r="V174" s="161" t="s"/>
      <c r="W174" s="161" t="s"/>
      <c r="X174" s="161" t="s"/>
      <c r="Y174" s="161" t="s"/>
      <c r="Z174" s="161" t="s"/>
    </row>
    <row r="175" spans="1:26" customHeight="false">
      <c r="A175" s="121" t="s"/>
      <c r="B175" s="186" t="s"/>
      <c r="C175" s="186" t="s"/>
      <c r="D175" s="186" t="s"/>
      <c r="E175" s="121" t="s"/>
      <c r="F175" s="121" t="s"/>
      <c r="G175" s="121" t="s"/>
      <c r="H175" s="121" t="s"/>
      <c r="I175" s="161" t="s"/>
      <c r="J175" s="187" t="s"/>
      <c r="K175" s="187" t="s"/>
      <c r="L175" s="187" t="s"/>
      <c r="M175" s="188" t="s"/>
      <c r="N175" s="161" t="s"/>
      <c r="O175" s="189" t="s"/>
      <c r="P175" s="161" t="s"/>
      <c r="Q175" s="161" t="s"/>
      <c r="R175" s="161" t="s"/>
      <c r="S175" s="190" t="s"/>
      <c r="T175" s="161" t="s"/>
      <c r="U175" s="161" t="s"/>
      <c r="V175" s="161" t="s"/>
      <c r="W175" s="161" t="s"/>
      <c r="X175" s="161" t="s"/>
      <c r="Y175" s="161" t="s"/>
      <c r="Z175" s="161" t="s"/>
    </row>
    <row r="176" spans="1:26" customHeight="false">
      <c r="A176" s="121" t="s"/>
      <c r="B176" s="186" t="s"/>
      <c r="C176" s="186" t="s"/>
      <c r="D176" s="186" t="s"/>
      <c r="E176" s="121" t="s"/>
      <c r="F176" s="121" t="s"/>
      <c r="G176" s="121" t="s"/>
      <c r="H176" s="121" t="s"/>
      <c r="I176" s="161" t="s"/>
      <c r="J176" s="187" t="s"/>
      <c r="K176" s="187" t="s"/>
      <c r="L176" s="187" t="s"/>
      <c r="M176" s="188" t="s"/>
      <c r="N176" s="161" t="s"/>
      <c r="O176" s="189" t="s"/>
      <c r="P176" s="161" t="s"/>
      <c r="Q176" s="161" t="s"/>
      <c r="R176" s="161" t="s"/>
      <c r="S176" s="190" t="s"/>
      <c r="T176" s="161" t="s"/>
      <c r="U176" s="161" t="s"/>
      <c r="V176" s="161" t="s"/>
      <c r="W176" s="161" t="s"/>
      <c r="X176" s="161" t="s"/>
      <c r="Y176" s="161" t="s"/>
      <c r="Z176" s="161" t="s"/>
    </row>
    <row r="177" spans="1:26" customHeight="false">
      <c r="A177" s="121" t="s"/>
      <c r="B177" s="186" t="s"/>
      <c r="C177" s="186" t="s"/>
      <c r="D177" s="186" t="s"/>
      <c r="E177" s="121" t="s"/>
      <c r="F177" s="121" t="s"/>
      <c r="G177" s="121" t="s"/>
      <c r="H177" s="121" t="s"/>
      <c r="I177" s="161" t="s"/>
      <c r="J177" s="187" t="s"/>
      <c r="K177" s="187" t="s"/>
      <c r="L177" s="187" t="s"/>
      <c r="M177" s="188" t="s"/>
      <c r="N177" s="161" t="s"/>
      <c r="O177" s="189" t="s"/>
      <c r="P177" s="161" t="s"/>
      <c r="Q177" s="161" t="s"/>
      <c r="R177" s="161" t="s"/>
      <c r="S177" s="190" t="s"/>
      <c r="T177" s="161" t="s"/>
      <c r="U177" s="161" t="s"/>
      <c r="V177" s="161" t="s"/>
      <c r="W177" s="161" t="s"/>
      <c r="X177" s="161" t="s"/>
      <c r="Y177" s="161" t="s"/>
      <c r="Z177" s="161" t="s"/>
    </row>
    <row r="178" spans="1:26" customHeight="false">
      <c r="A178" s="121" t="s"/>
      <c r="B178" s="186" t="s"/>
      <c r="C178" s="186" t="s"/>
      <c r="D178" s="186" t="s"/>
      <c r="E178" s="121" t="s"/>
      <c r="F178" s="121" t="s"/>
      <c r="G178" s="121" t="s"/>
      <c r="H178" s="121" t="s"/>
      <c r="I178" s="161" t="s"/>
      <c r="J178" s="187" t="s"/>
      <c r="K178" s="187" t="s"/>
      <c r="L178" s="187" t="s"/>
      <c r="M178" s="188" t="s"/>
      <c r="N178" s="161" t="s"/>
      <c r="O178" s="189" t="s"/>
      <c r="P178" s="161" t="s"/>
      <c r="Q178" s="161" t="s"/>
      <c r="R178" s="161" t="s"/>
      <c r="S178" s="190" t="s"/>
      <c r="T178" s="161" t="s"/>
      <c r="U178" s="161" t="s"/>
      <c r="V178" s="161" t="s"/>
      <c r="W178" s="161" t="s"/>
      <c r="X178" s="161" t="s"/>
      <c r="Y178" s="161" t="s"/>
      <c r="Z178" s="161" t="s"/>
    </row>
    <row r="179" spans="1:26" customHeight="false">
      <c r="A179" s="121" t="s"/>
      <c r="B179" s="186" t="s"/>
      <c r="C179" s="186" t="s"/>
      <c r="D179" s="186" t="s"/>
      <c r="E179" s="121" t="s"/>
      <c r="F179" s="121" t="s"/>
      <c r="G179" s="121" t="s"/>
      <c r="H179" s="121" t="s"/>
      <c r="I179" s="161" t="s"/>
      <c r="J179" s="187" t="s"/>
      <c r="K179" s="187" t="s"/>
      <c r="L179" s="187" t="s"/>
      <c r="M179" s="188" t="s"/>
      <c r="N179" s="161" t="s"/>
      <c r="O179" s="189" t="s"/>
      <c r="P179" s="161" t="s"/>
      <c r="Q179" s="161" t="s"/>
      <c r="R179" s="161" t="s"/>
      <c r="S179" s="190" t="s"/>
      <c r="T179" s="161" t="s"/>
      <c r="U179" s="161" t="s"/>
      <c r="V179" s="161" t="s"/>
      <c r="W179" s="161" t="s"/>
      <c r="X179" s="161" t="s"/>
      <c r="Y179" s="161" t="s"/>
      <c r="Z179" s="161" t="s"/>
    </row>
    <row r="180" spans="1:26" customHeight="false">
      <c r="A180" s="121" t="s"/>
      <c r="B180" s="186" t="s"/>
      <c r="C180" s="186" t="s"/>
      <c r="D180" s="186" t="s"/>
      <c r="E180" s="121" t="s"/>
      <c r="F180" s="121" t="s"/>
      <c r="G180" s="121" t="s"/>
      <c r="H180" s="121" t="s"/>
      <c r="I180" s="161" t="s"/>
      <c r="J180" s="187" t="s"/>
      <c r="K180" s="187" t="s"/>
      <c r="L180" s="187" t="s"/>
      <c r="M180" s="188" t="s"/>
      <c r="N180" s="161" t="s"/>
      <c r="O180" s="189" t="s"/>
      <c r="P180" s="161" t="s"/>
      <c r="Q180" s="161" t="s"/>
      <c r="R180" s="161" t="s"/>
      <c r="S180" s="190" t="s"/>
      <c r="T180" s="161" t="s"/>
      <c r="U180" s="161" t="s"/>
      <c r="V180" s="161" t="s"/>
      <c r="W180" s="161" t="s"/>
      <c r="X180" s="161" t="s"/>
      <c r="Y180" s="161" t="s"/>
      <c r="Z180" s="161" t="s"/>
    </row>
    <row r="181" spans="1:26" customHeight="false">
      <c r="A181" s="121" t="s"/>
      <c r="B181" s="186" t="s"/>
      <c r="C181" s="186" t="s"/>
      <c r="D181" s="186" t="s"/>
      <c r="E181" s="121" t="s"/>
      <c r="F181" s="121" t="s"/>
      <c r="G181" s="121" t="s"/>
      <c r="H181" s="121" t="s"/>
      <c r="I181" s="161" t="s"/>
      <c r="J181" s="187" t="s"/>
      <c r="K181" s="187" t="s"/>
      <c r="L181" s="187" t="s"/>
      <c r="M181" s="188" t="s"/>
      <c r="N181" s="161" t="s"/>
      <c r="O181" s="189" t="s"/>
      <c r="P181" s="161" t="s"/>
      <c r="Q181" s="161" t="s"/>
      <c r="R181" s="161" t="s"/>
      <c r="S181" s="190" t="s"/>
      <c r="T181" s="161" t="s"/>
      <c r="U181" s="161" t="s"/>
      <c r="V181" s="161" t="s"/>
      <c r="W181" s="161" t="s"/>
      <c r="X181" s="161" t="s"/>
      <c r="Y181" s="161" t="s"/>
      <c r="Z181" s="161" t="s"/>
    </row>
    <row r="182" spans="1:26" customHeight="false">
      <c r="A182" s="121" t="s"/>
      <c r="B182" s="186" t="s"/>
      <c r="C182" s="186" t="s"/>
      <c r="D182" s="186" t="s"/>
      <c r="E182" s="121" t="s"/>
      <c r="F182" s="121" t="s"/>
      <c r="G182" s="121" t="s"/>
      <c r="H182" s="121" t="s"/>
      <c r="I182" s="161" t="s"/>
      <c r="J182" s="187" t="s"/>
      <c r="K182" s="187" t="s"/>
      <c r="L182" s="187" t="s"/>
      <c r="M182" s="188" t="s"/>
      <c r="N182" s="161" t="s"/>
      <c r="O182" s="189" t="s"/>
      <c r="P182" s="161" t="s"/>
      <c r="Q182" s="161" t="s"/>
      <c r="R182" s="161" t="s"/>
      <c r="S182" s="190" t="s"/>
      <c r="T182" s="161" t="s"/>
      <c r="U182" s="161" t="s"/>
      <c r="V182" s="161" t="s"/>
      <c r="W182" s="161" t="s"/>
      <c r="X182" s="161" t="s"/>
      <c r="Y182" s="161" t="s"/>
      <c r="Z182" s="161" t="s"/>
    </row>
    <row r="183" spans="1:26" customHeight="false">
      <c r="A183" s="121" t="s"/>
      <c r="B183" s="186" t="s"/>
      <c r="C183" s="186" t="s"/>
      <c r="D183" s="186" t="s"/>
      <c r="E183" s="121" t="s"/>
      <c r="F183" s="121" t="s"/>
      <c r="G183" s="121" t="s"/>
      <c r="H183" s="121" t="s"/>
      <c r="I183" s="161" t="s"/>
      <c r="J183" s="187" t="s"/>
      <c r="K183" s="187" t="s"/>
      <c r="L183" s="187" t="s"/>
      <c r="M183" s="188" t="s"/>
      <c r="N183" s="161" t="s"/>
      <c r="O183" s="189" t="s"/>
      <c r="P183" s="161" t="s"/>
      <c r="Q183" s="161" t="s"/>
      <c r="R183" s="161" t="s"/>
      <c r="S183" s="190" t="s"/>
      <c r="T183" s="161" t="s"/>
      <c r="U183" s="161" t="s"/>
      <c r="V183" s="161" t="s"/>
      <c r="W183" s="161" t="s"/>
      <c r="X183" s="161" t="s"/>
      <c r="Y183" s="161" t="s"/>
      <c r="Z183" s="161" t="s"/>
    </row>
    <row r="184" spans="1:26" customHeight="false">
      <c r="A184" s="121" t="s"/>
      <c r="B184" s="186" t="s"/>
      <c r="C184" s="186" t="s"/>
      <c r="D184" s="186" t="s"/>
      <c r="E184" s="121" t="s"/>
      <c r="F184" s="121" t="s"/>
      <c r="G184" s="121" t="s"/>
      <c r="H184" s="121" t="s"/>
      <c r="I184" s="161" t="s"/>
      <c r="J184" s="187" t="s"/>
      <c r="K184" s="187" t="s"/>
      <c r="L184" s="187" t="s"/>
      <c r="M184" s="188" t="s"/>
      <c r="N184" s="161" t="s"/>
      <c r="O184" s="189" t="s"/>
      <c r="P184" s="161" t="s"/>
      <c r="Q184" s="161" t="s"/>
      <c r="R184" s="161" t="s"/>
      <c r="S184" s="190" t="s"/>
      <c r="T184" s="161" t="s"/>
      <c r="U184" s="161" t="s"/>
      <c r="V184" s="161" t="s"/>
      <c r="W184" s="161" t="s"/>
      <c r="X184" s="161" t="s"/>
      <c r="Y184" s="161" t="s"/>
      <c r="Z184" s="161" t="s"/>
    </row>
    <row r="185" spans="1:26" customHeight="false">
      <c r="A185" s="121" t="s"/>
      <c r="B185" s="186" t="s"/>
      <c r="C185" s="186" t="s"/>
      <c r="D185" s="186" t="s"/>
      <c r="E185" s="121" t="s"/>
      <c r="F185" s="121" t="s"/>
      <c r="G185" s="121" t="s"/>
      <c r="H185" s="121" t="s"/>
      <c r="I185" s="161" t="s"/>
      <c r="J185" s="187" t="s"/>
      <c r="K185" s="187" t="s"/>
      <c r="L185" s="187" t="s"/>
      <c r="M185" s="188" t="s"/>
      <c r="N185" s="161" t="s"/>
      <c r="O185" s="189" t="s"/>
      <c r="P185" s="161" t="s"/>
      <c r="Q185" s="161" t="s"/>
      <c r="R185" s="161" t="s"/>
      <c r="S185" s="190" t="s"/>
      <c r="T185" s="161" t="s"/>
      <c r="U185" s="161" t="s"/>
      <c r="V185" s="161" t="s"/>
      <c r="W185" s="161" t="s"/>
      <c r="X185" s="161" t="s"/>
      <c r="Y185" s="161" t="s"/>
      <c r="Z185" s="161" t="s"/>
    </row>
    <row r="186" spans="1:26" customHeight="false">
      <c r="A186" s="121" t="s"/>
      <c r="B186" s="186" t="s"/>
      <c r="C186" s="186" t="s"/>
      <c r="D186" s="186" t="s"/>
      <c r="E186" s="121" t="s"/>
      <c r="F186" s="121" t="s"/>
      <c r="G186" s="121" t="s"/>
      <c r="H186" s="121" t="s"/>
      <c r="I186" s="161" t="s"/>
      <c r="J186" s="187" t="s"/>
      <c r="K186" s="187" t="s"/>
      <c r="L186" s="187" t="s"/>
      <c r="M186" s="188" t="s"/>
      <c r="N186" s="161" t="s"/>
      <c r="O186" s="189" t="s"/>
      <c r="P186" s="161" t="s"/>
      <c r="Q186" s="161" t="s"/>
      <c r="R186" s="161" t="s"/>
      <c r="S186" s="190" t="s"/>
      <c r="T186" s="161" t="s"/>
      <c r="U186" s="161" t="s"/>
      <c r="V186" s="161" t="s"/>
      <c r="W186" s="161" t="s"/>
      <c r="X186" s="161" t="s"/>
      <c r="Y186" s="161" t="s"/>
      <c r="Z186" s="161" t="s"/>
    </row>
    <row r="187" spans="1:26" customHeight="false">
      <c r="A187" s="121" t="s"/>
      <c r="B187" s="186" t="s"/>
      <c r="C187" s="186" t="s"/>
      <c r="D187" s="186" t="s"/>
      <c r="E187" s="121" t="s"/>
      <c r="F187" s="121" t="s"/>
      <c r="G187" s="121" t="s"/>
      <c r="H187" s="121" t="s"/>
      <c r="I187" s="161" t="s"/>
      <c r="J187" s="187" t="s"/>
      <c r="K187" s="187" t="s"/>
      <c r="L187" s="187" t="s"/>
      <c r="M187" s="188" t="s"/>
      <c r="N187" s="161" t="s"/>
      <c r="O187" s="189" t="s"/>
      <c r="P187" s="161" t="s"/>
      <c r="Q187" s="161" t="s"/>
      <c r="R187" s="161" t="s"/>
      <c r="S187" s="190" t="s"/>
      <c r="T187" s="161" t="s"/>
      <c r="U187" s="161" t="s"/>
      <c r="V187" s="161" t="s"/>
      <c r="W187" s="161" t="s"/>
      <c r="X187" s="161" t="s"/>
      <c r="Y187" s="161" t="s"/>
      <c r="Z187" s="161" t="s"/>
    </row>
    <row r="188" spans="1:26" customHeight="false">
      <c r="A188" s="121" t="s"/>
      <c r="B188" s="186" t="s"/>
      <c r="C188" s="186" t="s"/>
      <c r="D188" s="186" t="s"/>
      <c r="E188" s="121" t="s"/>
      <c r="F188" s="121" t="s"/>
      <c r="G188" s="121" t="s"/>
      <c r="H188" s="121" t="s"/>
      <c r="I188" s="161" t="s"/>
      <c r="J188" s="187" t="s"/>
      <c r="K188" s="187" t="s"/>
      <c r="L188" s="187" t="s"/>
      <c r="M188" s="188" t="s"/>
      <c r="N188" s="161" t="s"/>
      <c r="O188" s="189" t="s"/>
      <c r="P188" s="161" t="s"/>
      <c r="Q188" s="161" t="s"/>
      <c r="R188" s="161" t="s"/>
      <c r="S188" s="190" t="s"/>
      <c r="T188" s="161" t="s"/>
      <c r="U188" s="161" t="s"/>
      <c r="V188" s="161" t="s"/>
      <c r="W188" s="161" t="s"/>
      <c r="X188" s="161" t="s"/>
      <c r="Y188" s="161" t="s"/>
      <c r="Z188" s="161" t="s"/>
    </row>
    <row r="189" spans="1:26" customHeight="false">
      <c r="A189" s="121" t="s"/>
      <c r="B189" s="186" t="s"/>
      <c r="C189" s="186" t="s"/>
      <c r="D189" s="186" t="s"/>
      <c r="E189" s="121" t="s"/>
      <c r="F189" s="121" t="s"/>
      <c r="G189" s="121" t="s"/>
      <c r="H189" s="121" t="s"/>
      <c r="I189" s="161" t="s"/>
      <c r="J189" s="187" t="s"/>
      <c r="K189" s="187" t="s"/>
      <c r="L189" s="187" t="s"/>
      <c r="M189" s="188" t="s"/>
      <c r="N189" s="161" t="s"/>
      <c r="O189" s="189" t="s"/>
      <c r="P189" s="161" t="s"/>
      <c r="Q189" s="161" t="s"/>
      <c r="R189" s="161" t="s"/>
      <c r="S189" s="190" t="s"/>
      <c r="T189" s="161" t="s"/>
      <c r="U189" s="161" t="s"/>
      <c r="V189" s="161" t="s"/>
      <c r="W189" s="161" t="s"/>
      <c r="X189" s="161" t="s"/>
      <c r="Y189" s="161" t="s"/>
      <c r="Z189" s="161" t="s"/>
    </row>
    <row r="190" spans="1:26" customHeight="false">
      <c r="A190" s="121" t="s"/>
      <c r="B190" s="186" t="s"/>
      <c r="C190" s="186" t="s"/>
      <c r="D190" s="186" t="s"/>
      <c r="E190" s="121" t="s"/>
      <c r="F190" s="121" t="s"/>
      <c r="G190" s="121" t="s"/>
      <c r="H190" s="121" t="s"/>
      <c r="I190" s="161" t="s"/>
      <c r="J190" s="187" t="s"/>
      <c r="K190" s="187" t="s"/>
      <c r="L190" s="187" t="s"/>
      <c r="M190" s="188" t="s"/>
      <c r="N190" s="161" t="s"/>
      <c r="O190" s="189" t="s"/>
      <c r="P190" s="161" t="s"/>
      <c r="Q190" s="161" t="s"/>
      <c r="R190" s="161" t="s"/>
      <c r="S190" s="190" t="s"/>
      <c r="T190" s="161" t="s"/>
      <c r="U190" s="161" t="s"/>
      <c r="V190" s="161" t="s"/>
      <c r="W190" s="161" t="s"/>
      <c r="X190" s="161" t="s"/>
      <c r="Y190" s="161" t="s"/>
      <c r="Z190" s="161" t="s"/>
    </row>
    <row r="191" spans="1:26" customHeight="false">
      <c r="A191" s="121" t="s"/>
      <c r="B191" s="186" t="s"/>
      <c r="C191" s="186" t="s"/>
      <c r="D191" s="186" t="s"/>
      <c r="E191" s="121" t="s"/>
      <c r="F191" s="121" t="s"/>
      <c r="G191" s="121" t="s"/>
      <c r="H191" s="121" t="s"/>
      <c r="I191" s="161" t="s"/>
      <c r="J191" s="187" t="s"/>
      <c r="K191" s="187" t="s"/>
      <c r="L191" s="187" t="s"/>
      <c r="M191" s="188" t="s"/>
      <c r="N191" s="161" t="s"/>
      <c r="O191" s="189" t="s"/>
      <c r="P191" s="161" t="s"/>
      <c r="Q191" s="161" t="s"/>
      <c r="R191" s="161" t="s"/>
      <c r="S191" s="190" t="s"/>
      <c r="T191" s="161" t="s"/>
      <c r="U191" s="161" t="s"/>
      <c r="V191" s="161" t="s"/>
      <c r="W191" s="161" t="s"/>
      <c r="X191" s="161" t="s"/>
      <c r="Y191" s="161" t="s"/>
      <c r="Z191" s="161" t="s"/>
    </row>
    <row r="192" spans="1:26" customHeight="false">
      <c r="A192" s="121" t="s"/>
      <c r="B192" s="186" t="s"/>
      <c r="C192" s="186" t="s"/>
      <c r="D192" s="186" t="s"/>
      <c r="E192" s="121" t="s"/>
      <c r="F192" s="121" t="s"/>
      <c r="G192" s="121" t="s"/>
      <c r="H192" s="121" t="s"/>
      <c r="I192" s="161" t="s"/>
      <c r="J192" s="187" t="s"/>
      <c r="K192" s="187" t="s"/>
      <c r="L192" s="187" t="s"/>
      <c r="M192" s="188" t="s"/>
      <c r="N192" s="161" t="s"/>
      <c r="O192" s="189" t="s"/>
      <c r="P192" s="161" t="s"/>
      <c r="Q192" s="161" t="s"/>
      <c r="R192" s="161" t="s"/>
      <c r="S192" s="190" t="s"/>
      <c r="T192" s="161" t="s"/>
      <c r="U192" s="161" t="s"/>
      <c r="V192" s="161" t="s"/>
      <c r="W192" s="161" t="s"/>
      <c r="X192" s="161" t="s"/>
      <c r="Y192" s="161" t="s"/>
      <c r="Z192" s="161" t="s"/>
    </row>
    <row r="193" spans="1:26" customHeight="false">
      <c r="A193" s="121" t="s"/>
      <c r="B193" s="186" t="s"/>
      <c r="C193" s="186" t="s"/>
      <c r="D193" s="186" t="s"/>
      <c r="E193" s="121" t="s"/>
      <c r="F193" s="121" t="s"/>
      <c r="G193" s="121" t="s"/>
      <c r="H193" s="121" t="s"/>
      <c r="I193" s="161" t="s"/>
      <c r="J193" s="187" t="s"/>
      <c r="K193" s="187" t="s"/>
      <c r="L193" s="187" t="s"/>
      <c r="M193" s="188" t="s"/>
      <c r="N193" s="161" t="s"/>
      <c r="O193" s="189" t="s"/>
      <c r="P193" s="161" t="s"/>
      <c r="Q193" s="161" t="s"/>
      <c r="R193" s="161" t="s"/>
      <c r="S193" s="190" t="s"/>
      <c r="T193" s="161" t="s"/>
      <c r="U193" s="161" t="s"/>
      <c r="V193" s="161" t="s"/>
      <c r="W193" s="161" t="s"/>
      <c r="X193" s="161" t="s"/>
      <c r="Y193" s="161" t="s"/>
      <c r="Z193" s="161" t="s"/>
    </row>
    <row r="194" spans="1:26" customHeight="false">
      <c r="A194" s="121" t="s"/>
      <c r="B194" s="186" t="s"/>
      <c r="C194" s="186" t="s"/>
      <c r="D194" s="186" t="s"/>
      <c r="E194" s="121" t="s"/>
      <c r="F194" s="121" t="s"/>
      <c r="G194" s="121" t="s"/>
      <c r="H194" s="121" t="s"/>
      <c r="I194" s="161" t="s"/>
      <c r="J194" s="187" t="s"/>
      <c r="K194" s="187" t="s"/>
      <c r="L194" s="187" t="s"/>
      <c r="M194" s="188" t="s"/>
      <c r="N194" s="161" t="s"/>
      <c r="O194" s="189" t="s"/>
      <c r="P194" s="161" t="s"/>
      <c r="Q194" s="161" t="s"/>
      <c r="R194" s="161" t="s"/>
      <c r="S194" s="190" t="s"/>
      <c r="T194" s="161" t="s"/>
      <c r="U194" s="161" t="s"/>
      <c r="V194" s="161" t="s"/>
      <c r="W194" s="161" t="s"/>
      <c r="X194" s="161" t="s"/>
      <c r="Y194" s="161" t="s"/>
      <c r="Z194" s="161" t="s"/>
    </row>
    <row r="195" spans="1:26" customHeight="false">
      <c r="A195" s="121" t="s"/>
      <c r="B195" s="186" t="s"/>
      <c r="C195" s="186" t="s"/>
      <c r="D195" s="186" t="s"/>
      <c r="E195" s="121" t="s"/>
      <c r="F195" s="121" t="s"/>
      <c r="G195" s="121" t="s"/>
      <c r="H195" s="121" t="s"/>
      <c r="I195" s="161" t="s"/>
      <c r="J195" s="187" t="s"/>
      <c r="K195" s="187" t="s"/>
      <c r="L195" s="187" t="s"/>
      <c r="M195" s="188" t="s"/>
      <c r="N195" s="161" t="s"/>
      <c r="O195" s="189" t="s"/>
      <c r="P195" s="161" t="s"/>
      <c r="Q195" s="161" t="s"/>
      <c r="R195" s="161" t="s"/>
      <c r="S195" s="190" t="s"/>
      <c r="T195" s="161" t="s"/>
      <c r="U195" s="161" t="s"/>
      <c r="V195" s="161" t="s"/>
      <c r="W195" s="161" t="s"/>
      <c r="X195" s="161" t="s"/>
      <c r="Y195" s="161" t="s"/>
      <c r="Z195" s="161" t="s"/>
    </row>
    <row r="196" spans="1:26" customHeight="false">
      <c r="A196" s="121" t="s"/>
      <c r="B196" s="186" t="s"/>
      <c r="C196" s="186" t="s"/>
      <c r="D196" s="186" t="s"/>
      <c r="E196" s="121" t="s"/>
      <c r="F196" s="121" t="s"/>
      <c r="G196" s="121" t="s"/>
      <c r="H196" s="121" t="s"/>
      <c r="I196" s="161" t="s"/>
      <c r="J196" s="187" t="s"/>
      <c r="K196" s="187" t="s"/>
      <c r="L196" s="187" t="s"/>
      <c r="M196" s="188" t="s"/>
      <c r="N196" s="161" t="s"/>
      <c r="O196" s="189" t="s"/>
      <c r="P196" s="161" t="s"/>
      <c r="Q196" s="161" t="s"/>
      <c r="R196" s="161" t="s"/>
      <c r="S196" s="190" t="s"/>
      <c r="T196" s="161" t="s"/>
      <c r="U196" s="161" t="s"/>
      <c r="V196" s="161" t="s"/>
      <c r="W196" s="161" t="s"/>
      <c r="X196" s="161" t="s"/>
      <c r="Y196" s="161" t="s"/>
      <c r="Z196" s="161" t="s"/>
    </row>
    <row r="197" spans="1:26" customHeight="false">
      <c r="A197" s="121" t="s"/>
      <c r="B197" s="186" t="s"/>
      <c r="C197" s="186" t="s"/>
      <c r="D197" s="186" t="s"/>
      <c r="E197" s="121" t="s"/>
      <c r="F197" s="121" t="s"/>
      <c r="G197" s="121" t="s"/>
      <c r="H197" s="121" t="s"/>
      <c r="I197" s="161" t="s"/>
      <c r="J197" s="187" t="s"/>
      <c r="K197" s="187" t="s"/>
      <c r="L197" s="187" t="s"/>
      <c r="M197" s="188" t="s"/>
      <c r="N197" s="161" t="s"/>
      <c r="O197" s="189" t="s"/>
      <c r="P197" s="161" t="s"/>
      <c r="Q197" s="161" t="s"/>
      <c r="R197" s="161" t="s"/>
      <c r="S197" s="190" t="s"/>
      <c r="T197" s="161" t="s"/>
      <c r="U197" s="161" t="s"/>
      <c r="V197" s="161" t="s"/>
      <c r="W197" s="161" t="s"/>
      <c r="X197" s="161" t="s"/>
      <c r="Y197" s="161" t="s"/>
      <c r="Z197" s="161" t="s"/>
    </row>
    <row r="198" spans="1:26" customHeight="false">
      <c r="A198" s="121" t="s"/>
      <c r="B198" s="186" t="s"/>
      <c r="C198" s="186" t="s"/>
      <c r="D198" s="186" t="s"/>
      <c r="E198" s="121" t="s"/>
      <c r="F198" s="121" t="s"/>
      <c r="G198" s="121" t="s"/>
      <c r="H198" s="121" t="s"/>
      <c r="I198" s="161" t="s"/>
      <c r="J198" s="187" t="s"/>
      <c r="K198" s="187" t="s"/>
      <c r="L198" s="187" t="s"/>
      <c r="M198" s="188" t="s"/>
      <c r="N198" s="161" t="s"/>
      <c r="O198" s="189" t="s"/>
      <c r="P198" s="161" t="s"/>
      <c r="Q198" s="161" t="s"/>
      <c r="R198" s="161" t="s"/>
      <c r="S198" s="190" t="s"/>
      <c r="T198" s="161" t="s"/>
      <c r="U198" s="161" t="s"/>
      <c r="V198" s="161" t="s"/>
      <c r="W198" s="161" t="s"/>
      <c r="X198" s="161" t="s"/>
      <c r="Y198" s="161" t="s"/>
      <c r="Z198" s="161" t="s"/>
    </row>
    <row r="199" spans="1:26" customHeight="false">
      <c r="A199" s="121" t="s"/>
      <c r="B199" s="186" t="s"/>
      <c r="C199" s="186" t="s"/>
      <c r="D199" s="186" t="s"/>
      <c r="E199" s="121" t="s"/>
      <c r="F199" s="121" t="s"/>
      <c r="G199" s="121" t="s"/>
      <c r="H199" s="121" t="s"/>
      <c r="I199" s="161" t="s"/>
      <c r="J199" s="187" t="s"/>
      <c r="K199" s="187" t="s"/>
      <c r="L199" s="187" t="s"/>
      <c r="M199" s="188" t="s"/>
      <c r="N199" s="161" t="s"/>
      <c r="O199" s="189" t="s"/>
      <c r="P199" s="161" t="s"/>
      <c r="Q199" s="161" t="s"/>
      <c r="R199" s="161" t="s"/>
      <c r="S199" s="190" t="s"/>
      <c r="T199" s="161" t="s"/>
      <c r="U199" s="161" t="s"/>
      <c r="V199" s="161" t="s"/>
      <c r="W199" s="161" t="s"/>
      <c r="X199" s="161" t="s"/>
      <c r="Y199" s="161" t="s"/>
      <c r="Z199" s="161" t="s"/>
    </row>
    <row r="200" spans="1:26" customHeight="false">
      <c r="A200" s="121" t="s"/>
      <c r="B200" s="186" t="s"/>
      <c r="C200" s="186" t="s"/>
      <c r="D200" s="186" t="s"/>
      <c r="E200" s="121" t="s"/>
      <c r="F200" s="121" t="s"/>
      <c r="G200" s="121" t="s"/>
      <c r="H200" s="121" t="s"/>
      <c r="I200" s="161" t="s"/>
      <c r="J200" s="187" t="s"/>
      <c r="K200" s="187" t="s"/>
      <c r="L200" s="187" t="s"/>
      <c r="M200" s="188" t="s"/>
      <c r="N200" s="161" t="s"/>
      <c r="O200" s="189" t="s"/>
      <c r="P200" s="161" t="s"/>
      <c r="Q200" s="161" t="s"/>
      <c r="R200" s="161" t="s"/>
      <c r="S200" s="190" t="s"/>
      <c r="T200" s="161" t="s"/>
      <c r="U200" s="161" t="s"/>
      <c r="V200" s="161" t="s"/>
      <c r="W200" s="161" t="s"/>
      <c r="X200" s="161" t="s"/>
      <c r="Y200" s="161" t="s"/>
      <c r="Z200" s="161" t="s"/>
    </row>
    <row r="201" spans="1:26" customHeight="false">
      <c r="A201" s="121" t="s"/>
      <c r="B201" s="186" t="s"/>
      <c r="C201" s="186" t="s"/>
      <c r="D201" s="186" t="s"/>
      <c r="E201" s="121" t="s"/>
      <c r="F201" s="121" t="s"/>
      <c r="G201" s="121" t="s"/>
      <c r="H201" s="121" t="s"/>
      <c r="I201" s="161" t="s"/>
      <c r="J201" s="187" t="s"/>
      <c r="K201" s="187" t="s"/>
      <c r="L201" s="187" t="s"/>
      <c r="M201" s="188" t="s"/>
      <c r="N201" s="161" t="s"/>
      <c r="O201" s="189" t="s"/>
      <c r="P201" s="161" t="s"/>
      <c r="Q201" s="161" t="s"/>
      <c r="R201" s="161" t="s"/>
      <c r="S201" s="190" t="s"/>
      <c r="T201" s="161" t="s"/>
      <c r="U201" s="161" t="s"/>
      <c r="V201" s="161" t="s"/>
      <c r="W201" s="161" t="s"/>
      <c r="X201" s="161" t="s"/>
      <c r="Y201" s="161" t="s"/>
      <c r="Z201" s="161" t="s"/>
    </row>
    <row r="202" spans="1:26" customHeight="false">
      <c r="A202" s="121" t="s"/>
      <c r="B202" s="186" t="s"/>
      <c r="C202" s="186" t="s"/>
      <c r="D202" s="186" t="s"/>
      <c r="E202" s="121" t="s"/>
      <c r="F202" s="121" t="s"/>
      <c r="G202" s="121" t="s"/>
      <c r="H202" s="121" t="s"/>
      <c r="I202" s="161" t="s"/>
      <c r="J202" s="187" t="s"/>
      <c r="K202" s="187" t="s"/>
      <c r="L202" s="187" t="s"/>
      <c r="M202" s="188" t="s"/>
      <c r="N202" s="161" t="s"/>
      <c r="O202" s="189" t="s"/>
      <c r="P202" s="161" t="s"/>
      <c r="Q202" s="161" t="s"/>
      <c r="R202" s="161" t="s"/>
      <c r="S202" s="190" t="s"/>
      <c r="T202" s="161" t="s"/>
      <c r="U202" s="161" t="s"/>
      <c r="V202" s="161" t="s"/>
      <c r="W202" s="161" t="s"/>
      <c r="X202" s="161" t="s"/>
      <c r="Y202" s="161" t="s"/>
      <c r="Z202" s="161" t="s"/>
    </row>
    <row r="203" spans="1:26" customHeight="false">
      <c r="A203" s="121" t="s"/>
      <c r="B203" s="186" t="s"/>
      <c r="C203" s="186" t="s"/>
      <c r="D203" s="186" t="s"/>
      <c r="E203" s="121" t="s"/>
      <c r="F203" s="121" t="s"/>
      <c r="G203" s="121" t="s"/>
      <c r="H203" s="121" t="s"/>
      <c r="I203" s="161" t="s"/>
      <c r="J203" s="187" t="s"/>
      <c r="K203" s="187" t="s"/>
      <c r="L203" s="187" t="s"/>
      <c r="M203" s="188" t="s"/>
      <c r="N203" s="161" t="s"/>
      <c r="O203" s="189" t="s"/>
      <c r="P203" s="161" t="s"/>
      <c r="Q203" s="161" t="s"/>
      <c r="R203" s="161" t="s"/>
      <c r="S203" s="190" t="s"/>
      <c r="T203" s="161" t="s"/>
      <c r="U203" s="161" t="s"/>
      <c r="V203" s="161" t="s"/>
      <c r="W203" s="161" t="s"/>
      <c r="X203" s="161" t="s"/>
      <c r="Y203" s="161" t="s"/>
      <c r="Z203" s="161" t="s"/>
    </row>
    <row r="204" spans="1:26" customHeight="false">
      <c r="A204" s="121" t="s"/>
      <c r="B204" s="186" t="s"/>
      <c r="C204" s="186" t="s"/>
      <c r="D204" s="186" t="s"/>
      <c r="E204" s="121" t="s"/>
      <c r="F204" s="121" t="s"/>
      <c r="G204" s="121" t="s"/>
      <c r="H204" s="121" t="s"/>
      <c r="I204" s="161" t="s"/>
      <c r="J204" s="187" t="s"/>
      <c r="K204" s="187" t="s"/>
      <c r="L204" s="187" t="s"/>
      <c r="M204" s="188" t="s"/>
      <c r="N204" s="161" t="s"/>
      <c r="O204" s="189" t="s"/>
      <c r="P204" s="161" t="s"/>
      <c r="Q204" s="161" t="s"/>
      <c r="R204" s="161" t="s"/>
      <c r="S204" s="190" t="s"/>
      <c r="T204" s="161" t="s"/>
      <c r="U204" s="161" t="s"/>
      <c r="V204" s="161" t="s"/>
      <c r="W204" s="161" t="s"/>
      <c r="X204" s="161" t="s"/>
      <c r="Y204" s="161" t="s"/>
      <c r="Z204" s="161" t="s"/>
    </row>
    <row r="205" spans="1:26" customHeight="false">
      <c r="A205" s="121" t="s"/>
      <c r="B205" s="186" t="s"/>
      <c r="C205" s="186" t="s"/>
      <c r="D205" s="186" t="s"/>
      <c r="E205" s="121" t="s"/>
      <c r="F205" s="121" t="s"/>
      <c r="G205" s="121" t="s"/>
      <c r="H205" s="121" t="s"/>
      <c r="I205" s="161" t="s"/>
      <c r="J205" s="187" t="s"/>
      <c r="K205" s="187" t="s"/>
      <c r="L205" s="187" t="s"/>
      <c r="M205" s="188" t="s"/>
      <c r="N205" s="161" t="s"/>
      <c r="O205" s="189" t="s"/>
      <c r="P205" s="161" t="s"/>
      <c r="Q205" s="161" t="s"/>
      <c r="R205" s="161" t="s"/>
      <c r="S205" s="190" t="s"/>
      <c r="T205" s="161" t="s"/>
      <c r="U205" s="161" t="s"/>
      <c r="V205" s="161" t="s"/>
      <c r="W205" s="161" t="s"/>
      <c r="X205" s="161" t="s"/>
      <c r="Y205" s="161" t="s"/>
      <c r="Z205" s="161" t="s"/>
    </row>
    <row r="206" spans="1:26" customHeight="false">
      <c r="A206" s="121" t="s"/>
      <c r="B206" s="186" t="s"/>
      <c r="C206" s="186" t="s"/>
      <c r="D206" s="186" t="s"/>
      <c r="E206" s="121" t="s"/>
      <c r="F206" s="121" t="s"/>
      <c r="G206" s="121" t="s"/>
      <c r="H206" s="121" t="s"/>
      <c r="I206" s="161" t="s"/>
      <c r="J206" s="187" t="s"/>
      <c r="K206" s="187" t="s"/>
      <c r="L206" s="187" t="s"/>
      <c r="M206" s="188" t="s"/>
      <c r="N206" s="161" t="s"/>
      <c r="O206" s="189" t="s"/>
      <c r="P206" s="161" t="s"/>
      <c r="Q206" s="161" t="s"/>
      <c r="R206" s="161" t="s"/>
      <c r="S206" s="190" t="s"/>
      <c r="T206" s="161" t="s"/>
      <c r="U206" s="161" t="s"/>
      <c r="V206" s="161" t="s"/>
      <c r="W206" s="161" t="s"/>
      <c r="X206" s="161" t="s"/>
      <c r="Y206" s="161" t="s"/>
      <c r="Z206" s="161" t="s"/>
    </row>
    <row r="207" spans="1:26" customHeight="false">
      <c r="A207" s="121" t="s"/>
      <c r="B207" s="186" t="s"/>
      <c r="C207" s="186" t="s"/>
      <c r="D207" s="186" t="s"/>
      <c r="E207" s="121" t="s"/>
      <c r="F207" s="121" t="s"/>
      <c r="G207" s="121" t="s"/>
      <c r="H207" s="121" t="s"/>
      <c r="I207" s="161" t="s"/>
      <c r="J207" s="187" t="s"/>
      <c r="K207" s="187" t="s"/>
      <c r="L207" s="187" t="s"/>
      <c r="M207" s="188" t="s"/>
      <c r="N207" s="161" t="s"/>
      <c r="O207" s="189" t="s"/>
      <c r="P207" s="161" t="s"/>
      <c r="Q207" s="161" t="s"/>
      <c r="R207" s="161" t="s"/>
      <c r="S207" s="190" t="s"/>
      <c r="T207" s="161" t="s"/>
      <c r="U207" s="161" t="s"/>
      <c r="V207" s="161" t="s"/>
      <c r="W207" s="161" t="s"/>
      <c r="X207" s="161" t="s"/>
      <c r="Y207" s="161" t="s"/>
      <c r="Z207" s="161" t="s"/>
    </row>
    <row r="208" spans="1:26" customHeight="false">
      <c r="A208" s="121" t="s"/>
      <c r="B208" s="186" t="s"/>
      <c r="C208" s="186" t="s"/>
      <c r="D208" s="186" t="s"/>
      <c r="E208" s="121" t="s"/>
      <c r="F208" s="121" t="s"/>
      <c r="G208" s="121" t="s"/>
      <c r="H208" s="121" t="s"/>
      <c r="I208" s="161" t="s"/>
      <c r="J208" s="187" t="s"/>
      <c r="K208" s="187" t="s"/>
      <c r="L208" s="187" t="s"/>
      <c r="M208" s="188" t="s"/>
      <c r="N208" s="161" t="s"/>
      <c r="O208" s="189" t="s"/>
      <c r="P208" s="161" t="s"/>
      <c r="Q208" s="161" t="s"/>
      <c r="R208" s="161" t="s"/>
      <c r="S208" s="190" t="s"/>
      <c r="T208" s="161" t="s"/>
      <c r="U208" s="161" t="s"/>
      <c r="V208" s="161" t="s"/>
      <c r="W208" s="161" t="s"/>
      <c r="X208" s="161" t="s"/>
      <c r="Y208" s="161" t="s"/>
      <c r="Z208" s="161" t="s"/>
    </row>
  </sheetData>
  <autoFilter ref="A4:H144">
    <sortState ref="A5:H144"/>
  </autoFilter>
  <mergeCells count="33">
    <mergeCell ref="E3:E4"/>
    <mergeCell ref="F3:F4"/>
    <mergeCell ref="G3:H3"/>
    <mergeCell ref="I3:I4"/>
    <mergeCell ref="J3:L3"/>
    <mergeCell ref="M3:P3"/>
    <mergeCell ref="Q3:T3"/>
    <mergeCell ref="U3:X3"/>
    <mergeCell ref="Y3:AB3"/>
    <mergeCell ref="A3:A4"/>
    <mergeCell ref="B3:B4"/>
    <mergeCell ref="D3:D4"/>
    <mergeCell ref="C3:C4"/>
    <mergeCell ref="A1:AB1"/>
    <mergeCell ref="A2:AB2"/>
    <mergeCell ref="B5:C5"/>
    <mergeCell ref="O6:O7"/>
    <mergeCell ref="P6:P7"/>
    <mergeCell ref="B20:D20"/>
    <mergeCell ref="O21:O22"/>
    <mergeCell ref="P21:P22"/>
    <mergeCell ref="B34:C34"/>
    <mergeCell ref="B48:C48"/>
    <mergeCell ref="G6:G18"/>
    <mergeCell ref="H6:H18"/>
    <mergeCell ref="G21:G33"/>
    <mergeCell ref="H21:H33"/>
    <mergeCell ref="B129:C129"/>
    <mergeCell ref="Q49:T124"/>
    <mergeCell ref="U49:X124"/>
    <mergeCell ref="Q130:T141"/>
    <mergeCell ref="U130:X141"/>
    <mergeCell ref="B45:C45"/>
  </mergeCells>
</worksheet>
</file>

<file path=xl/worksheets/sheet7.xml><?xml version="1.0" encoding="utf-8"?>
<worksheet xmlns="http://schemas.openxmlformats.org/spreadsheetml/2006/main">
  <sheetPr codeName="建水、消防水工程">
    <tabColor rgb="FFFFFFFF"/>
  </sheetPr>
  <dimension ref="Z208"/>
  <sheetViews>
    <sheetView showGridLines="true" rightToLeft="false" workbookViewId="0">
      <pane xSplit="1" ySplit="1" topLeftCell="B2" state="frozen"/>
    </sheetView>
  </sheetViews>
  <cols>
    <col min="1" max="1" width="7.68359" customWidth="true"/>
    <col min="2" max="2" width="21.3125" customWidth="true"/>
    <col min="3" max="3" width="47.8711" customWidth="true"/>
    <col min="4" max="4" width="21.3242" customWidth="true"/>
    <col min="5" max="5" width="6.87109" customWidth="true"/>
    <col min="6" max="6" width="9.30078" customWidth="true"/>
    <col min="7" max="7" width="8.43359" style="1008" customWidth="true"/>
    <col min="8" max="8" width="11.8633" style="1008" customWidth="true"/>
    <col min="9" max="9" width="7.71094" style="1008" customWidth="true"/>
    <col min="10" max="12" width="7.71094" style="1014" customWidth="true"/>
    <col min="13" max="15" width="7.71094" customWidth="true"/>
    <col min="16" max="16" width="9.44141" customWidth="true"/>
    <col min="17" max="19" width="7.71094" customWidth="true"/>
    <col min="20" max="20" width="9.71094" customWidth="true"/>
    <col min="21" max="26" width="7.71094" customWidth="true"/>
  </cols>
  <sheetData>
    <row r="1" spans="1:28" ht="39" customHeight="true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6" t="s"/>
      <c r="J1" s="7" t="s"/>
      <c r="K1" s="7" t="s"/>
      <c r="L1" s="7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</row>
    <row r="2" spans="1:28" customHeight="false">
      <c r="A2" s="8" t="s">
        <v>323</v>
      </c>
      <c r="B2" s="9" t="s"/>
      <c r="C2" s="9" t="s"/>
      <c r="D2" s="9" t="s"/>
      <c r="E2" s="9" t="s"/>
      <c r="F2" s="9" t="s"/>
      <c r="G2" s="9" t="s"/>
      <c r="H2" s="9" t="s"/>
      <c r="I2" s="9" t="s"/>
      <c r="J2" s="11" t="s"/>
      <c r="K2" s="11" t="s"/>
      <c r="L2" s="11" t="s"/>
      <c r="M2" s="9" t="s"/>
      <c r="N2" s="9" t="s"/>
      <c r="O2" s="9" t="s"/>
      <c r="P2" s="9" t="s"/>
      <c r="Q2" s="9" t="s"/>
      <c r="R2" s="9" t="s"/>
      <c r="S2" s="9" t="s"/>
      <c r="T2" s="9" t="s"/>
      <c r="U2" s="9" t="s"/>
      <c r="V2" s="9" t="s"/>
      <c r="W2" s="9" t="s"/>
      <c r="X2" s="9" t="s"/>
      <c r="Y2" s="9" t="s"/>
      <c r="Z2" s="9" t="s"/>
      <c r="AA2" s="9" t="s"/>
      <c r="AB2" s="9" t="s"/>
    </row>
    <row r="3" spans="1:28">
      <c r="A3" s="12" t="s">
        <v>3</v>
      </c>
      <c r="B3" s="213" t="s">
        <v>4</v>
      </c>
      <c r="C3" s="214" t="s">
        <v>5</v>
      </c>
      <c r="D3" s="215" t="s">
        <v>6</v>
      </c>
      <c r="E3" s="12" t="s">
        <v>7</v>
      </c>
      <c r="F3" s="12" t="s">
        <v>8</v>
      </c>
      <c r="G3" s="216" t="s">
        <v>9</v>
      </c>
      <c r="H3" s="217" t="s"/>
      <c r="I3" s="218" t="s">
        <v>10</v>
      </c>
      <c r="J3" s="219" t="s">
        <v>11</v>
      </c>
      <c r="K3" s="21" t="s"/>
      <c r="L3" s="21" t="s"/>
      <c r="M3" s="22" t="s">
        <v>12</v>
      </c>
      <c r="N3" s="23" t="s"/>
      <c r="O3" s="23" t="s"/>
      <c r="P3" s="23" t="s"/>
      <c r="Q3" s="22" t="s">
        <v>13</v>
      </c>
      <c r="R3" s="23" t="s"/>
      <c r="S3" s="23" t="s"/>
      <c r="T3" s="23" t="s"/>
      <c r="U3" s="22" t="s">
        <v>14</v>
      </c>
      <c r="V3" s="23" t="s"/>
      <c r="W3" s="23" t="s"/>
      <c r="X3" s="23" t="s"/>
      <c r="Y3" s="22" t="s">
        <v>15</v>
      </c>
      <c r="Z3" s="23" t="s"/>
      <c r="AA3" s="23" t="s"/>
      <c r="AB3" s="23" t="s"/>
    </row>
    <row r="4" spans="1:28" customHeight="false">
      <c r="A4" s="24" t="s"/>
      <c r="B4" s="220" t="s"/>
      <c r="C4" s="220" t="s"/>
      <c r="D4" s="220" t="s"/>
      <c r="E4" s="220" t="s"/>
      <c r="F4" s="220" t="s"/>
      <c r="G4" s="221" t="s">
        <v>16</v>
      </c>
      <c r="H4" s="221" t="s">
        <v>17</v>
      </c>
      <c r="I4" s="220" t="s"/>
      <c r="J4" s="222" t="s">
        <v>18</v>
      </c>
      <c r="K4" s="222" t="s">
        <v>19</v>
      </c>
      <c r="L4" s="222" t="s">
        <v>20</v>
      </c>
      <c r="M4" s="17" t="s">
        <v>21</v>
      </c>
      <c r="N4" s="17" t="s">
        <v>22</v>
      </c>
      <c r="O4" s="17" t="s">
        <v>19</v>
      </c>
      <c r="P4" s="17" t="s">
        <v>20</v>
      </c>
      <c r="Q4" s="17" t="s">
        <v>21</v>
      </c>
      <c r="R4" s="17" t="s">
        <v>22</v>
      </c>
      <c r="S4" s="17" t="s">
        <v>19</v>
      </c>
      <c r="T4" s="17" t="s">
        <v>20</v>
      </c>
      <c r="U4" s="223" t="s">
        <v>21</v>
      </c>
      <c r="V4" s="30" t="s">
        <v>22</v>
      </c>
      <c r="W4" s="17" t="s">
        <v>19</v>
      </c>
      <c r="X4" s="17" t="s">
        <v>20</v>
      </c>
      <c r="Y4" s="17" t="s">
        <v>21</v>
      </c>
      <c r="Z4" s="17" t="s">
        <v>22</v>
      </c>
      <c r="AA4" s="17" t="s">
        <v>19</v>
      </c>
      <c r="AB4" s="17" t="s">
        <v>20</v>
      </c>
    </row>
    <row r="5" spans="1:28" ht="27.75" customHeight="true">
      <c r="A5" s="224" t="s"/>
      <c r="B5" s="225" t="s">
        <v>324</v>
      </c>
      <c r="C5" s="9" t="s"/>
      <c r="D5" s="226" t="s"/>
      <c r="E5" s="227" t="s"/>
      <c r="F5" s="227" t="s"/>
      <c r="G5" s="228" t="s"/>
      <c r="H5" s="228" t="s"/>
      <c r="I5" s="229" t="s"/>
      <c r="J5" s="230" t="s"/>
      <c r="K5" s="230" t="s"/>
      <c r="L5" s="230" t="s"/>
      <c r="M5" s="41" t="s"/>
      <c r="N5" s="41" t="s"/>
      <c r="O5" s="42" t="s"/>
      <c r="P5" s="42" t="s"/>
      <c r="Q5" s="41" t="s"/>
      <c r="R5" s="41" t="s"/>
      <c r="S5" s="42" t="s"/>
      <c r="T5" s="42" t="s"/>
      <c r="U5" s="41" t="s"/>
      <c r="V5" s="41" t="s"/>
      <c r="W5" s="41" t="s"/>
      <c r="X5" s="41" t="s"/>
      <c r="Y5" s="41" t="s"/>
      <c r="Z5" s="41" t="s"/>
      <c r="AA5" s="42" t="s"/>
      <c r="AB5" s="42" t="s"/>
    </row>
    <row r="6" spans="1:28" ht="27.75" customHeight="true">
      <c r="A6" s="16" t="s"/>
      <c r="B6" s="231" t="s">
        <v>325</v>
      </c>
      <c r="C6" s="143" t="s">
        <v>326</v>
      </c>
      <c r="D6" s="232" t="s">
        <v>327</v>
      </c>
      <c r="E6" s="16" t="s">
        <v>32</v>
      </c>
      <c r="F6" s="16">
        <v>2</v>
      </c>
      <c r="G6" s="233">
        <v>41589</v>
      </c>
      <c r="H6" s="233">
        <f>=F6*G6</f>
        <v>83178</v>
      </c>
      <c r="I6" s="234" t="s"/>
      <c r="J6" s="235" t="s"/>
      <c r="K6" s="235" t="s"/>
      <c r="L6" s="235" t="s"/>
      <c r="M6" s="41" t="s">
        <v>328</v>
      </c>
      <c r="N6" s="41" t="s">
        <v>329</v>
      </c>
      <c r="O6" s="42">
        <f>=13167+10394/2</f>
        <v>18364</v>
      </c>
      <c r="P6" s="42">
        <f>=O6*F6</f>
        <v>36728</v>
      </c>
      <c r="Q6" s="41" t="s"/>
      <c r="R6" s="41" t="s"/>
      <c r="S6" s="42" t="s"/>
      <c r="T6" s="42" t="s"/>
      <c r="U6" s="41" t="s"/>
      <c r="V6" s="41" t="s"/>
      <c r="W6" s="41" t="s"/>
      <c r="X6" s="41" t="s"/>
      <c r="Y6" s="41" t="s"/>
      <c r="Z6" s="41" t="s"/>
      <c r="AA6" s="42" t="s"/>
      <c r="AB6" s="42" t="s"/>
    </row>
    <row r="7" spans="1:28" ht="28.5" customHeight="true">
      <c r="A7" s="16" t="s"/>
      <c r="B7" s="59" t="s">
        <v>330</v>
      </c>
      <c r="C7" s="9" t="s">
        <v>331</v>
      </c>
      <c r="D7" s="232" t="s">
        <v>332</v>
      </c>
      <c r="E7" s="16" t="s">
        <v>32</v>
      </c>
      <c r="F7" s="16">
        <v>2</v>
      </c>
      <c r="G7" s="233">
        <v>41589</v>
      </c>
      <c r="H7" s="233">
        <f>=G7*F7</f>
        <v>83178</v>
      </c>
      <c r="I7" s="234" t="s"/>
      <c r="J7" s="235" t="s"/>
      <c r="K7" s="235" t="s"/>
      <c r="L7" s="235" t="s"/>
      <c r="M7" s="41" t="s">
        <v>328</v>
      </c>
      <c r="N7" s="41" t="s">
        <v>329</v>
      </c>
      <c r="O7" s="42">
        <f>=10400+9821/2</f>
        <v>15310.5</v>
      </c>
      <c r="P7" s="42">
        <f>=O7*F7</f>
        <v>30621</v>
      </c>
      <c r="Q7" s="41" t="s"/>
      <c r="R7" s="41" t="s"/>
      <c r="S7" s="42" t="s"/>
      <c r="T7" s="42" t="s"/>
      <c r="U7" s="41" t="s"/>
      <c r="V7" s="41" t="s"/>
      <c r="W7" s="41" t="s"/>
      <c r="X7" s="41" t="s"/>
      <c r="Y7" s="41" t="s"/>
      <c r="Z7" s="41" t="s"/>
      <c r="AA7" s="42" t="s"/>
      <c r="AB7" s="42" t="s"/>
    </row>
    <row r="8" spans="1:28" customHeight="false">
      <c r="A8" s="16" t="s"/>
      <c r="B8" s="59" t="s">
        <v>333</v>
      </c>
      <c r="C8" s="42" t="s">
        <v>334</v>
      </c>
      <c r="D8" s="232" t="s">
        <v>335</v>
      </c>
      <c r="E8" s="16" t="s">
        <v>36</v>
      </c>
      <c r="F8" s="16">
        <v>1</v>
      </c>
      <c r="G8" s="233">
        <f>=20512.25*1.13</f>
        <v>23178.8425</v>
      </c>
      <c r="H8" s="233">
        <f>=F8*G8</f>
        <v>23178.8425</v>
      </c>
      <c r="I8" s="234" t="s"/>
      <c r="J8" s="235" t="s"/>
      <c r="K8" s="235" t="s"/>
      <c r="L8" s="235" t="s"/>
      <c r="M8" s="41" t="s">
        <v>328</v>
      </c>
      <c r="N8" s="41" t="s">
        <v>329</v>
      </c>
      <c r="O8" s="42">
        <f>=4116+2547+6805</f>
        <v>13468</v>
      </c>
      <c r="P8" s="42">
        <f>=O8*F8</f>
        <v>13468</v>
      </c>
      <c r="Q8" s="41" t="s"/>
      <c r="R8" s="41" t="s"/>
      <c r="S8" s="42" t="s"/>
      <c r="T8" s="42" t="s"/>
      <c r="U8" s="41" t="s"/>
      <c r="V8" s="41" t="s"/>
      <c r="W8" s="42" t="s"/>
      <c r="X8" s="42" t="s"/>
      <c r="Y8" s="42" t="s"/>
      <c r="Z8" s="42" t="s"/>
      <c r="AA8" s="42" t="s"/>
      <c r="AB8" s="42" t="s"/>
    </row>
    <row r="9" spans="1:28" customHeight="false">
      <c r="A9" s="16" t="s"/>
      <c r="B9" s="59" t="s">
        <v>336</v>
      </c>
      <c r="C9" s="42" t="s"/>
      <c r="D9" s="232" t="s">
        <v>335</v>
      </c>
      <c r="E9" s="16" t="s">
        <v>36</v>
      </c>
      <c r="F9" s="16">
        <v>1</v>
      </c>
      <c r="G9" s="236" t="s"/>
      <c r="H9" s="233" t="s"/>
      <c r="I9" s="234" t="s"/>
      <c r="J9" s="235" t="s"/>
      <c r="K9" s="235" t="s"/>
      <c r="L9" s="235" t="s"/>
      <c r="M9" s="41" t="s">
        <v>328</v>
      </c>
      <c r="N9" s="41" t="s">
        <v>329</v>
      </c>
      <c r="O9" s="42">
        <f>=4116+2547+6805</f>
        <v>13468</v>
      </c>
      <c r="P9" s="42">
        <f>=O9*F9</f>
        <v>13468</v>
      </c>
      <c r="Q9" s="41" t="s"/>
      <c r="R9" s="41" t="s"/>
      <c r="S9" s="42" t="s"/>
      <c r="T9" s="42" t="s"/>
      <c r="U9" s="41" t="s"/>
      <c r="V9" s="41" t="s"/>
      <c r="W9" s="42" t="s"/>
      <c r="X9" s="42" t="s"/>
      <c r="Y9" s="41" t="s"/>
      <c r="Z9" s="41" t="s"/>
      <c r="AA9" s="42" t="s"/>
      <c r="AB9" s="42" t="s"/>
    </row>
    <row r="10" spans="1:28" customHeight="false">
      <c r="A10" s="16" t="s"/>
      <c r="B10" s="237" t="s">
        <v>337</v>
      </c>
      <c r="C10" s="238" t="s"/>
      <c r="D10" s="239" t="s"/>
      <c r="E10" s="240" t="s"/>
      <c r="F10" s="49" t="s"/>
      <c r="G10" s="241" t="s"/>
      <c r="H10" s="242" t="s"/>
      <c r="I10" s="243" t="s"/>
      <c r="J10" s="230" t="s"/>
      <c r="K10" s="230" t="s"/>
      <c r="L10" s="230" t="s"/>
      <c r="M10" s="41" t="s"/>
      <c r="N10" s="41" t="s"/>
      <c r="O10" s="42" t="s"/>
      <c r="P10" s="16" t="s"/>
      <c r="Q10" s="41" t="s"/>
      <c r="R10" s="41" t="s"/>
      <c r="S10" s="42" t="s"/>
      <c r="T10" s="42" t="s"/>
      <c r="U10" s="41" t="s"/>
      <c r="V10" s="41" t="s"/>
      <c r="W10" s="9" t="s"/>
      <c r="X10" s="9" t="s"/>
      <c r="Y10" s="41" t="s"/>
      <c r="Z10" s="41" t="s"/>
      <c r="AA10" s="42" t="s"/>
      <c r="AB10" s="42" t="s"/>
    </row>
    <row r="11" spans="1:28" customHeight="false">
      <c r="A11" s="43" t="s"/>
      <c r="B11" s="59" t="s">
        <v>338</v>
      </c>
      <c r="C11" s="42" t="s">
        <v>339</v>
      </c>
      <c r="D11" s="42" t="s">
        <v>340</v>
      </c>
      <c r="E11" s="232" t="s">
        <v>273</v>
      </c>
      <c r="F11" s="16" t="s"/>
      <c r="G11" s="236">
        <v>14.693</v>
      </c>
      <c r="H11" s="244">
        <f>=G11*F11</f>
        <v>0</v>
      </c>
      <c r="I11" s="243" t="s"/>
      <c r="J11" s="230" t="s"/>
      <c r="K11" s="230" t="s"/>
      <c r="L11" s="230" t="s"/>
      <c r="M11" s="41" t="s">
        <v>341</v>
      </c>
      <c r="N11" s="41" t="s">
        <v>342</v>
      </c>
      <c r="O11" s="42">
        <v>15.1</v>
      </c>
      <c r="P11" s="16">
        <f>=O11*F11</f>
        <v>0</v>
      </c>
      <c r="Q11" s="41" t="s"/>
      <c r="R11" s="41" t="s"/>
      <c r="S11" s="42" t="s"/>
      <c r="T11" s="42" t="s"/>
      <c r="U11" s="41" t="s"/>
      <c r="V11" s="41" t="s"/>
      <c r="W11" s="9" t="s"/>
      <c r="X11" s="9" t="s"/>
      <c r="Y11" s="41" t="s"/>
      <c r="Z11" s="41" t="s"/>
      <c r="AA11" s="42" t="s"/>
      <c r="AB11" s="42" t="s"/>
    </row>
    <row r="12" spans="1:28" customHeight="false">
      <c r="A12" s="43" t="s"/>
      <c r="B12" s="59" t="s">
        <v>338</v>
      </c>
      <c r="C12" s="42" t="s"/>
      <c r="D12" s="42" t="s">
        <v>343</v>
      </c>
      <c r="E12" s="232" t="s">
        <v>273</v>
      </c>
      <c r="F12" s="16" t="s"/>
      <c r="G12" s="236" t="s"/>
      <c r="H12" s="244" t="s"/>
      <c r="I12" s="243" t="s"/>
      <c r="J12" s="230" t="s"/>
      <c r="K12" s="230" t="s"/>
      <c r="L12" s="230" t="s"/>
      <c r="M12" s="41" t="s">
        <v>341</v>
      </c>
      <c r="N12" s="41" t="s">
        <v>342</v>
      </c>
      <c r="O12" s="42">
        <v>20.76</v>
      </c>
      <c r="P12" s="16">
        <f>=O12*F12</f>
        <v>0</v>
      </c>
      <c r="Q12" s="41" t="s"/>
      <c r="R12" s="41" t="s"/>
      <c r="S12" s="42" t="s"/>
      <c r="T12" s="42" t="s"/>
      <c r="U12" s="41" t="s"/>
      <c r="V12" s="41" t="s"/>
      <c r="W12" s="9" t="s"/>
      <c r="X12" s="9" t="s"/>
      <c r="Y12" s="41" t="s"/>
      <c r="Z12" s="41" t="s"/>
      <c r="AA12" s="42" t="s"/>
      <c r="AB12" s="42" t="s"/>
    </row>
    <row r="13" spans="1:28" customHeight="false">
      <c r="A13" s="43" t="s"/>
      <c r="B13" s="59" t="s">
        <v>338</v>
      </c>
      <c r="C13" s="42" t="s">
        <v>344</v>
      </c>
      <c r="D13" s="42" t="s">
        <v>345</v>
      </c>
      <c r="E13" s="232" t="s">
        <v>273</v>
      </c>
      <c r="F13" s="16" t="s"/>
      <c r="G13" s="236">
        <v>21.358</v>
      </c>
      <c r="H13" s="244">
        <f>=G13*F13</f>
        <v>0</v>
      </c>
      <c r="I13" s="243" t="s"/>
      <c r="J13" s="230" t="s"/>
      <c r="K13" s="230" t="s"/>
      <c r="L13" s="230" t="s"/>
      <c r="M13" s="41" t="s">
        <v>341</v>
      </c>
      <c r="N13" s="41" t="s">
        <v>342</v>
      </c>
      <c r="O13" s="42">
        <v>23.9</v>
      </c>
      <c r="P13" s="16">
        <f>=O13*F13</f>
        <v>0</v>
      </c>
      <c r="Q13" s="41" t="s"/>
      <c r="R13" s="41" t="s"/>
      <c r="S13" s="42" t="s"/>
      <c r="T13" s="42" t="s"/>
      <c r="U13" s="41" t="s"/>
      <c r="V13" s="41" t="s"/>
      <c r="W13" s="9" t="s"/>
      <c r="X13" s="9" t="s"/>
      <c r="Y13" s="41" t="s"/>
      <c r="Z13" s="41" t="s"/>
      <c r="AA13" s="42" t="s"/>
      <c r="AB13" s="42" t="s"/>
    </row>
    <row r="14" spans="1:28" customHeight="false">
      <c r="A14" s="43" t="s"/>
      <c r="B14" s="59" t="s">
        <v>338</v>
      </c>
      <c r="C14" s="42" t="s">
        <v>346</v>
      </c>
      <c r="D14" s="42" t="s">
        <v>347</v>
      </c>
      <c r="E14" s="232" t="s">
        <v>273</v>
      </c>
      <c r="F14" s="16" t="s"/>
      <c r="G14" s="236">
        <v>35.142</v>
      </c>
      <c r="H14" s="244">
        <f>=G14*F14</f>
        <v>0</v>
      </c>
      <c r="I14" s="243" t="s"/>
      <c r="J14" s="230" t="s"/>
      <c r="K14" s="230" t="s"/>
      <c r="L14" s="230" t="s"/>
      <c r="M14" s="41" t="s">
        <v>341</v>
      </c>
      <c r="N14" s="41" t="s">
        <v>342</v>
      </c>
      <c r="O14" s="42">
        <v>32.23</v>
      </c>
      <c r="P14" s="16">
        <f>=O14*F14</f>
        <v>0</v>
      </c>
      <c r="Q14" s="41" t="s"/>
      <c r="R14" s="41" t="s"/>
      <c r="S14" s="42" t="s"/>
      <c r="T14" s="42" t="s"/>
      <c r="U14" s="41" t="s"/>
      <c r="V14" s="41" t="s"/>
      <c r="W14" s="9" t="s"/>
      <c r="X14" s="9" t="s"/>
      <c r="Y14" s="41" t="s"/>
      <c r="Z14" s="41" t="s"/>
      <c r="AA14" s="42" t="s"/>
      <c r="AB14" s="42" t="s"/>
    </row>
    <row r="15" spans="1:28" customHeight="false">
      <c r="A15" s="43" t="s"/>
      <c r="B15" s="59" t="s">
        <v>338</v>
      </c>
      <c r="C15" s="42" t="s">
        <v>348</v>
      </c>
      <c r="D15" s="42" t="s">
        <v>349</v>
      </c>
      <c r="E15" s="232" t="s">
        <v>273</v>
      </c>
      <c r="F15" s="16" t="s"/>
      <c r="G15" s="236">
        <v>45.839</v>
      </c>
      <c r="H15" s="245">
        <f>=G15*F15</f>
        <v>0</v>
      </c>
      <c r="I15" s="234" t="s"/>
      <c r="J15" s="235" t="s"/>
      <c r="K15" s="235" t="s"/>
      <c r="L15" s="235" t="s"/>
      <c r="M15" s="41" t="s">
        <v>341</v>
      </c>
      <c r="N15" s="41" t="s">
        <v>342</v>
      </c>
      <c r="O15" s="42">
        <v>42.27</v>
      </c>
      <c r="P15" s="16">
        <f>=O15*F15</f>
        <v>0</v>
      </c>
      <c r="Q15" s="41" t="s"/>
      <c r="R15" s="41" t="s"/>
      <c r="S15" s="42" t="s"/>
      <c r="T15" s="42" t="s"/>
      <c r="U15" s="41" t="s"/>
      <c r="V15" s="41" t="s"/>
      <c r="W15" s="9" t="s"/>
      <c r="X15" s="9" t="s"/>
      <c r="Y15" s="41" t="s"/>
      <c r="Z15" s="41" t="s"/>
      <c r="AA15" s="42" t="s"/>
      <c r="AB15" s="42" t="s"/>
    </row>
    <row r="16" spans="1:28" customHeight="false">
      <c r="A16" s="43" t="s"/>
      <c r="B16" s="59" t="s">
        <v>338</v>
      </c>
      <c r="C16" s="42" t="s">
        <v>350</v>
      </c>
      <c r="D16" s="42" t="s">
        <v>351</v>
      </c>
      <c r="E16" s="232" t="s">
        <v>273</v>
      </c>
      <c r="F16" s="16" t="s"/>
      <c r="G16" s="236">
        <v>59.029</v>
      </c>
      <c r="H16" s="245">
        <f>=G16*F16</f>
        <v>0</v>
      </c>
      <c r="I16" s="234" t="s"/>
      <c r="J16" s="235" t="s"/>
      <c r="K16" s="235" t="s"/>
      <c r="L16" s="235" t="s"/>
      <c r="M16" s="41" t="s">
        <v>341</v>
      </c>
      <c r="N16" s="41" t="s">
        <v>342</v>
      </c>
      <c r="O16" s="42">
        <v>49.77</v>
      </c>
      <c r="P16" s="16">
        <f>=O16*F16</f>
        <v>0</v>
      </c>
      <c r="Q16" s="41" t="s"/>
      <c r="R16" s="41" t="s"/>
      <c r="S16" s="42" t="s"/>
      <c r="T16" s="42" t="s"/>
      <c r="U16" s="41" t="s"/>
      <c r="V16" s="41" t="s"/>
      <c r="W16" s="9" t="s"/>
      <c r="X16" s="9" t="s"/>
      <c r="Y16" s="41" t="s"/>
      <c r="Z16" s="41" t="s"/>
      <c r="AA16" s="42" t="s"/>
      <c r="AB16" s="42" t="s"/>
    </row>
    <row r="17" spans="1:28" customHeight="false">
      <c r="A17" s="43" t="s"/>
      <c r="B17" s="59" t="s">
        <v>338</v>
      </c>
      <c r="C17" s="42" t="s">
        <v>352</v>
      </c>
      <c r="D17" s="42" t="s">
        <v>353</v>
      </c>
      <c r="E17" s="232" t="s">
        <v>273</v>
      </c>
      <c r="F17" s="16" t="s"/>
      <c r="G17" s="236">
        <v>82.683</v>
      </c>
      <c r="H17" s="245">
        <f>=G17*F17</f>
        <v>0</v>
      </c>
      <c r="I17" s="234" t="s"/>
      <c r="J17" s="235" t="s"/>
      <c r="K17" s="235" t="s"/>
      <c r="L17" s="235" t="s"/>
      <c r="M17" s="41" t="s">
        <v>341</v>
      </c>
      <c r="N17" s="41" t="s">
        <v>342</v>
      </c>
      <c r="O17" s="42">
        <v>64.1</v>
      </c>
      <c r="P17" s="16">
        <f>=O17*F17</f>
        <v>0</v>
      </c>
      <c r="Q17" s="41" t="s"/>
      <c r="R17" s="41" t="s"/>
      <c r="S17" s="42" t="s"/>
      <c r="T17" s="41" t="s"/>
      <c r="U17" s="41" t="s"/>
      <c r="V17" s="41" t="s"/>
      <c r="W17" s="9" t="s"/>
      <c r="X17" s="9" t="s"/>
      <c r="Y17" s="41" t="s"/>
      <c r="Z17" s="41" t="s"/>
      <c r="AA17" s="42" t="s"/>
      <c r="AB17" s="42" t="s"/>
    </row>
    <row r="18" spans="1:28" customHeight="false">
      <c r="A18" s="43" t="s"/>
      <c r="B18" s="59" t="s">
        <v>338</v>
      </c>
      <c r="C18" s="74" t="s">
        <v>354</v>
      </c>
      <c r="D18" s="246" t="s">
        <v>355</v>
      </c>
      <c r="E18" s="232" t="s">
        <v>273</v>
      </c>
      <c r="F18" s="16" t="s"/>
      <c r="G18" s="236">
        <v>45.839</v>
      </c>
      <c r="H18" s="245">
        <f>=G18*F18</f>
        <v>0</v>
      </c>
      <c r="I18" s="234" t="s"/>
      <c r="J18" s="235" t="s"/>
      <c r="K18" s="235" t="s"/>
      <c r="L18" s="235" t="s"/>
      <c r="M18" s="41" t="s">
        <v>341</v>
      </c>
      <c r="N18" s="41" t="s">
        <v>342</v>
      </c>
      <c r="O18" s="42">
        <v>110.07</v>
      </c>
      <c r="P18" s="16">
        <f>=O18*F18</f>
        <v>0</v>
      </c>
      <c r="Q18" s="41" t="s"/>
      <c r="R18" s="41" t="s"/>
      <c r="S18" s="42" t="s"/>
      <c r="T18" s="41" t="s"/>
      <c r="U18" s="41" t="s"/>
      <c r="V18" s="41" t="s"/>
      <c r="W18" s="9" t="s"/>
      <c r="X18" s="9" t="s"/>
      <c r="Y18" s="41" t="s"/>
      <c r="Z18" s="41" t="s"/>
      <c r="AA18" s="42" t="s"/>
      <c r="AB18" s="42" t="s"/>
    </row>
    <row r="19" spans="1:28" customHeight="false">
      <c r="A19" s="43" t="s"/>
      <c r="B19" s="59" t="s">
        <v>338</v>
      </c>
      <c r="C19" s="42" t="s"/>
      <c r="D19" s="232" t="s">
        <v>356</v>
      </c>
      <c r="E19" s="232" t="s">
        <v>273</v>
      </c>
      <c r="F19" s="16" t="s"/>
      <c r="G19" s="236" t="s"/>
      <c r="H19" s="245" t="s"/>
      <c r="I19" s="234" t="s"/>
      <c r="J19" s="235" t="s"/>
      <c r="K19" s="235" t="s"/>
      <c r="L19" s="235" t="s"/>
      <c r="M19" s="41" t="s">
        <v>341</v>
      </c>
      <c r="N19" s="41" t="s">
        <v>342</v>
      </c>
      <c r="O19" s="42">
        <v>198.99</v>
      </c>
      <c r="P19" s="16">
        <f>=O19*F19</f>
        <v>0</v>
      </c>
      <c r="Q19" s="41" t="s"/>
      <c r="R19" s="41" t="s"/>
      <c r="S19" s="42" t="s"/>
      <c r="T19" s="42" t="s"/>
      <c r="U19" s="41" t="s"/>
      <c r="V19" s="41" t="s"/>
      <c r="W19" s="9" t="s"/>
      <c r="X19" s="9" t="s"/>
      <c r="Y19" s="41" t="s"/>
      <c r="Z19" s="41" t="s"/>
      <c r="AA19" s="42" t="s"/>
      <c r="AB19" s="42" t="s"/>
    </row>
    <row r="20" spans="1:28" customHeight="false">
      <c r="A20" s="43" t="s"/>
      <c r="B20" s="59" t="s">
        <v>338</v>
      </c>
      <c r="C20" s="42" t="s"/>
      <c r="D20" s="232" t="s">
        <v>357</v>
      </c>
      <c r="E20" s="232" t="s">
        <v>273</v>
      </c>
      <c r="F20" s="16" t="s"/>
      <c r="G20" s="236" t="s"/>
      <c r="H20" s="245" t="s"/>
      <c r="I20" s="234" t="s"/>
      <c r="J20" s="235" t="s"/>
      <c r="K20" s="235" t="s"/>
      <c r="L20" s="235" t="s"/>
      <c r="M20" s="41" t="s">
        <v>341</v>
      </c>
      <c r="N20" s="41" t="s">
        <v>342</v>
      </c>
      <c r="O20" s="42">
        <v>264.49</v>
      </c>
      <c r="P20" s="16">
        <f>=O20*F20</f>
        <v>0</v>
      </c>
      <c r="Q20" s="41" t="s"/>
      <c r="R20" s="41" t="s"/>
      <c r="S20" s="42" t="s"/>
      <c r="T20" s="42" t="s"/>
      <c r="U20" s="41" t="s"/>
      <c r="V20" s="41" t="s"/>
      <c r="W20" s="9" t="s"/>
      <c r="X20" s="9" t="s"/>
      <c r="Y20" s="41" t="s"/>
      <c r="Z20" s="41" t="s"/>
      <c r="AA20" s="42" t="s"/>
      <c r="AB20" s="42" t="s"/>
    </row>
    <row r="21" spans="1:28" customHeight="false">
      <c r="A21" s="43" t="s"/>
      <c r="B21" s="59" t="s">
        <v>358</v>
      </c>
      <c r="C21" s="42" t="s"/>
      <c r="D21" s="232" t="s">
        <v>359</v>
      </c>
      <c r="E21" s="232" t="s">
        <v>273</v>
      </c>
      <c r="F21" s="9" t="s"/>
      <c r="G21" s="236" t="s"/>
      <c r="H21" s="245" t="s"/>
      <c r="I21" s="234" t="s"/>
      <c r="J21" s="235" t="s"/>
      <c r="K21" s="235" t="s"/>
      <c r="L21" s="235" t="s"/>
      <c r="M21" s="41" t="s">
        <v>341</v>
      </c>
      <c r="N21" s="41" t="s">
        <v>342</v>
      </c>
      <c r="O21" s="42">
        <v>21.21</v>
      </c>
      <c r="P21" s="16">
        <f>=O21*F21</f>
        <v>0</v>
      </c>
      <c r="Q21" s="41" t="s"/>
      <c r="R21" s="41" t="s"/>
      <c r="S21" s="42" t="s"/>
      <c r="T21" s="42" t="s"/>
      <c r="U21" s="41" t="s"/>
      <c r="V21" s="41" t="s"/>
      <c r="W21" s="9" t="s"/>
      <c r="X21" s="9" t="s"/>
      <c r="Y21" s="41" t="s"/>
      <c r="Z21" s="41" t="s"/>
      <c r="AA21" s="42" t="s"/>
      <c r="AB21" s="42" t="s"/>
    </row>
    <row r="22" spans="1:28" customHeight="false">
      <c r="A22" s="43" t="s"/>
      <c r="B22" s="59" t="s">
        <v>358</v>
      </c>
      <c r="C22" s="42" t="s"/>
      <c r="D22" s="232" t="s">
        <v>360</v>
      </c>
      <c r="E22" s="232" t="s">
        <v>273</v>
      </c>
      <c r="F22" s="9" t="s"/>
      <c r="G22" s="236" t="s"/>
      <c r="H22" s="245" t="s"/>
      <c r="I22" s="234" t="s"/>
      <c r="J22" s="235" t="s"/>
      <c r="K22" s="235" t="s"/>
      <c r="L22" s="235" t="s"/>
      <c r="M22" s="41" t="s">
        <v>341</v>
      </c>
      <c r="N22" s="41" t="s">
        <v>342</v>
      </c>
      <c r="O22" s="42">
        <v>33.43</v>
      </c>
      <c r="P22" s="16">
        <f>=O22*F22</f>
        <v>0</v>
      </c>
      <c r="Q22" s="41" t="s"/>
      <c r="R22" s="41" t="s"/>
      <c r="S22" s="42" t="s"/>
      <c r="T22" s="42" t="s"/>
      <c r="U22" s="41" t="s"/>
      <c r="V22" s="41" t="s"/>
      <c r="W22" s="9" t="s"/>
      <c r="X22" s="9" t="s"/>
      <c r="Y22" s="41" t="s"/>
      <c r="Z22" s="41" t="s"/>
      <c r="AA22" s="42" t="s"/>
      <c r="AB22" s="42" t="s"/>
    </row>
    <row r="23" spans="1:28" customHeight="false">
      <c r="A23" s="43" t="s"/>
      <c r="B23" s="59" t="s">
        <v>358</v>
      </c>
      <c r="C23" s="42" t="s"/>
      <c r="D23" s="232" t="s">
        <v>361</v>
      </c>
      <c r="E23" s="232" t="s">
        <v>273</v>
      </c>
      <c r="F23" s="9" t="s"/>
      <c r="G23" s="236" t="s"/>
      <c r="H23" s="245" t="s"/>
      <c r="I23" s="234" t="s"/>
      <c r="J23" s="235" t="s"/>
      <c r="K23" s="235" t="s"/>
      <c r="L23" s="235" t="s"/>
      <c r="M23" s="41" t="s">
        <v>341</v>
      </c>
      <c r="N23" s="41" t="s">
        <v>342</v>
      </c>
      <c r="O23" s="16">
        <v>45.6</v>
      </c>
      <c r="P23" s="16">
        <f>=O23*F23</f>
        <v>0</v>
      </c>
      <c r="Q23" s="41" t="s"/>
      <c r="R23" s="41" t="s"/>
      <c r="S23" s="42" t="s"/>
      <c r="T23" s="42" t="s"/>
      <c r="U23" s="41" t="s"/>
      <c r="V23" s="41" t="s"/>
      <c r="W23" s="9" t="s"/>
      <c r="X23" s="9" t="s"/>
      <c r="Y23" s="41" t="s"/>
      <c r="Z23" s="41" t="s"/>
      <c r="AA23" s="42" t="s"/>
      <c r="AB23" s="42" t="s"/>
    </row>
    <row r="24" spans="1:28" customHeight="false">
      <c r="A24" s="43" t="s"/>
      <c r="B24" s="59" t="s">
        <v>358</v>
      </c>
      <c r="C24" s="42" t="s"/>
      <c r="D24" s="232" t="s">
        <v>362</v>
      </c>
      <c r="E24" s="232" t="s">
        <v>273</v>
      </c>
      <c r="F24" s="9" t="s"/>
      <c r="G24" s="236" t="s"/>
      <c r="H24" s="245" t="s"/>
      <c r="I24" s="234" t="s"/>
      <c r="J24" s="235" t="s"/>
      <c r="K24" s="235" t="s"/>
      <c r="L24" s="235" t="s"/>
      <c r="M24" s="41" t="s">
        <v>341</v>
      </c>
      <c r="N24" s="41" t="s">
        <v>342</v>
      </c>
      <c r="O24" s="16">
        <v>60.55</v>
      </c>
      <c r="P24" s="16">
        <f>=O24*F24</f>
        <v>0</v>
      </c>
      <c r="Q24" s="41" t="s"/>
      <c r="R24" s="41" t="s"/>
      <c r="S24" s="42" t="s"/>
      <c r="T24" s="42" t="s"/>
      <c r="U24" s="41" t="s"/>
      <c r="V24" s="41" t="s"/>
      <c r="W24" s="9" t="s"/>
      <c r="X24" s="9" t="s"/>
      <c r="Y24" s="41" t="s"/>
      <c r="Z24" s="41" t="s"/>
      <c r="AA24" s="42" t="s"/>
      <c r="AB24" s="42" t="s"/>
    </row>
    <row r="25" spans="1:28" customHeight="false">
      <c r="A25" s="16" t="s"/>
      <c r="B25" s="247" t="s"/>
      <c r="C25" s="116" t="s"/>
      <c r="D25" s="74" t="s"/>
      <c r="E25" s="248" t="s"/>
      <c r="F25" s="248" t="s"/>
      <c r="G25" s="249" t="s"/>
      <c r="H25" s="233" t="s"/>
      <c r="I25" s="234" t="s"/>
      <c r="J25" s="235" t="s"/>
      <c r="K25" s="235" t="s"/>
      <c r="L25" s="235" t="s"/>
      <c r="M25" s="41" t="s"/>
      <c r="N25" s="41" t="s"/>
      <c r="O25" s="16" t="s"/>
      <c r="P25" s="42" t="s"/>
      <c r="Q25" s="41" t="s"/>
      <c r="R25" s="41" t="s"/>
      <c r="S25" s="42" t="s"/>
      <c r="T25" s="42" t="s"/>
      <c r="U25" s="41" t="s"/>
      <c r="V25" s="41" t="s"/>
      <c r="W25" s="9" t="s"/>
      <c r="X25" s="9" t="s"/>
      <c r="Y25" s="41" t="s"/>
      <c r="Z25" s="41" t="s"/>
      <c r="AA25" s="42" t="s"/>
      <c r="AB25" s="42" t="s"/>
    </row>
    <row r="26" spans="1:28" customHeight="false">
      <c r="A26" s="16" t="s"/>
      <c r="B26" s="42" t="s"/>
      <c r="C26" s="42" t="s"/>
      <c r="D26" s="42" t="s"/>
      <c r="E26" s="16" t="s"/>
      <c r="F26" s="16" t="s"/>
      <c r="G26" s="236" t="s"/>
      <c r="H26" s="233" t="s"/>
      <c r="I26" s="234" t="s"/>
      <c r="J26" s="235" t="s"/>
      <c r="K26" s="235" t="s"/>
      <c r="L26" s="235" t="s"/>
      <c r="M26" s="41" t="s"/>
      <c r="N26" s="41" t="s"/>
      <c r="O26" s="16" t="s"/>
      <c r="P26" s="42" t="s"/>
      <c r="Q26" s="41" t="s"/>
      <c r="R26" s="41" t="s"/>
      <c r="S26" s="42" t="s"/>
      <c r="T26" s="42" t="s"/>
      <c r="U26" s="41" t="s"/>
      <c r="V26" s="41" t="s"/>
      <c r="W26" s="9" t="s"/>
      <c r="X26" s="9" t="s"/>
      <c r="Y26" s="41" t="s"/>
      <c r="Z26" s="41" t="s"/>
      <c r="AA26" s="42" t="s"/>
      <c r="AB26" s="42" t="s"/>
    </row>
    <row r="27" spans="1:28" customHeight="false">
      <c r="A27" s="16" t="s"/>
      <c r="B27" s="42" t="s"/>
      <c r="C27" s="42" t="s"/>
      <c r="D27" s="42" t="s"/>
      <c r="E27" s="16" t="s"/>
      <c r="F27" s="16" t="s"/>
      <c r="G27" s="236" t="s"/>
      <c r="H27" s="233" t="s"/>
      <c r="I27" s="234" t="s"/>
      <c r="J27" s="235" t="s"/>
      <c r="K27" s="235" t="s"/>
      <c r="L27" s="235" t="s"/>
      <c r="M27" s="41" t="s"/>
      <c r="N27" s="41" t="s"/>
      <c r="O27" s="16" t="s"/>
      <c r="P27" s="42" t="s"/>
      <c r="Q27" s="41" t="s"/>
      <c r="R27" s="41" t="s"/>
      <c r="S27" s="42" t="s"/>
      <c r="T27" s="42" t="s"/>
      <c r="U27" s="41" t="s"/>
      <c r="V27" s="41" t="s"/>
      <c r="W27" s="9" t="s"/>
      <c r="X27" s="9" t="s"/>
      <c r="Y27" s="41" t="s"/>
      <c r="Z27" s="41" t="s"/>
      <c r="AA27" s="42" t="s"/>
      <c r="AB27" s="42" t="s"/>
    </row>
    <row r="28" spans="1:28" customHeight="false">
      <c r="A28" s="16" t="s"/>
      <c r="B28" s="42" t="s"/>
      <c r="C28" s="42" t="s"/>
      <c r="D28" s="42" t="s"/>
      <c r="E28" s="16" t="s"/>
      <c r="F28" s="16" t="s"/>
      <c r="G28" s="236" t="s"/>
      <c r="H28" s="233" t="s"/>
      <c r="I28" s="234" t="s"/>
      <c r="J28" s="235" t="s"/>
      <c r="K28" s="235" t="s"/>
      <c r="L28" s="235" t="s"/>
      <c r="M28" s="41" t="s"/>
      <c r="N28" s="41" t="s"/>
      <c r="O28" s="16" t="s"/>
      <c r="P28" s="42" t="s"/>
      <c r="Q28" s="41" t="s"/>
      <c r="R28" s="41" t="s"/>
      <c r="S28" s="42" t="s"/>
      <c r="T28" s="42" t="s"/>
      <c r="U28" s="41" t="s"/>
      <c r="V28" s="41" t="s"/>
      <c r="W28" s="9" t="s"/>
      <c r="X28" s="9" t="s"/>
      <c r="Y28" s="41" t="s"/>
      <c r="Z28" s="41" t="s"/>
      <c r="AA28" s="42" t="s"/>
      <c r="AB28" s="42" t="s"/>
    </row>
    <row r="29" spans="1:28" customHeight="false">
      <c r="A29" s="16" t="s"/>
      <c r="B29" s="42" t="s"/>
      <c r="C29" s="42" t="s"/>
      <c r="D29" s="42" t="s"/>
      <c r="E29" s="16" t="s"/>
      <c r="F29" s="16" t="s"/>
      <c r="G29" s="236" t="s"/>
      <c r="H29" s="233" t="s"/>
      <c r="I29" s="234" t="s"/>
      <c r="J29" s="235" t="s"/>
      <c r="K29" s="235" t="s"/>
      <c r="L29" s="235" t="s"/>
      <c r="M29" s="41" t="s"/>
      <c r="N29" s="41" t="s"/>
      <c r="O29" s="16" t="s"/>
      <c r="P29" s="42" t="s"/>
      <c r="Q29" s="41" t="s"/>
      <c r="R29" s="41" t="s"/>
      <c r="S29" s="42" t="s"/>
      <c r="T29" s="42" t="s"/>
      <c r="U29" s="41" t="s"/>
      <c r="V29" s="41" t="s"/>
      <c r="W29" s="9" t="s"/>
      <c r="X29" s="9" t="s"/>
      <c r="Y29" s="41" t="s"/>
      <c r="Z29" s="41" t="s"/>
      <c r="AA29" s="42" t="s"/>
      <c r="AB29" s="42" t="s"/>
    </row>
    <row r="30" spans="1:28" customHeight="false">
      <c r="A30" s="16" t="s"/>
      <c r="B30" s="42" t="s"/>
      <c r="C30" s="42" t="s"/>
      <c r="D30" s="42" t="s"/>
      <c r="E30" s="16" t="s"/>
      <c r="F30" s="16" t="s"/>
      <c r="G30" s="236" t="s"/>
      <c r="H30" s="233" t="s"/>
      <c r="I30" s="234" t="s"/>
      <c r="J30" s="235" t="s"/>
      <c r="K30" s="235" t="s"/>
      <c r="L30" s="235" t="s"/>
      <c r="M30" s="41" t="s"/>
      <c r="N30" s="41" t="s"/>
      <c r="O30" s="16" t="s"/>
      <c r="P30" s="42" t="s"/>
      <c r="Q30" s="41" t="s"/>
      <c r="R30" s="41" t="s"/>
      <c r="S30" s="42" t="s"/>
      <c r="T30" s="42" t="s"/>
      <c r="U30" s="41" t="s"/>
      <c r="V30" s="41" t="s"/>
      <c r="W30" s="9" t="s"/>
      <c r="X30" s="9" t="s"/>
      <c r="Y30" s="41" t="s"/>
      <c r="Z30" s="41" t="s"/>
      <c r="AA30" s="42" t="s"/>
      <c r="AB30" s="42" t="s"/>
    </row>
    <row r="31" spans="1:28" customHeight="false">
      <c r="A31" s="16" t="s"/>
      <c r="B31" s="42" t="s"/>
      <c r="C31" s="42" t="s"/>
      <c r="D31" s="42" t="s"/>
      <c r="E31" s="16" t="s"/>
      <c r="F31" s="16" t="s"/>
      <c r="G31" s="236" t="s"/>
      <c r="H31" s="233" t="s"/>
      <c r="I31" s="234" t="s"/>
      <c r="J31" s="235" t="s"/>
      <c r="K31" s="235" t="s"/>
      <c r="L31" s="235" t="s"/>
      <c r="M31" s="41" t="s"/>
      <c r="N31" s="41" t="s"/>
      <c r="O31" s="16" t="s"/>
      <c r="P31" s="42" t="s"/>
      <c r="Q31" s="41" t="s"/>
      <c r="R31" s="41" t="s"/>
      <c r="S31" s="42" t="s"/>
      <c r="T31" s="42" t="s"/>
      <c r="U31" s="41" t="s"/>
      <c r="V31" s="41" t="s"/>
      <c r="W31" s="9" t="s"/>
      <c r="X31" s="9" t="s"/>
      <c r="Y31" s="41" t="s"/>
      <c r="Z31" s="41" t="s"/>
      <c r="AA31" s="42" t="s"/>
      <c r="AB31" s="42" t="s"/>
    </row>
    <row r="32" spans="1:28" customHeight="false">
      <c r="A32" s="16" t="s"/>
      <c r="B32" s="42" t="s"/>
      <c r="C32" s="42" t="s"/>
      <c r="D32" s="42" t="s"/>
      <c r="E32" s="16" t="s"/>
      <c r="F32" s="16" t="s"/>
      <c r="G32" s="236" t="s"/>
      <c r="H32" s="233" t="s"/>
      <c r="I32" s="234" t="s"/>
      <c r="J32" s="235" t="s"/>
      <c r="K32" s="235" t="s"/>
      <c r="L32" s="235" t="s"/>
      <c r="M32" s="41" t="s"/>
      <c r="N32" s="41" t="s"/>
      <c r="O32" s="16" t="s"/>
      <c r="P32" s="42" t="s"/>
      <c r="Q32" s="41" t="s"/>
      <c r="R32" s="41" t="s"/>
      <c r="S32" s="42" t="s"/>
      <c r="T32" s="42" t="s"/>
      <c r="U32" s="41" t="s"/>
      <c r="V32" s="41" t="s"/>
      <c r="W32" s="9" t="s"/>
      <c r="X32" s="9" t="s"/>
      <c r="Y32" s="41" t="s"/>
      <c r="Z32" s="41" t="s"/>
      <c r="AA32" s="42" t="s"/>
      <c r="AB32" s="42" t="s"/>
    </row>
    <row r="33" spans="1:28" customHeight="false">
      <c r="A33" s="16" t="s"/>
      <c r="B33" s="42" t="s"/>
      <c r="C33" s="42" t="s"/>
      <c r="D33" s="250" t="s"/>
      <c r="E33" s="16" t="s"/>
      <c r="F33" s="16" t="s"/>
      <c r="G33" s="236" t="s"/>
      <c r="H33" s="233" t="s"/>
      <c r="I33" s="234" t="s"/>
      <c r="J33" s="235" t="s"/>
      <c r="K33" s="235" t="s"/>
      <c r="L33" s="235" t="s"/>
      <c r="M33" s="41" t="s"/>
      <c r="N33" s="41" t="s"/>
      <c r="O33" s="42" t="s"/>
      <c r="P33" s="42" t="s"/>
      <c r="Q33" s="41" t="s"/>
      <c r="R33" s="41" t="s"/>
      <c r="S33" s="41" t="s"/>
      <c r="T33" s="41" t="s"/>
      <c r="U33" s="41" t="s"/>
      <c r="V33" s="41" t="s"/>
      <c r="W33" s="9" t="s"/>
      <c r="X33" s="9" t="s"/>
      <c r="Y33" s="41" t="s"/>
      <c r="Z33" s="41" t="s"/>
      <c r="AA33" s="42" t="s"/>
      <c r="AB33" s="42" t="s"/>
    </row>
    <row r="34" spans="1:28" customHeight="false">
      <c r="A34" s="16" t="s"/>
      <c r="B34" s="42" t="s"/>
      <c r="C34" s="42" t="s"/>
      <c r="D34" s="42" t="s"/>
      <c r="E34" s="16" t="s"/>
      <c r="F34" s="16" t="s"/>
      <c r="G34" s="236" t="s"/>
      <c r="H34" s="233" t="s"/>
      <c r="I34" s="236" t="s"/>
      <c r="J34" s="222" t="s"/>
      <c r="K34" s="222" t="s"/>
      <c r="L34" s="222" t="s"/>
      <c r="M34" s="41" t="s"/>
      <c r="N34" s="41" t="s"/>
      <c r="O34" s="16" t="s"/>
      <c r="P34" s="16" t="s"/>
      <c r="Q34" s="41" t="s"/>
      <c r="R34" s="41" t="s"/>
      <c r="S34" s="16" t="s"/>
      <c r="T34" s="16" t="s"/>
      <c r="U34" s="41" t="s"/>
      <c r="V34" s="41" t="s"/>
      <c r="W34" s="9" t="s"/>
      <c r="X34" s="9" t="s"/>
      <c r="Y34" s="41" t="s"/>
      <c r="Z34" s="41" t="s"/>
      <c r="AA34" s="42" t="s"/>
      <c r="AB34" s="42" t="s"/>
    </row>
    <row r="35" spans="1:28" customHeight="false">
      <c r="A35" s="16" t="s"/>
      <c r="B35" s="42" t="s"/>
      <c r="C35" s="42" t="s"/>
      <c r="D35" s="42" t="s"/>
      <c r="E35" s="16" t="s"/>
      <c r="F35" s="16" t="s"/>
      <c r="G35" s="236" t="s"/>
      <c r="H35" s="233" t="s"/>
      <c r="I35" s="234" t="s"/>
      <c r="J35" s="235" t="s"/>
      <c r="K35" s="235" t="s"/>
      <c r="L35" s="235" t="s"/>
      <c r="M35" s="41" t="s"/>
      <c r="N35" s="41" t="s"/>
      <c r="O35" s="16" t="s"/>
      <c r="P35" s="42" t="s"/>
      <c r="Q35" s="41" t="s"/>
      <c r="R35" s="41" t="s"/>
      <c r="S35" s="16" t="s"/>
      <c r="T35" s="16" t="s"/>
      <c r="U35" s="41" t="s"/>
      <c r="V35" s="41" t="s"/>
      <c r="W35" s="9" t="s"/>
      <c r="X35" s="9" t="s"/>
      <c r="Y35" s="41" t="s"/>
      <c r="Z35" s="41" t="s"/>
      <c r="AA35" s="42" t="s"/>
      <c r="AB35" s="42" t="s"/>
    </row>
    <row r="36" spans="1:28" customHeight="false">
      <c r="A36" s="16" t="s"/>
      <c r="B36" s="42" t="s"/>
      <c r="C36" s="42" t="s"/>
      <c r="D36" s="250" t="s"/>
      <c r="E36" s="16" t="s"/>
      <c r="F36" s="16" t="s"/>
      <c r="G36" s="236" t="s"/>
      <c r="H36" s="233" t="s"/>
      <c r="I36" s="234" t="s"/>
      <c r="J36" s="235" t="s"/>
      <c r="K36" s="235" t="s"/>
      <c r="L36" s="235" t="s"/>
      <c r="M36" s="41" t="s"/>
      <c r="N36" s="41" t="s"/>
      <c r="O36" s="42" t="s"/>
      <c r="P36" s="42" t="s"/>
      <c r="Q36" s="41" t="s"/>
      <c r="R36" s="41" t="s"/>
      <c r="S36" s="41" t="s"/>
      <c r="T36" s="41" t="s"/>
      <c r="U36" s="41" t="s"/>
      <c r="V36" s="41" t="s"/>
      <c r="W36" s="9" t="s"/>
      <c r="X36" s="9" t="s"/>
      <c r="Y36" s="41" t="s"/>
      <c r="Z36" s="41" t="s"/>
      <c r="AA36" s="42" t="s"/>
      <c r="AB36" s="42" t="s"/>
    </row>
    <row r="37" spans="1:28" customHeight="false">
      <c r="A37" s="16" t="s"/>
      <c r="B37" s="42" t="s"/>
      <c r="C37" s="42" t="s"/>
      <c r="D37" s="42" t="s"/>
      <c r="E37" s="16" t="s"/>
      <c r="F37" s="16" t="s"/>
      <c r="G37" s="236" t="s"/>
      <c r="H37" s="233" t="s"/>
      <c r="I37" s="234" t="s"/>
      <c r="J37" s="235" t="s"/>
      <c r="K37" s="235" t="s"/>
      <c r="L37" s="235" t="s"/>
      <c r="M37" s="41" t="s"/>
      <c r="N37" s="41" t="s"/>
      <c r="O37" s="59" t="s"/>
      <c r="P37" s="42" t="s"/>
      <c r="Q37" s="41" t="s"/>
      <c r="R37" s="41" t="s"/>
      <c r="S37" s="16" t="s"/>
      <c r="T37" s="16" t="s"/>
      <c r="U37" s="41" t="s"/>
      <c r="V37" s="41" t="s"/>
      <c r="W37" s="9" t="s"/>
      <c r="X37" s="9" t="s"/>
      <c r="Y37" s="41" t="s"/>
      <c r="Z37" s="41" t="s"/>
      <c r="AA37" s="42" t="s"/>
      <c r="AB37" s="42" t="s"/>
    </row>
    <row r="38" spans="1:28" customHeight="false">
      <c r="A38" s="16" t="s"/>
      <c r="B38" s="42" t="s"/>
      <c r="C38" s="42" t="s"/>
      <c r="D38" s="42" t="s"/>
      <c r="E38" s="16" t="s"/>
      <c r="F38" s="16" t="s"/>
      <c r="G38" s="236" t="s"/>
      <c r="H38" s="233" t="s"/>
      <c r="I38" s="234" t="s"/>
      <c r="J38" s="235" t="s"/>
      <c r="K38" s="235" t="s"/>
      <c r="L38" s="235" t="s"/>
      <c r="M38" s="41" t="s"/>
      <c r="N38" s="41" t="s"/>
      <c r="O38" s="59" t="s"/>
      <c r="P38" s="42" t="s"/>
      <c r="Q38" s="41" t="s"/>
      <c r="R38" s="41" t="s"/>
      <c r="S38" s="16" t="s"/>
      <c r="T38" s="16" t="s"/>
      <c r="U38" s="41" t="s"/>
      <c r="V38" s="41" t="s"/>
      <c r="W38" s="9" t="s"/>
      <c r="X38" s="9" t="s"/>
      <c r="Y38" s="41" t="s"/>
      <c r="Z38" s="41" t="s"/>
      <c r="AA38" s="42" t="s"/>
      <c r="AB38" s="42" t="s"/>
    </row>
    <row r="39" spans="1:28" customHeight="false">
      <c r="A39" s="16" t="s"/>
      <c r="B39" s="42" t="s"/>
      <c r="C39" s="42" t="s"/>
      <c r="D39" s="42" t="s"/>
      <c r="E39" s="16" t="s"/>
      <c r="F39" s="16" t="s"/>
      <c r="G39" s="236" t="s"/>
      <c r="H39" s="233" t="s"/>
      <c r="I39" s="234" t="s"/>
      <c r="J39" s="235" t="s"/>
      <c r="K39" s="235" t="s"/>
      <c r="L39" s="235" t="s"/>
      <c r="M39" s="41" t="s"/>
      <c r="N39" s="41" t="s"/>
      <c r="O39" s="59" t="s"/>
      <c r="P39" s="42" t="s"/>
      <c r="Q39" s="41" t="s"/>
      <c r="R39" s="41" t="s"/>
      <c r="S39" s="16" t="s"/>
      <c r="T39" s="16" t="s"/>
      <c r="U39" s="41" t="s"/>
      <c r="V39" s="41" t="s"/>
      <c r="W39" s="9" t="s"/>
      <c r="X39" s="9" t="s"/>
      <c r="Y39" s="41" t="s"/>
      <c r="Z39" s="41" t="s"/>
      <c r="AA39" s="42" t="s"/>
      <c r="AB39" s="42" t="s"/>
    </row>
    <row r="40" spans="1:28" customHeight="false">
      <c r="A40" s="16" t="s"/>
      <c r="B40" s="42" t="s"/>
      <c r="C40" s="42" t="s"/>
      <c r="D40" s="42" t="s"/>
      <c r="E40" s="16" t="s"/>
      <c r="F40" s="16" t="s"/>
      <c r="G40" s="236" t="s"/>
      <c r="H40" s="233" t="s"/>
      <c r="I40" s="236" t="s"/>
      <c r="J40" s="222" t="s"/>
      <c r="K40" s="222" t="s"/>
      <c r="L40" s="222" t="s"/>
      <c r="M40" s="41" t="s"/>
      <c r="N40" s="41" t="s"/>
      <c r="O40" s="59" t="s"/>
      <c r="P40" s="42" t="s"/>
      <c r="Q40" s="41" t="s"/>
      <c r="R40" s="41" t="s"/>
      <c r="S40" s="16" t="s"/>
      <c r="T40" s="16" t="s"/>
      <c r="U40" s="41" t="s"/>
      <c r="V40" s="41" t="s"/>
      <c r="W40" s="9" t="s"/>
      <c r="X40" s="9" t="s"/>
      <c r="Y40" s="41" t="s"/>
      <c r="Z40" s="41" t="s"/>
      <c r="AA40" s="42" t="s"/>
      <c r="AB40" s="42" t="s"/>
    </row>
    <row r="41" spans="1:28" customHeight="false">
      <c r="A41" s="16" t="s"/>
      <c r="B41" s="42" t="s"/>
      <c r="C41" s="42" t="s"/>
      <c r="D41" s="42" t="s"/>
      <c r="E41" s="16" t="s"/>
      <c r="F41" s="16" t="s"/>
      <c r="G41" s="236" t="s"/>
      <c r="H41" s="233" t="s"/>
      <c r="I41" s="236" t="s"/>
      <c r="J41" s="222" t="s"/>
      <c r="K41" s="222" t="s"/>
      <c r="L41" s="222" t="s"/>
      <c r="M41" s="41" t="s"/>
      <c r="N41" s="41" t="s"/>
      <c r="O41" s="59" t="s"/>
      <c r="P41" s="42" t="s"/>
      <c r="Q41" s="41" t="s"/>
      <c r="R41" s="41" t="s"/>
      <c r="S41" s="16" t="s"/>
      <c r="T41" s="16" t="s"/>
      <c r="U41" s="41" t="s"/>
      <c r="V41" s="41" t="s"/>
      <c r="W41" s="9" t="s"/>
      <c r="X41" s="9" t="s"/>
      <c r="Y41" s="41" t="s"/>
      <c r="Z41" s="41" t="s"/>
      <c r="AA41" s="42" t="s"/>
      <c r="AB41" s="42" t="s"/>
    </row>
    <row r="42" spans="1:28" customHeight="false">
      <c r="A42" s="16" t="s"/>
      <c r="B42" s="42" t="s"/>
      <c r="C42" s="42" t="s"/>
      <c r="D42" s="42" t="s"/>
      <c r="E42" s="16" t="s"/>
      <c r="F42" s="16" t="s"/>
      <c r="G42" s="236" t="s"/>
      <c r="H42" s="233" t="s"/>
      <c r="I42" s="236" t="s"/>
      <c r="J42" s="222" t="s"/>
      <c r="K42" s="222" t="s"/>
      <c r="L42" s="222" t="s"/>
      <c r="M42" s="41" t="s"/>
      <c r="N42" s="41" t="s"/>
      <c r="O42" s="59" t="s"/>
      <c r="P42" s="42" t="s"/>
      <c r="Q42" s="41" t="s"/>
      <c r="R42" s="41" t="s"/>
      <c r="S42" s="16" t="s"/>
      <c r="T42" s="16" t="s"/>
      <c r="U42" s="41" t="s"/>
      <c r="V42" s="41" t="s"/>
      <c r="W42" s="9" t="s"/>
      <c r="X42" s="9" t="s"/>
      <c r="Y42" s="41" t="s"/>
      <c r="Z42" s="41" t="s"/>
      <c r="AA42" s="42" t="s"/>
      <c r="AB42" s="42" t="s"/>
    </row>
    <row r="43" spans="1:28" customHeight="false">
      <c r="A43" s="16" t="s"/>
      <c r="B43" s="42" t="s"/>
      <c r="C43" s="42" t="s"/>
      <c r="D43" s="42" t="s"/>
      <c r="E43" s="16" t="s"/>
      <c r="F43" s="16" t="s"/>
      <c r="G43" s="236" t="s"/>
      <c r="H43" s="233" t="s"/>
      <c r="I43" s="236" t="s"/>
      <c r="J43" s="222" t="s"/>
      <c r="K43" s="222" t="s"/>
      <c r="L43" s="222" t="s"/>
      <c r="M43" s="41" t="s"/>
      <c r="N43" s="41" t="s"/>
      <c r="O43" s="59" t="s"/>
      <c r="P43" s="42" t="s"/>
      <c r="Q43" s="41" t="s"/>
      <c r="R43" s="41" t="s"/>
      <c r="S43" s="16" t="s"/>
      <c r="T43" s="16" t="s"/>
      <c r="U43" s="41" t="s"/>
      <c r="V43" s="41" t="s"/>
      <c r="W43" s="9" t="s"/>
      <c r="X43" s="9" t="s"/>
      <c r="Y43" s="41" t="s"/>
      <c r="Z43" s="41" t="s"/>
      <c r="AA43" s="42" t="s"/>
      <c r="AB43" s="42" t="s"/>
    </row>
    <row r="44" spans="1:28" customHeight="false">
      <c r="A44" s="16" t="s"/>
      <c r="B44" s="42" t="s"/>
      <c r="C44" s="42" t="s"/>
      <c r="D44" s="42" t="s"/>
      <c r="E44" s="16" t="s"/>
      <c r="F44" s="16" t="s"/>
      <c r="G44" s="236" t="s"/>
      <c r="H44" s="233" t="s"/>
      <c r="I44" s="236" t="s"/>
      <c r="J44" s="222" t="s"/>
      <c r="K44" s="222" t="s"/>
      <c r="L44" s="222" t="s"/>
      <c r="M44" s="41" t="s"/>
      <c r="N44" s="41" t="s"/>
      <c r="O44" s="59" t="s"/>
      <c r="P44" s="42" t="s"/>
      <c r="Q44" s="41" t="s"/>
      <c r="R44" s="41" t="s"/>
      <c r="S44" s="16" t="s"/>
      <c r="T44" s="16" t="s"/>
      <c r="U44" s="41" t="s"/>
      <c r="V44" s="41" t="s"/>
      <c r="W44" s="9" t="s"/>
      <c r="X44" s="9" t="s"/>
      <c r="Y44" s="41" t="s"/>
      <c r="Z44" s="41" t="s"/>
      <c r="AA44" s="42" t="s"/>
      <c r="AB44" s="42" t="s"/>
    </row>
    <row r="45" spans="1:28" customHeight="false">
      <c r="A45" s="16" t="s"/>
      <c r="B45" s="42" t="s"/>
      <c r="C45" s="42" t="s"/>
      <c r="D45" s="42" t="s"/>
      <c r="E45" s="16" t="s"/>
      <c r="F45" s="16" t="s"/>
      <c r="G45" s="236" t="s"/>
      <c r="H45" s="233" t="s"/>
      <c r="I45" s="236" t="s"/>
      <c r="J45" s="222" t="s"/>
      <c r="K45" s="222" t="s"/>
      <c r="L45" s="222" t="s"/>
      <c r="M45" s="41" t="s"/>
      <c r="N45" s="41" t="s"/>
      <c r="O45" s="59" t="s"/>
      <c r="P45" s="42" t="s"/>
      <c r="Q45" s="41" t="s"/>
      <c r="R45" s="41" t="s"/>
      <c r="S45" s="16" t="s"/>
      <c r="T45" s="16" t="s"/>
      <c r="U45" s="41" t="s"/>
      <c r="V45" s="41" t="s"/>
      <c r="W45" s="9" t="s"/>
      <c r="X45" s="9" t="s"/>
      <c r="Y45" s="41" t="s"/>
      <c r="Z45" s="41" t="s"/>
      <c r="AA45" s="42" t="s"/>
      <c r="AB45" s="42" t="s"/>
    </row>
    <row r="46" spans="1:28" customHeight="false">
      <c r="A46" s="16" t="s"/>
      <c r="B46" s="42" t="s"/>
      <c r="C46" s="42" t="s"/>
      <c r="D46" s="42" t="s"/>
      <c r="E46" s="16" t="s"/>
      <c r="F46" s="16" t="s"/>
      <c r="G46" s="236" t="s"/>
      <c r="H46" s="233" t="s"/>
      <c r="I46" s="236" t="s"/>
      <c r="J46" s="222" t="s"/>
      <c r="K46" s="222" t="s"/>
      <c r="L46" s="222" t="s"/>
      <c r="M46" s="41" t="s"/>
      <c r="N46" s="41" t="s"/>
      <c r="O46" s="59" t="s"/>
      <c r="P46" s="42" t="s"/>
      <c r="Q46" s="41" t="s"/>
      <c r="R46" s="41" t="s"/>
      <c r="S46" s="16" t="s"/>
      <c r="T46" s="16" t="s"/>
      <c r="U46" s="41" t="s"/>
      <c r="V46" s="41" t="s"/>
      <c r="W46" s="9" t="s"/>
      <c r="X46" s="9" t="s"/>
      <c r="Y46" s="41" t="s"/>
      <c r="Z46" s="41" t="s"/>
      <c r="AA46" s="42" t="s"/>
      <c r="AB46" s="42" t="s"/>
    </row>
    <row r="47" spans="1:28" customHeight="false">
      <c r="A47" s="16" t="s"/>
      <c r="B47" s="42" t="s"/>
      <c r="C47" s="42" t="s"/>
      <c r="D47" s="250" t="s"/>
      <c r="E47" s="16" t="s"/>
      <c r="F47" s="16" t="s"/>
      <c r="G47" s="236" t="s"/>
      <c r="H47" s="233" t="s"/>
      <c r="I47" s="234" t="s"/>
      <c r="J47" s="235" t="s"/>
      <c r="K47" s="235" t="s"/>
      <c r="L47" s="235" t="s"/>
      <c r="M47" s="41" t="s"/>
      <c r="N47" s="41" t="s"/>
      <c r="O47" s="42" t="s"/>
      <c r="P47" s="42" t="s"/>
      <c r="Q47" s="41" t="s"/>
      <c r="R47" s="41" t="s"/>
      <c r="S47" s="41" t="s"/>
      <c r="T47" s="41" t="s"/>
      <c r="U47" s="41" t="s"/>
      <c r="V47" s="41" t="s"/>
      <c r="W47" s="9" t="s"/>
      <c r="X47" s="9" t="s"/>
      <c r="Y47" s="41" t="s"/>
      <c r="Z47" s="41" t="s"/>
      <c r="AA47" s="42" t="s"/>
      <c r="AB47" s="42" t="s"/>
    </row>
    <row r="48" spans="1:28" customHeight="false">
      <c r="A48" s="16" t="s"/>
      <c r="B48" s="42" t="s"/>
      <c r="C48" s="42" t="s"/>
      <c r="D48" s="42" t="s"/>
      <c r="E48" s="16" t="s"/>
      <c r="F48" s="16" t="s"/>
      <c r="G48" s="236" t="s"/>
      <c r="H48" s="233" t="s"/>
      <c r="I48" s="236" t="s"/>
      <c r="J48" s="222" t="s"/>
      <c r="K48" s="222" t="s"/>
      <c r="L48" s="222" t="s"/>
      <c r="M48" s="41" t="s"/>
      <c r="N48" s="41" t="s"/>
      <c r="O48" s="59" t="s"/>
      <c r="P48" s="42" t="s"/>
      <c r="Q48" s="41" t="s"/>
      <c r="R48" s="41" t="s"/>
      <c r="S48" s="16" t="s"/>
      <c r="T48" s="16" t="s"/>
      <c r="U48" s="41" t="s"/>
      <c r="V48" s="41" t="s"/>
      <c r="W48" s="9" t="s"/>
      <c r="X48" s="9" t="s"/>
      <c r="Y48" s="41" t="s"/>
      <c r="Z48" s="41" t="s"/>
      <c r="AA48" s="42" t="s"/>
      <c r="AB48" s="42" t="s"/>
    </row>
    <row r="49" spans="1:28" customHeight="false">
      <c r="A49" s="16" t="s"/>
      <c r="B49" s="42" t="s"/>
      <c r="C49" s="42" t="s"/>
      <c r="D49" s="42" t="s"/>
      <c r="E49" s="16" t="s"/>
      <c r="F49" s="16" t="s"/>
      <c r="G49" s="236" t="s"/>
      <c r="H49" s="233" t="s"/>
      <c r="I49" s="236" t="s"/>
      <c r="J49" s="222" t="s"/>
      <c r="K49" s="222" t="s"/>
      <c r="L49" s="222" t="s"/>
      <c r="M49" s="41" t="s"/>
      <c r="N49" s="41" t="s"/>
      <c r="O49" s="59" t="s"/>
      <c r="P49" s="42" t="s"/>
      <c r="Q49" s="41" t="s"/>
      <c r="R49" s="41" t="s"/>
      <c r="S49" s="16" t="s"/>
      <c r="T49" s="16" t="s"/>
      <c r="U49" s="41" t="s"/>
      <c r="V49" s="41" t="s"/>
      <c r="W49" s="9" t="s"/>
      <c r="X49" s="9" t="s"/>
      <c r="Y49" s="41" t="s"/>
      <c r="Z49" s="41" t="s"/>
      <c r="AA49" s="42" t="s"/>
      <c r="AB49" s="42" t="s"/>
    </row>
    <row r="50" spans="1:28" customHeight="false">
      <c r="A50" s="16" t="s"/>
      <c r="B50" s="42" t="s"/>
      <c r="C50" s="42" t="s"/>
      <c r="D50" s="250" t="s"/>
      <c r="E50" s="16" t="s"/>
      <c r="F50" s="16" t="s"/>
      <c r="G50" s="236" t="s"/>
      <c r="H50" s="233" t="s"/>
      <c r="I50" s="234" t="s"/>
      <c r="J50" s="235" t="s"/>
      <c r="K50" s="235" t="s"/>
      <c r="L50" s="235" t="s"/>
      <c r="M50" s="41" t="s"/>
      <c r="N50" s="41" t="s"/>
      <c r="O50" s="42" t="s"/>
      <c r="P50" s="42" t="s"/>
      <c r="Q50" s="41" t="s"/>
      <c r="R50" s="41" t="s"/>
      <c r="S50" s="41" t="s"/>
      <c r="T50" s="41" t="s"/>
      <c r="U50" s="41" t="s"/>
      <c r="V50" s="41" t="s"/>
      <c r="W50" s="9" t="s"/>
      <c r="X50" s="9" t="s"/>
      <c r="Y50" s="41" t="s"/>
      <c r="Z50" s="41" t="s"/>
      <c r="AA50" s="42" t="s"/>
      <c r="AB50" s="42" t="s"/>
    </row>
    <row r="51" spans="1:28" customHeight="false">
      <c r="A51" s="16" t="s"/>
      <c r="B51" s="42" t="s"/>
      <c r="C51" s="42" t="s"/>
      <c r="D51" s="250" t="s"/>
      <c r="E51" s="16" t="s"/>
      <c r="F51" s="16" t="s"/>
      <c r="G51" s="236" t="s"/>
      <c r="H51" s="233" t="s"/>
      <c r="I51" s="236" t="s"/>
      <c r="J51" s="222" t="s"/>
      <c r="K51" s="222" t="s"/>
      <c r="L51" s="222" t="s"/>
      <c r="M51" s="41" t="s"/>
      <c r="N51" s="41" t="s"/>
      <c r="O51" s="42" t="s"/>
      <c r="P51" s="42" t="s"/>
      <c r="Q51" s="41" t="s"/>
      <c r="R51" s="41" t="s"/>
      <c r="S51" s="41" t="s"/>
      <c r="T51" s="41" t="s"/>
      <c r="U51" s="41" t="s"/>
      <c r="V51" s="41" t="s"/>
      <c r="W51" s="9" t="s"/>
      <c r="X51" s="9" t="s"/>
      <c r="Y51" s="41" t="s"/>
      <c r="Z51" s="41" t="s"/>
      <c r="AA51" s="42" t="s"/>
      <c r="AB51" s="42" t="s"/>
    </row>
    <row r="52" spans="1:28" customHeight="false">
      <c r="A52" s="16" t="s"/>
      <c r="B52" s="42" t="s"/>
      <c r="C52" s="42" t="s"/>
      <c r="D52" s="41" t="s"/>
      <c r="E52" s="16" t="s"/>
      <c r="F52" s="16" t="s"/>
      <c r="G52" s="236" t="s"/>
      <c r="H52" s="233" t="s"/>
      <c r="I52" s="236" t="s"/>
      <c r="J52" s="222" t="s"/>
      <c r="K52" s="222" t="s"/>
      <c r="L52" s="222" t="s"/>
      <c r="M52" s="41" t="s"/>
      <c r="N52" s="41" t="s"/>
      <c r="O52" s="16" t="s"/>
      <c r="P52" s="42" t="s"/>
      <c r="Q52" s="41" t="s"/>
      <c r="R52" s="41" t="s"/>
      <c r="S52" s="41" t="s"/>
      <c r="T52" s="41" t="s"/>
      <c r="U52" s="41" t="s"/>
      <c r="V52" s="41" t="s"/>
      <c r="W52" s="9" t="s"/>
      <c r="X52" s="9" t="s"/>
      <c r="Y52" s="41" t="s"/>
      <c r="Z52" s="41" t="s"/>
      <c r="AA52" s="42" t="s"/>
      <c r="AB52" s="42" t="s"/>
    </row>
    <row r="53" spans="1:28" customHeight="false">
      <c r="A53" s="16" t="s"/>
      <c r="B53" s="42" t="s"/>
      <c r="C53" s="42" t="s"/>
      <c r="D53" s="250" t="s"/>
      <c r="E53" s="16" t="s"/>
      <c r="F53" s="16" t="s"/>
      <c r="G53" s="236" t="s"/>
      <c r="H53" s="233" t="s"/>
      <c r="I53" s="234" t="s"/>
      <c r="J53" s="235" t="s"/>
      <c r="K53" s="235" t="s"/>
      <c r="L53" s="235" t="s"/>
      <c r="M53" s="41" t="s"/>
      <c r="N53" s="41" t="s"/>
      <c r="O53" s="42" t="s"/>
      <c r="P53" s="42" t="s"/>
      <c r="Q53" s="41" t="s"/>
      <c r="R53" s="41" t="s"/>
      <c r="S53" s="41" t="s"/>
      <c r="T53" s="41" t="s"/>
      <c r="U53" s="41" t="s"/>
      <c r="V53" s="41" t="s"/>
      <c r="W53" s="9" t="s"/>
      <c r="X53" s="9" t="s"/>
      <c r="Y53" s="41" t="s"/>
      <c r="Z53" s="41" t="s"/>
      <c r="AA53" s="42" t="s"/>
      <c r="AB53" s="42" t="s"/>
    </row>
    <row r="54" spans="1:28" customHeight="false">
      <c r="A54" s="16" t="s"/>
      <c r="B54" s="42" t="s"/>
      <c r="C54" s="42" t="s"/>
      <c r="D54" s="250" t="s"/>
      <c r="E54" s="16" t="s"/>
      <c r="F54" s="16" t="s"/>
      <c r="G54" s="236" t="s"/>
      <c r="H54" s="233" t="s"/>
      <c r="I54" s="234" t="s"/>
      <c r="J54" s="235" t="s"/>
      <c r="K54" s="235" t="s"/>
      <c r="L54" s="235" t="s"/>
      <c r="M54" s="41" t="s"/>
      <c r="N54" s="41" t="s"/>
      <c r="O54" s="42" t="s"/>
      <c r="P54" s="42" t="s"/>
      <c r="Q54" s="41" t="s"/>
      <c r="R54" s="41" t="s"/>
      <c r="S54" s="41" t="s"/>
      <c r="T54" s="41" t="s"/>
      <c r="U54" s="41" t="s"/>
      <c r="V54" s="41" t="s"/>
      <c r="W54" s="9" t="s"/>
      <c r="X54" s="9" t="s"/>
      <c r="Y54" s="41" t="s"/>
      <c r="Z54" s="41" t="s"/>
      <c r="AA54" s="42" t="s"/>
      <c r="AB54" s="42" t="s"/>
    </row>
    <row r="55" spans="1:28" customHeight="false">
      <c r="A55" s="16" t="s"/>
      <c r="B55" s="42" t="s"/>
      <c r="C55" s="42" t="s"/>
      <c r="D55" s="16" t="s"/>
      <c r="E55" s="16" t="s"/>
      <c r="F55" s="16" t="s"/>
      <c r="G55" s="236" t="s"/>
      <c r="H55" s="233" t="s"/>
      <c r="I55" s="234" t="s"/>
      <c r="J55" s="251" t="s"/>
      <c r="K55" s="251" t="s"/>
      <c r="L55" s="251" t="s"/>
      <c r="M55" s="42" t="s"/>
      <c r="N55" s="42" t="s"/>
      <c r="O55" s="42" t="s"/>
      <c r="P55" s="42" t="s"/>
      <c r="Q55" s="41" t="s"/>
      <c r="R55" s="41" t="s"/>
      <c r="S55" s="42" t="s"/>
      <c r="T55" s="42" t="s"/>
      <c r="U55" s="42" t="s"/>
      <c r="V55" s="42" t="s"/>
      <c r="W55" s="9" t="s"/>
      <c r="X55" s="9" t="s"/>
      <c r="Y55" s="42" t="s"/>
      <c r="Z55" s="42" t="s"/>
      <c r="AA55" s="42" t="s"/>
      <c r="AB55" s="42" t="s"/>
    </row>
    <row r="56" spans="1:28" customHeight="false">
      <c r="A56" s="16" t="s"/>
      <c r="B56" s="252" t="s"/>
      <c r="C56" s="252" t="s"/>
      <c r="D56" s="253" t="s"/>
      <c r="E56" s="253" t="s"/>
      <c r="F56" s="253" t="s"/>
      <c r="G56" s="254" t="s"/>
      <c r="H56" s="233" t="s"/>
      <c r="I56" s="255" t="s"/>
      <c r="J56" s="256" t="s"/>
      <c r="K56" s="256" t="s"/>
      <c r="L56" s="256" t="s"/>
      <c r="M56" s="9" t="s"/>
      <c r="N56" s="9" t="s"/>
      <c r="O56" s="9" t="s"/>
      <c r="P56" s="91" t="s"/>
      <c r="Q56" s="41" t="s"/>
      <c r="R56" s="41" t="s"/>
      <c r="S56" s="9" t="s"/>
      <c r="T56" s="91" t="s"/>
      <c r="U56" s="9" t="s"/>
      <c r="V56" s="9" t="s"/>
      <c r="W56" s="9" t="s"/>
      <c r="X56" s="9" t="s"/>
      <c r="Y56" s="9" t="s"/>
      <c r="Z56" s="9" t="s"/>
      <c r="AA56" s="9" t="s"/>
      <c r="AB56" s="9" t="s"/>
    </row>
    <row r="57" spans="1:26" customHeight="false">
      <c r="A57" s="121" t="s"/>
      <c r="B57" s="188" t="s"/>
      <c r="C57" s="188" t="s"/>
      <c r="D57" s="121" t="s"/>
      <c r="E57" s="121" t="s"/>
      <c r="F57" s="121" t="s"/>
      <c r="G57" s="257" t="s"/>
      <c r="H57" s="257" t="s"/>
      <c r="I57" s="258" t="s"/>
      <c r="J57" s="259" t="s"/>
      <c r="K57" s="259" t="s"/>
      <c r="L57" s="259" t="s"/>
      <c r="M57" s="161" t="s"/>
      <c r="N57" s="161" t="s"/>
      <c r="O57" s="161" t="s"/>
      <c r="P57" s="161" t="s"/>
      <c r="Q57" s="161" t="s"/>
      <c r="R57" s="161" t="s"/>
      <c r="S57" s="161" t="s"/>
      <c r="T57" s="161" t="s"/>
      <c r="U57" s="161" t="s"/>
      <c r="V57" s="161" t="s"/>
      <c r="W57" s="161" t="s"/>
      <c r="X57" s="161" t="s"/>
      <c r="Y57" s="161" t="s"/>
      <c r="Z57" s="161" t="s"/>
    </row>
    <row r="58" spans="1:26" customHeight="false">
      <c r="A58" s="121" t="s"/>
      <c r="B58" s="188" t="s"/>
      <c r="C58" s="188" t="s"/>
      <c r="D58" s="121" t="s"/>
      <c r="E58" s="121" t="s"/>
      <c r="F58" s="121" t="s"/>
      <c r="G58" s="257" t="s"/>
      <c r="H58" s="257" t="s"/>
      <c r="I58" s="258" t="s"/>
      <c r="J58" s="259" t="s"/>
      <c r="K58" s="259" t="s"/>
      <c r="L58" s="259" t="s"/>
      <c r="M58" s="161" t="s"/>
      <c r="N58" s="161" t="s"/>
      <c r="O58" s="161" t="s"/>
      <c r="P58" s="161" t="s"/>
      <c r="Q58" s="161" t="s"/>
      <c r="R58" s="161" t="s"/>
      <c r="S58" s="161" t="s"/>
      <c r="T58" s="161" t="s"/>
      <c r="U58" s="161" t="s"/>
      <c r="V58" s="161" t="s"/>
      <c r="W58" s="161" t="s"/>
      <c r="X58" s="161" t="s"/>
      <c r="Y58" s="161" t="s"/>
      <c r="Z58" s="161" t="s"/>
    </row>
    <row r="59" spans="1:26" customHeight="false">
      <c r="A59" s="121" t="s"/>
      <c r="B59" s="188" t="s"/>
      <c r="C59" s="188" t="s"/>
      <c r="D59" s="121" t="s"/>
      <c r="E59" s="121" t="s"/>
      <c r="F59" s="121" t="s"/>
      <c r="G59" s="257" t="s"/>
      <c r="H59" s="257" t="s"/>
      <c r="I59" s="258" t="s"/>
      <c r="J59" s="259" t="s"/>
      <c r="K59" s="259" t="s"/>
      <c r="L59" s="259" t="s"/>
      <c r="M59" s="161" t="s"/>
      <c r="N59" s="161" t="s"/>
      <c r="O59" s="161" t="s"/>
      <c r="P59" s="161" t="s"/>
      <c r="Q59" s="161" t="s"/>
      <c r="R59" s="161" t="s"/>
      <c r="S59" s="161" t="s"/>
      <c r="T59" s="161" t="s"/>
      <c r="U59" s="161" t="s"/>
      <c r="V59" s="161" t="s"/>
      <c r="W59" s="161" t="s"/>
      <c r="X59" s="161" t="s"/>
      <c r="Y59" s="161" t="s"/>
      <c r="Z59" s="161" t="s"/>
    </row>
    <row r="60" spans="1:26" customHeight="false">
      <c r="A60" s="121" t="s"/>
      <c r="B60" s="188" t="s"/>
      <c r="C60" s="188" t="s"/>
      <c r="D60" s="121" t="s"/>
      <c r="E60" s="121" t="s"/>
      <c r="F60" s="121" t="s"/>
      <c r="G60" s="257" t="s"/>
      <c r="H60" s="257" t="s"/>
      <c r="I60" s="258" t="s"/>
      <c r="J60" s="259" t="s"/>
      <c r="K60" s="259" t="s"/>
      <c r="L60" s="259" t="s"/>
      <c r="M60" s="161" t="s"/>
      <c r="N60" s="161" t="s"/>
      <c r="O60" s="161" t="s"/>
      <c r="P60" s="161" t="s"/>
      <c r="Q60" s="161" t="s"/>
      <c r="R60" s="161" t="s"/>
      <c r="S60" s="161" t="s"/>
      <c r="T60" s="161" t="s"/>
      <c r="U60" s="161" t="s"/>
      <c r="V60" s="161" t="s"/>
      <c r="W60" s="161" t="s"/>
      <c r="X60" s="161" t="s"/>
      <c r="Y60" s="161" t="s"/>
      <c r="Z60" s="161" t="s"/>
    </row>
    <row r="61" spans="1:26" customHeight="false">
      <c r="A61" s="121" t="s"/>
      <c r="B61" s="188" t="s"/>
      <c r="C61" s="188" t="s"/>
      <c r="D61" s="121" t="s"/>
      <c r="E61" s="121" t="s"/>
      <c r="F61" s="121" t="s"/>
      <c r="G61" s="257" t="s"/>
      <c r="H61" s="257" t="s"/>
      <c r="I61" s="258" t="s"/>
      <c r="J61" s="259" t="s"/>
      <c r="K61" s="259" t="s"/>
      <c r="L61" s="259" t="s"/>
      <c r="M61" s="161" t="s"/>
      <c r="N61" s="161" t="s"/>
      <c r="O61" s="161" t="s"/>
      <c r="P61" s="161" t="s"/>
      <c r="Q61" s="161" t="s"/>
      <c r="R61" s="161" t="s"/>
      <c r="S61" s="161" t="s"/>
      <c r="T61" s="161" t="s"/>
      <c r="U61" s="161" t="s"/>
      <c r="V61" s="161" t="s"/>
      <c r="W61" s="161" t="s"/>
      <c r="X61" s="161" t="s"/>
      <c r="Y61" s="161" t="s"/>
      <c r="Z61" s="161" t="s"/>
    </row>
    <row r="62" spans="1:26" customHeight="false">
      <c r="A62" s="121" t="s"/>
      <c r="B62" s="188" t="s"/>
      <c r="C62" s="188" t="s"/>
      <c r="D62" s="121" t="s"/>
      <c r="E62" s="121" t="s"/>
      <c r="F62" s="121" t="s"/>
      <c r="G62" s="257" t="s"/>
      <c r="H62" s="257" t="s"/>
      <c r="I62" s="258" t="s"/>
      <c r="J62" s="259" t="s"/>
      <c r="K62" s="259" t="s"/>
      <c r="L62" s="259" t="s"/>
      <c r="M62" s="161" t="s"/>
      <c r="N62" s="161" t="s"/>
      <c r="O62" s="161" t="s"/>
      <c r="P62" s="161" t="s"/>
      <c r="Q62" s="161" t="s"/>
      <c r="R62" s="161" t="s"/>
      <c r="S62" s="161" t="s"/>
      <c r="T62" s="161" t="s"/>
      <c r="U62" s="161" t="s"/>
      <c r="V62" s="161" t="s"/>
      <c r="W62" s="161" t="s"/>
      <c r="X62" s="161" t="s"/>
      <c r="Y62" s="161" t="s"/>
      <c r="Z62" s="161" t="s"/>
    </row>
    <row r="63" spans="1:26" customHeight="false">
      <c r="A63" s="121" t="s"/>
      <c r="B63" s="188" t="s"/>
      <c r="C63" s="188" t="s"/>
      <c r="D63" s="121" t="s"/>
      <c r="E63" s="121" t="s"/>
      <c r="F63" s="121" t="s"/>
      <c r="G63" s="257" t="s"/>
      <c r="H63" s="257" t="s"/>
      <c r="I63" s="258" t="s"/>
      <c r="J63" s="259" t="s"/>
      <c r="K63" s="259" t="s"/>
      <c r="L63" s="259" t="s"/>
      <c r="M63" s="161" t="s"/>
      <c r="N63" s="161" t="s"/>
      <c r="O63" s="161" t="s"/>
      <c r="P63" s="161" t="s"/>
      <c r="Q63" s="161" t="s"/>
      <c r="R63" s="161" t="s"/>
      <c r="S63" s="161" t="s"/>
      <c r="T63" s="161" t="s"/>
      <c r="U63" s="161" t="s"/>
      <c r="V63" s="161" t="s"/>
      <c r="W63" s="161" t="s"/>
      <c r="X63" s="161" t="s"/>
      <c r="Y63" s="161" t="s"/>
      <c r="Z63" s="161" t="s"/>
    </row>
    <row r="64" spans="1:26" customHeight="false">
      <c r="A64" s="121" t="s"/>
      <c r="B64" s="188" t="s"/>
      <c r="C64" s="188" t="s"/>
      <c r="D64" s="121" t="s"/>
      <c r="E64" s="121" t="s"/>
      <c r="F64" s="121" t="s"/>
      <c r="G64" s="257" t="s"/>
      <c r="H64" s="257" t="s"/>
      <c r="I64" s="258" t="s"/>
      <c r="J64" s="259" t="s"/>
      <c r="K64" s="259" t="s"/>
      <c r="L64" s="259" t="s"/>
      <c r="M64" s="161" t="s"/>
      <c r="N64" s="161" t="s"/>
      <c r="O64" s="161" t="s"/>
      <c r="P64" s="161" t="s"/>
      <c r="Q64" s="161" t="s"/>
      <c r="R64" s="161" t="s"/>
      <c r="S64" s="161" t="s"/>
      <c r="T64" s="161" t="s"/>
      <c r="U64" s="161" t="s"/>
      <c r="V64" s="161" t="s"/>
      <c r="W64" s="161" t="s"/>
      <c r="X64" s="161" t="s"/>
      <c r="Y64" s="161" t="s"/>
      <c r="Z64" s="161" t="s"/>
    </row>
    <row r="65" spans="1:26" customHeight="false">
      <c r="A65" s="121" t="s"/>
      <c r="B65" s="188" t="s"/>
      <c r="C65" s="188" t="s"/>
      <c r="D65" s="121" t="s"/>
      <c r="E65" s="121" t="s"/>
      <c r="F65" s="121" t="s"/>
      <c r="G65" s="257" t="s"/>
      <c r="H65" s="257" t="s"/>
      <c r="I65" s="258" t="s"/>
      <c r="J65" s="259" t="s"/>
      <c r="K65" s="259" t="s"/>
      <c r="L65" s="259" t="s"/>
      <c r="M65" s="161" t="s"/>
      <c r="N65" s="161" t="s"/>
      <c r="O65" s="161" t="s"/>
      <c r="P65" s="161" t="s"/>
      <c r="Q65" s="161" t="s"/>
      <c r="R65" s="161" t="s"/>
      <c r="S65" s="161" t="s"/>
      <c r="T65" s="161" t="s"/>
      <c r="U65" s="161" t="s"/>
      <c r="V65" s="161" t="s"/>
      <c r="W65" s="161" t="s"/>
      <c r="X65" s="161" t="s"/>
      <c r="Y65" s="161" t="s"/>
      <c r="Z65" s="161" t="s"/>
    </row>
    <row r="66" spans="1:26" customHeight="false">
      <c r="A66" s="121" t="s"/>
      <c r="B66" s="188" t="s"/>
      <c r="C66" s="188" t="s"/>
      <c r="D66" s="121" t="s"/>
      <c r="E66" s="121" t="s"/>
      <c r="F66" s="121" t="s"/>
      <c r="G66" s="257" t="s"/>
      <c r="H66" s="257" t="s"/>
      <c r="I66" s="258" t="s"/>
      <c r="J66" s="259" t="s"/>
      <c r="K66" s="259" t="s"/>
      <c r="L66" s="259" t="s"/>
      <c r="M66" s="161" t="s"/>
      <c r="N66" s="161" t="s"/>
      <c r="O66" s="161" t="s"/>
      <c r="P66" s="161" t="s"/>
      <c r="Q66" s="161" t="s"/>
      <c r="R66" s="161" t="s"/>
      <c r="S66" s="161" t="s"/>
      <c r="T66" s="161" t="s"/>
      <c r="U66" s="161" t="s"/>
      <c r="V66" s="161" t="s"/>
      <c r="W66" s="161" t="s"/>
      <c r="X66" s="161" t="s"/>
      <c r="Y66" s="161" t="s"/>
      <c r="Z66" s="161" t="s"/>
    </row>
    <row r="67" spans="1:26" customHeight="false">
      <c r="A67" s="121" t="s"/>
      <c r="B67" s="188" t="s"/>
      <c r="C67" s="188" t="s"/>
      <c r="D67" s="121" t="s"/>
      <c r="E67" s="121" t="s"/>
      <c r="F67" s="121" t="s"/>
      <c r="G67" s="257" t="s"/>
      <c r="H67" s="257" t="s"/>
      <c r="I67" s="258" t="s"/>
      <c r="J67" s="259" t="s"/>
      <c r="K67" s="259" t="s"/>
      <c r="L67" s="259" t="s"/>
      <c r="M67" s="161" t="s"/>
      <c r="N67" s="161" t="s"/>
      <c r="O67" s="161" t="s"/>
      <c r="P67" s="161" t="s"/>
      <c r="Q67" s="161" t="s"/>
      <c r="R67" s="161" t="s"/>
      <c r="S67" s="161" t="s"/>
      <c r="T67" s="161" t="s"/>
      <c r="U67" s="161" t="s"/>
      <c r="V67" s="161" t="s"/>
      <c r="W67" s="161" t="s"/>
      <c r="X67" s="161" t="s"/>
      <c r="Y67" s="161" t="s"/>
      <c r="Z67" s="161" t="s"/>
    </row>
    <row r="68" spans="1:26" customHeight="false">
      <c r="A68" s="121" t="s"/>
      <c r="B68" s="188" t="s"/>
      <c r="C68" s="188" t="s"/>
      <c r="D68" s="121" t="s"/>
      <c r="E68" s="121" t="s"/>
      <c r="F68" s="121" t="s"/>
      <c r="G68" s="257" t="s"/>
      <c r="H68" s="257" t="s"/>
      <c r="I68" s="258" t="s"/>
      <c r="J68" s="259" t="s"/>
      <c r="K68" s="259" t="s"/>
      <c r="L68" s="259" t="s"/>
      <c r="M68" s="161" t="s"/>
      <c r="N68" s="161" t="s"/>
      <c r="O68" s="161" t="s"/>
      <c r="P68" s="161" t="s"/>
      <c r="Q68" s="161" t="s"/>
      <c r="R68" s="161" t="s"/>
      <c r="S68" s="161" t="s"/>
      <c r="T68" s="161" t="s"/>
      <c r="U68" s="161" t="s"/>
      <c r="V68" s="161" t="s"/>
      <c r="W68" s="161" t="s"/>
      <c r="X68" s="161" t="s"/>
      <c r="Y68" s="161" t="s"/>
      <c r="Z68" s="161" t="s"/>
    </row>
    <row r="69" spans="1:26" customHeight="false">
      <c r="A69" s="121" t="s"/>
      <c r="B69" s="188" t="s"/>
      <c r="C69" s="188" t="s"/>
      <c r="D69" s="121" t="s"/>
      <c r="E69" s="121" t="s"/>
      <c r="F69" s="121" t="s"/>
      <c r="G69" s="257" t="s"/>
      <c r="H69" s="257" t="s"/>
      <c r="I69" s="258" t="s"/>
      <c r="J69" s="259" t="s"/>
      <c r="K69" s="259" t="s"/>
      <c r="L69" s="259" t="s"/>
      <c r="M69" s="161" t="s"/>
      <c r="N69" s="161" t="s"/>
      <c r="O69" s="161" t="s"/>
      <c r="P69" s="161" t="s"/>
      <c r="Q69" s="161" t="s"/>
      <c r="R69" s="161" t="s"/>
      <c r="S69" s="161" t="s"/>
      <c r="T69" s="161" t="s"/>
      <c r="U69" s="161" t="s"/>
      <c r="V69" s="161" t="s"/>
      <c r="W69" s="161" t="s"/>
      <c r="X69" s="161" t="s"/>
      <c r="Y69" s="161" t="s"/>
      <c r="Z69" s="161" t="s"/>
    </row>
    <row r="70" spans="1:26" customHeight="false">
      <c r="A70" s="121" t="s"/>
      <c r="B70" s="188" t="s"/>
      <c r="C70" s="188" t="s"/>
      <c r="D70" s="121" t="s"/>
      <c r="E70" s="121" t="s"/>
      <c r="F70" s="121" t="s"/>
      <c r="G70" s="257" t="s"/>
      <c r="H70" s="257" t="s"/>
      <c r="I70" s="258" t="s"/>
      <c r="J70" s="259" t="s"/>
      <c r="K70" s="259" t="s"/>
      <c r="L70" s="259" t="s"/>
      <c r="M70" s="161" t="s"/>
      <c r="N70" s="161" t="s"/>
      <c r="O70" s="161" t="s"/>
      <c r="P70" s="161" t="s"/>
      <c r="Q70" s="161" t="s"/>
      <c r="R70" s="161" t="s"/>
      <c r="S70" s="161" t="s"/>
      <c r="T70" s="161" t="s"/>
      <c r="U70" s="161" t="s"/>
      <c r="V70" s="161" t="s"/>
      <c r="W70" s="161" t="s"/>
      <c r="X70" s="161" t="s"/>
      <c r="Y70" s="161" t="s"/>
      <c r="Z70" s="161" t="s"/>
    </row>
    <row r="71" spans="1:26" customHeight="false">
      <c r="A71" s="121" t="s"/>
      <c r="B71" s="188" t="s"/>
      <c r="C71" s="188" t="s"/>
      <c r="D71" s="121" t="s"/>
      <c r="E71" s="121" t="s"/>
      <c r="F71" s="121" t="s"/>
      <c r="G71" s="257" t="s"/>
      <c r="H71" s="257" t="s"/>
      <c r="I71" s="258" t="s"/>
      <c r="J71" s="259" t="s"/>
      <c r="K71" s="259" t="s"/>
      <c r="L71" s="259" t="s"/>
      <c r="M71" s="161" t="s"/>
      <c r="N71" s="161" t="s"/>
      <c r="O71" s="161" t="s"/>
      <c r="P71" s="161" t="s"/>
      <c r="Q71" s="161" t="s"/>
      <c r="R71" s="161" t="s"/>
      <c r="S71" s="161" t="s"/>
      <c r="T71" s="161" t="s"/>
      <c r="U71" s="161" t="s"/>
      <c r="V71" s="161" t="s"/>
      <c r="W71" s="161" t="s"/>
      <c r="X71" s="161" t="s"/>
      <c r="Y71" s="161" t="s"/>
      <c r="Z71" s="161" t="s"/>
    </row>
    <row r="72" spans="1:26" customHeight="false">
      <c r="A72" s="121" t="s"/>
      <c r="B72" s="188" t="s"/>
      <c r="C72" s="188" t="s"/>
      <c r="D72" s="121" t="s"/>
      <c r="E72" s="121" t="s"/>
      <c r="F72" s="121" t="s"/>
      <c r="G72" s="257" t="s"/>
      <c r="H72" s="257" t="s"/>
      <c r="I72" s="258" t="s"/>
      <c r="J72" s="259" t="s"/>
      <c r="K72" s="259" t="s"/>
      <c r="L72" s="259" t="s"/>
      <c r="M72" s="161" t="s"/>
      <c r="N72" s="161" t="s"/>
      <c r="O72" s="161" t="s"/>
      <c r="P72" s="161" t="s"/>
      <c r="Q72" s="161" t="s"/>
      <c r="R72" s="161" t="s"/>
      <c r="S72" s="161" t="s"/>
      <c r="T72" s="161" t="s"/>
      <c r="U72" s="161" t="s"/>
      <c r="V72" s="161" t="s"/>
      <c r="W72" s="161" t="s"/>
      <c r="X72" s="161" t="s"/>
      <c r="Y72" s="161" t="s"/>
      <c r="Z72" s="161" t="s"/>
    </row>
    <row r="73" spans="1:26" customHeight="false">
      <c r="A73" s="121" t="s"/>
      <c r="B73" s="188" t="s"/>
      <c r="C73" s="188" t="s"/>
      <c r="D73" s="121" t="s"/>
      <c r="E73" s="121" t="s"/>
      <c r="F73" s="121" t="s"/>
      <c r="G73" s="257" t="s"/>
      <c r="H73" s="257" t="s"/>
      <c r="I73" s="258" t="s"/>
      <c r="J73" s="259" t="s"/>
      <c r="K73" s="259" t="s"/>
      <c r="L73" s="259" t="s"/>
      <c r="M73" s="161" t="s"/>
      <c r="N73" s="161" t="s"/>
      <c r="O73" s="161" t="s"/>
      <c r="P73" s="161" t="s"/>
      <c r="Q73" s="161" t="s"/>
      <c r="R73" s="161" t="s"/>
      <c r="S73" s="161" t="s"/>
      <c r="T73" s="161" t="s"/>
      <c r="U73" s="161" t="s"/>
      <c r="V73" s="161" t="s"/>
      <c r="W73" s="161" t="s"/>
      <c r="X73" s="161" t="s"/>
      <c r="Y73" s="161" t="s"/>
      <c r="Z73" s="161" t="s"/>
    </row>
    <row r="74" spans="1:26" customHeight="false">
      <c r="A74" s="121" t="s"/>
      <c r="B74" s="188" t="s"/>
      <c r="C74" s="188" t="s"/>
      <c r="D74" s="121" t="s"/>
      <c r="E74" s="121" t="s"/>
      <c r="F74" s="121" t="s"/>
      <c r="G74" s="257" t="s"/>
      <c r="H74" s="257" t="s"/>
      <c r="I74" s="258" t="s"/>
      <c r="J74" s="259" t="s"/>
      <c r="K74" s="259" t="s"/>
      <c r="L74" s="259" t="s"/>
      <c r="M74" s="161" t="s"/>
      <c r="N74" s="161" t="s"/>
      <c r="O74" s="161" t="s"/>
      <c r="P74" s="161" t="s"/>
      <c r="Q74" s="161" t="s"/>
      <c r="R74" s="161" t="s"/>
      <c r="S74" s="161" t="s"/>
      <c r="T74" s="161" t="s"/>
      <c r="U74" s="161" t="s"/>
      <c r="V74" s="161" t="s"/>
      <c r="W74" s="161" t="s"/>
      <c r="X74" s="161" t="s"/>
      <c r="Y74" s="161" t="s"/>
      <c r="Z74" s="161" t="s"/>
    </row>
    <row r="75" spans="1:26" customHeight="false">
      <c r="A75" s="121" t="s"/>
      <c r="B75" s="188" t="s"/>
      <c r="C75" s="188" t="s"/>
      <c r="D75" s="121" t="s"/>
      <c r="E75" s="121" t="s"/>
      <c r="F75" s="121" t="s"/>
      <c r="G75" s="257" t="s"/>
      <c r="H75" s="257" t="s"/>
      <c r="I75" s="258" t="s"/>
      <c r="J75" s="259" t="s"/>
      <c r="K75" s="259" t="s"/>
      <c r="L75" s="259" t="s"/>
      <c r="M75" s="161" t="s"/>
      <c r="N75" s="161" t="s"/>
      <c r="O75" s="161" t="s"/>
      <c r="P75" s="161" t="s"/>
      <c r="Q75" s="161" t="s"/>
      <c r="R75" s="161" t="s"/>
      <c r="S75" s="161" t="s"/>
      <c r="T75" s="161" t="s"/>
      <c r="U75" s="161" t="s"/>
      <c r="V75" s="161" t="s"/>
      <c r="W75" s="161" t="s"/>
      <c r="X75" s="161" t="s"/>
      <c r="Y75" s="161" t="s"/>
      <c r="Z75" s="161" t="s"/>
    </row>
    <row r="76" spans="1:26" customHeight="false">
      <c r="A76" s="121" t="s"/>
      <c r="B76" s="188" t="s"/>
      <c r="C76" s="188" t="s"/>
      <c r="D76" s="121" t="s"/>
      <c r="E76" s="121" t="s"/>
      <c r="F76" s="121" t="s"/>
      <c r="G76" s="257" t="s"/>
      <c r="H76" s="257" t="s"/>
      <c r="I76" s="258" t="s"/>
      <c r="J76" s="259" t="s"/>
      <c r="K76" s="259" t="s"/>
      <c r="L76" s="259" t="s"/>
      <c r="M76" s="161" t="s"/>
      <c r="N76" s="161" t="s"/>
      <c r="O76" s="161" t="s"/>
      <c r="P76" s="161" t="s"/>
      <c r="Q76" s="161" t="s"/>
      <c r="R76" s="161" t="s"/>
      <c r="S76" s="161" t="s"/>
      <c r="T76" s="161" t="s"/>
      <c r="U76" s="161" t="s"/>
      <c r="V76" s="161" t="s"/>
      <c r="W76" s="161" t="s"/>
      <c r="X76" s="161" t="s"/>
      <c r="Y76" s="161" t="s"/>
      <c r="Z76" s="161" t="s"/>
    </row>
    <row r="77" spans="1:26" customHeight="false">
      <c r="A77" s="121" t="s"/>
      <c r="B77" s="188" t="s"/>
      <c r="C77" s="188" t="s"/>
      <c r="D77" s="121" t="s"/>
      <c r="E77" s="121" t="s"/>
      <c r="F77" s="121" t="s"/>
      <c r="G77" s="257" t="s"/>
      <c r="H77" s="257" t="s"/>
      <c r="I77" s="258" t="s"/>
      <c r="J77" s="259" t="s"/>
      <c r="K77" s="259" t="s"/>
      <c r="L77" s="259" t="s"/>
      <c r="M77" s="161" t="s"/>
      <c r="N77" s="161" t="s"/>
      <c r="O77" s="161" t="s"/>
      <c r="P77" s="161" t="s"/>
      <c r="Q77" s="161" t="s"/>
      <c r="R77" s="161" t="s"/>
      <c r="S77" s="161" t="s"/>
      <c r="T77" s="161" t="s"/>
      <c r="U77" s="161" t="s"/>
      <c r="V77" s="161" t="s"/>
      <c r="W77" s="161" t="s"/>
      <c r="X77" s="161" t="s"/>
      <c r="Y77" s="161" t="s"/>
      <c r="Z77" s="161" t="s"/>
    </row>
    <row r="78" spans="1:26" customHeight="false">
      <c r="A78" s="121" t="s"/>
      <c r="B78" s="188" t="s"/>
      <c r="C78" s="188" t="s"/>
      <c r="D78" s="121" t="s"/>
      <c r="E78" s="121" t="s"/>
      <c r="F78" s="121" t="s"/>
      <c r="G78" s="257" t="s"/>
      <c r="H78" s="257" t="s"/>
      <c r="I78" s="258" t="s"/>
      <c r="J78" s="259" t="s"/>
      <c r="K78" s="259" t="s"/>
      <c r="L78" s="259" t="s"/>
      <c r="M78" s="161" t="s"/>
      <c r="N78" s="161" t="s"/>
      <c r="O78" s="161" t="s"/>
      <c r="P78" s="161" t="s"/>
      <c r="Q78" s="161" t="s"/>
      <c r="R78" s="161" t="s"/>
      <c r="S78" s="161" t="s"/>
      <c r="T78" s="161" t="s"/>
      <c r="U78" s="161" t="s"/>
      <c r="V78" s="161" t="s"/>
      <c r="W78" s="161" t="s"/>
      <c r="X78" s="161" t="s"/>
      <c r="Y78" s="161" t="s"/>
      <c r="Z78" s="161" t="s"/>
    </row>
    <row r="79" spans="1:26" customHeight="false">
      <c r="A79" s="121" t="s"/>
      <c r="B79" s="188" t="s"/>
      <c r="C79" s="188" t="s"/>
      <c r="D79" s="121" t="s"/>
      <c r="E79" s="121" t="s"/>
      <c r="F79" s="121" t="s"/>
      <c r="G79" s="257" t="s"/>
      <c r="H79" s="257" t="s"/>
      <c r="I79" s="258" t="s"/>
      <c r="J79" s="259" t="s"/>
      <c r="K79" s="259" t="s"/>
      <c r="L79" s="259" t="s"/>
      <c r="M79" s="161" t="s"/>
      <c r="N79" s="161" t="s"/>
      <c r="O79" s="161" t="s"/>
      <c r="P79" s="161" t="s"/>
      <c r="Q79" s="161" t="s"/>
      <c r="R79" s="161" t="s"/>
      <c r="S79" s="161" t="s"/>
      <c r="T79" s="161" t="s"/>
      <c r="U79" s="161" t="s"/>
      <c r="V79" s="161" t="s"/>
      <c r="W79" s="161" t="s"/>
      <c r="X79" s="161" t="s"/>
      <c r="Y79" s="161" t="s"/>
      <c r="Z79" s="161" t="s"/>
    </row>
    <row r="80" spans="1:26" customHeight="false">
      <c r="A80" s="121" t="s"/>
      <c r="B80" s="188" t="s"/>
      <c r="C80" s="188" t="s"/>
      <c r="D80" s="121" t="s"/>
      <c r="E80" s="121" t="s"/>
      <c r="F80" s="121" t="s"/>
      <c r="G80" s="257" t="s"/>
      <c r="H80" s="257" t="s"/>
      <c r="I80" s="258" t="s"/>
      <c r="J80" s="259" t="s"/>
      <c r="K80" s="259" t="s"/>
      <c r="L80" s="259" t="s"/>
      <c r="M80" s="161" t="s"/>
      <c r="N80" s="161" t="s"/>
      <c r="O80" s="161" t="s"/>
      <c r="P80" s="161" t="s"/>
      <c r="Q80" s="161" t="s"/>
      <c r="R80" s="161" t="s"/>
      <c r="S80" s="161" t="s"/>
      <c r="T80" s="161" t="s"/>
      <c r="U80" s="161" t="s"/>
      <c r="V80" s="161" t="s"/>
      <c r="W80" s="161" t="s"/>
      <c r="X80" s="161" t="s"/>
      <c r="Y80" s="161" t="s"/>
      <c r="Z80" s="161" t="s"/>
    </row>
    <row r="81" spans="1:26" customHeight="false">
      <c r="A81" s="121" t="s"/>
      <c r="B81" s="188" t="s"/>
      <c r="C81" s="188" t="s"/>
      <c r="D81" s="121" t="s"/>
      <c r="E81" s="121" t="s"/>
      <c r="F81" s="121" t="s"/>
      <c r="G81" s="257" t="s"/>
      <c r="H81" s="257" t="s"/>
      <c r="I81" s="258" t="s"/>
      <c r="J81" s="259" t="s"/>
      <c r="K81" s="259" t="s"/>
      <c r="L81" s="259" t="s"/>
      <c r="M81" s="161" t="s"/>
      <c r="N81" s="161" t="s"/>
      <c r="O81" s="161" t="s"/>
      <c r="P81" s="161" t="s"/>
      <c r="Q81" s="161" t="s"/>
      <c r="R81" s="161" t="s"/>
      <c r="S81" s="161" t="s"/>
      <c r="T81" s="161" t="s"/>
      <c r="U81" s="161" t="s"/>
      <c r="V81" s="161" t="s"/>
      <c r="W81" s="161" t="s"/>
      <c r="X81" s="161" t="s"/>
      <c r="Y81" s="161" t="s"/>
      <c r="Z81" s="161" t="s"/>
    </row>
    <row r="82" spans="1:26" customHeight="false">
      <c r="A82" s="121" t="s"/>
      <c r="B82" s="188" t="s"/>
      <c r="C82" s="188" t="s"/>
      <c r="D82" s="121" t="s"/>
      <c r="E82" s="121" t="s"/>
      <c r="F82" s="121" t="s"/>
      <c r="G82" s="257" t="s"/>
      <c r="H82" s="257" t="s"/>
      <c r="I82" s="258" t="s"/>
      <c r="J82" s="259" t="s"/>
      <c r="K82" s="259" t="s"/>
      <c r="L82" s="259" t="s"/>
      <c r="M82" s="161" t="s"/>
      <c r="N82" s="161" t="s"/>
      <c r="O82" s="161" t="s"/>
      <c r="P82" s="161" t="s"/>
      <c r="Q82" s="161" t="s"/>
      <c r="R82" s="161" t="s"/>
      <c r="S82" s="161" t="s"/>
      <c r="T82" s="161" t="s"/>
      <c r="U82" s="161" t="s"/>
      <c r="V82" s="161" t="s"/>
      <c r="W82" s="161" t="s"/>
      <c r="X82" s="161" t="s"/>
      <c r="Y82" s="161" t="s"/>
      <c r="Z82" s="161" t="s"/>
    </row>
    <row r="83" spans="1:26" customHeight="false">
      <c r="A83" s="121" t="s"/>
      <c r="B83" s="188" t="s"/>
      <c r="C83" s="188" t="s"/>
      <c r="D83" s="121" t="s"/>
      <c r="E83" s="121" t="s"/>
      <c r="F83" s="121" t="s"/>
      <c r="G83" s="257" t="s"/>
      <c r="H83" s="257" t="s"/>
      <c r="I83" s="258" t="s"/>
      <c r="J83" s="259" t="s"/>
      <c r="K83" s="259" t="s"/>
      <c r="L83" s="259" t="s"/>
      <c r="M83" s="161" t="s"/>
      <c r="N83" s="161" t="s"/>
      <c r="O83" s="161" t="s"/>
      <c r="P83" s="161" t="s"/>
      <c r="Q83" s="161" t="s"/>
      <c r="R83" s="161" t="s"/>
      <c r="S83" s="161" t="s"/>
      <c r="T83" s="161" t="s"/>
      <c r="U83" s="161" t="s"/>
      <c r="V83" s="161" t="s"/>
      <c r="W83" s="161" t="s"/>
      <c r="X83" s="161" t="s"/>
      <c r="Y83" s="161" t="s"/>
      <c r="Z83" s="161" t="s"/>
    </row>
    <row r="84" spans="1:26" customHeight="false">
      <c r="A84" s="121" t="s"/>
      <c r="B84" s="188" t="s"/>
      <c r="C84" s="188" t="s"/>
      <c r="D84" s="121" t="s"/>
      <c r="E84" s="121" t="s"/>
      <c r="F84" s="121" t="s"/>
      <c r="G84" s="257" t="s"/>
      <c r="H84" s="257" t="s"/>
      <c r="I84" s="258" t="s"/>
      <c r="J84" s="259" t="s"/>
      <c r="K84" s="259" t="s"/>
      <c r="L84" s="259" t="s"/>
      <c r="M84" s="161" t="s"/>
      <c r="N84" s="161" t="s"/>
      <c r="O84" s="161" t="s"/>
      <c r="P84" s="161" t="s"/>
      <c r="Q84" s="161" t="s"/>
      <c r="R84" s="161" t="s"/>
      <c r="S84" s="161" t="s"/>
      <c r="T84" s="161" t="s"/>
      <c r="U84" s="161" t="s"/>
      <c r="V84" s="161" t="s"/>
      <c r="W84" s="161" t="s"/>
      <c r="X84" s="161" t="s"/>
      <c r="Y84" s="161" t="s"/>
      <c r="Z84" s="161" t="s"/>
    </row>
    <row r="85" spans="1:26" customHeight="false">
      <c r="A85" s="121" t="s"/>
      <c r="B85" s="188" t="s"/>
      <c r="C85" s="188" t="s"/>
      <c r="D85" s="121" t="s"/>
      <c r="E85" s="121" t="s"/>
      <c r="F85" s="121" t="s"/>
      <c r="G85" s="257" t="s"/>
      <c r="H85" s="257" t="s"/>
      <c r="I85" s="258" t="s"/>
      <c r="J85" s="259" t="s"/>
      <c r="K85" s="259" t="s"/>
      <c r="L85" s="259" t="s"/>
      <c r="M85" s="161" t="s"/>
      <c r="N85" s="161" t="s"/>
      <c r="O85" s="161" t="s"/>
      <c r="P85" s="161" t="s"/>
      <c r="Q85" s="161" t="s"/>
      <c r="R85" s="161" t="s"/>
      <c r="S85" s="161" t="s"/>
      <c r="T85" s="161" t="s"/>
      <c r="U85" s="161" t="s"/>
      <c r="V85" s="161" t="s"/>
      <c r="W85" s="161" t="s"/>
      <c r="X85" s="161" t="s"/>
      <c r="Y85" s="161" t="s"/>
      <c r="Z85" s="161" t="s"/>
    </row>
    <row r="86" spans="1:26" customHeight="false">
      <c r="A86" s="121" t="s"/>
      <c r="B86" s="188" t="s"/>
      <c r="C86" s="188" t="s"/>
      <c r="D86" s="121" t="s"/>
      <c r="E86" s="121" t="s"/>
      <c r="F86" s="121" t="s"/>
      <c r="G86" s="257" t="s"/>
      <c r="H86" s="257" t="s"/>
      <c r="I86" s="258" t="s"/>
      <c r="J86" s="259" t="s"/>
      <c r="K86" s="259" t="s"/>
      <c r="L86" s="259" t="s"/>
      <c r="M86" s="161" t="s"/>
      <c r="N86" s="161" t="s"/>
      <c r="O86" s="161" t="s"/>
      <c r="P86" s="161" t="s"/>
      <c r="Q86" s="161" t="s"/>
      <c r="R86" s="161" t="s"/>
      <c r="S86" s="161" t="s"/>
      <c r="T86" s="161" t="s"/>
      <c r="U86" s="161" t="s"/>
      <c r="V86" s="161" t="s"/>
      <c r="W86" s="161" t="s"/>
      <c r="X86" s="161" t="s"/>
      <c r="Y86" s="161" t="s"/>
      <c r="Z86" s="161" t="s"/>
    </row>
    <row r="87" spans="1:26" customHeight="false">
      <c r="A87" s="121" t="s"/>
      <c r="B87" s="188" t="s"/>
      <c r="C87" s="188" t="s"/>
      <c r="D87" s="121" t="s"/>
      <c r="E87" s="121" t="s"/>
      <c r="F87" s="121" t="s"/>
      <c r="G87" s="257" t="s"/>
      <c r="H87" s="257" t="s"/>
      <c r="I87" s="258" t="s"/>
      <c r="J87" s="259" t="s"/>
      <c r="K87" s="259" t="s"/>
      <c r="L87" s="259" t="s"/>
      <c r="M87" s="161" t="s"/>
      <c r="N87" s="161" t="s"/>
      <c r="O87" s="161" t="s"/>
      <c r="P87" s="161" t="s"/>
      <c r="Q87" s="161" t="s"/>
      <c r="R87" s="161" t="s"/>
      <c r="S87" s="161" t="s"/>
      <c r="T87" s="161" t="s"/>
      <c r="U87" s="161" t="s"/>
      <c r="V87" s="161" t="s"/>
      <c r="W87" s="161" t="s"/>
      <c r="X87" s="161" t="s"/>
      <c r="Y87" s="161" t="s"/>
      <c r="Z87" s="161" t="s"/>
    </row>
    <row r="88" spans="1:26" customHeight="false">
      <c r="A88" s="121" t="s"/>
      <c r="B88" s="188" t="s"/>
      <c r="C88" s="188" t="s"/>
      <c r="D88" s="121" t="s"/>
      <c r="E88" s="121" t="s"/>
      <c r="F88" s="121" t="s"/>
      <c r="G88" s="257" t="s"/>
      <c r="H88" s="257" t="s"/>
      <c r="I88" s="258" t="s"/>
      <c r="J88" s="259" t="s"/>
      <c r="K88" s="259" t="s"/>
      <c r="L88" s="259" t="s"/>
      <c r="M88" s="161" t="s"/>
      <c r="N88" s="161" t="s"/>
      <c r="O88" s="161" t="s"/>
      <c r="P88" s="161" t="s"/>
      <c r="Q88" s="161" t="s"/>
      <c r="R88" s="161" t="s"/>
      <c r="S88" s="161" t="s"/>
      <c r="T88" s="161" t="s"/>
      <c r="U88" s="161" t="s"/>
      <c r="V88" s="161" t="s"/>
      <c r="W88" s="161" t="s"/>
      <c r="X88" s="161" t="s"/>
      <c r="Y88" s="161" t="s"/>
      <c r="Z88" s="161" t="s"/>
    </row>
    <row r="89" spans="1:26" customHeight="false">
      <c r="A89" s="121" t="s"/>
      <c r="B89" s="188" t="s"/>
      <c r="C89" s="188" t="s"/>
      <c r="D89" s="121" t="s"/>
      <c r="E89" s="121" t="s"/>
      <c r="F89" s="121" t="s"/>
      <c r="G89" s="257" t="s"/>
      <c r="H89" s="257" t="s"/>
      <c r="I89" s="258" t="s"/>
      <c r="J89" s="259" t="s"/>
      <c r="K89" s="259" t="s"/>
      <c r="L89" s="259" t="s"/>
      <c r="M89" s="161" t="s"/>
      <c r="N89" s="161" t="s"/>
      <c r="O89" s="161" t="s"/>
      <c r="P89" s="161" t="s"/>
      <c r="Q89" s="161" t="s"/>
      <c r="R89" s="161" t="s"/>
      <c r="S89" s="161" t="s"/>
      <c r="T89" s="161" t="s"/>
      <c r="U89" s="161" t="s"/>
      <c r="V89" s="161" t="s"/>
      <c r="W89" s="161" t="s"/>
      <c r="X89" s="161" t="s"/>
      <c r="Y89" s="161" t="s"/>
      <c r="Z89" s="161" t="s"/>
    </row>
    <row r="90" spans="1:26" customHeight="false">
      <c r="A90" s="121" t="s"/>
      <c r="B90" s="188" t="s"/>
      <c r="C90" s="188" t="s"/>
      <c r="D90" s="121" t="s"/>
      <c r="E90" s="121" t="s"/>
      <c r="F90" s="121" t="s"/>
      <c r="G90" s="257" t="s"/>
      <c r="H90" s="257" t="s"/>
      <c r="I90" s="258" t="s"/>
      <c r="J90" s="259" t="s"/>
      <c r="K90" s="259" t="s"/>
      <c r="L90" s="259" t="s"/>
      <c r="M90" s="161" t="s"/>
      <c r="N90" s="161" t="s"/>
      <c r="O90" s="161" t="s"/>
      <c r="P90" s="161" t="s"/>
      <c r="Q90" s="161" t="s"/>
      <c r="R90" s="161" t="s"/>
      <c r="S90" s="161" t="s"/>
      <c r="T90" s="161" t="s"/>
      <c r="U90" s="161" t="s"/>
      <c r="V90" s="161" t="s"/>
      <c r="W90" s="161" t="s"/>
      <c r="X90" s="161" t="s"/>
      <c r="Y90" s="161" t="s"/>
      <c r="Z90" s="161" t="s"/>
    </row>
    <row r="91" spans="1:26" customHeight="false">
      <c r="A91" s="121" t="s"/>
      <c r="B91" s="188" t="s"/>
      <c r="C91" s="188" t="s"/>
      <c r="D91" s="121" t="s"/>
      <c r="E91" s="121" t="s"/>
      <c r="F91" s="121" t="s"/>
      <c r="G91" s="257" t="s"/>
      <c r="H91" s="257" t="s"/>
      <c r="I91" s="258" t="s"/>
      <c r="J91" s="259" t="s"/>
      <c r="K91" s="259" t="s"/>
      <c r="L91" s="259" t="s"/>
      <c r="M91" s="161" t="s"/>
      <c r="N91" s="161" t="s"/>
      <c r="O91" s="161" t="s"/>
      <c r="P91" s="161" t="s"/>
      <c r="Q91" s="161" t="s"/>
      <c r="R91" s="161" t="s"/>
      <c r="S91" s="161" t="s"/>
      <c r="T91" s="161" t="s"/>
      <c r="U91" s="161" t="s"/>
      <c r="V91" s="161" t="s"/>
      <c r="W91" s="161" t="s"/>
      <c r="X91" s="161" t="s"/>
      <c r="Y91" s="161" t="s"/>
      <c r="Z91" s="161" t="s"/>
    </row>
    <row r="92" spans="1:26" customHeight="false">
      <c r="A92" s="121" t="s"/>
      <c r="B92" s="188" t="s"/>
      <c r="C92" s="188" t="s"/>
      <c r="D92" s="121" t="s"/>
      <c r="E92" s="121" t="s"/>
      <c r="F92" s="121" t="s"/>
      <c r="G92" s="257" t="s"/>
      <c r="H92" s="257" t="s"/>
      <c r="I92" s="258" t="s"/>
      <c r="J92" s="259" t="s"/>
      <c r="K92" s="259" t="s"/>
      <c r="L92" s="259" t="s"/>
      <c r="M92" s="161" t="s"/>
      <c r="N92" s="161" t="s"/>
      <c r="O92" s="161" t="s"/>
      <c r="P92" s="161" t="s"/>
      <c r="Q92" s="161" t="s"/>
      <c r="R92" s="161" t="s"/>
      <c r="S92" s="161" t="s"/>
      <c r="T92" s="161" t="s"/>
      <c r="U92" s="161" t="s"/>
      <c r="V92" s="161" t="s"/>
      <c r="W92" s="161" t="s"/>
      <c r="X92" s="161" t="s"/>
      <c r="Y92" s="161" t="s"/>
      <c r="Z92" s="161" t="s"/>
    </row>
    <row r="93" spans="1:26" customHeight="false">
      <c r="A93" s="121" t="s"/>
      <c r="B93" s="188" t="s"/>
      <c r="C93" s="188" t="s"/>
      <c r="D93" s="121" t="s"/>
      <c r="E93" s="121" t="s"/>
      <c r="F93" s="121" t="s"/>
      <c r="G93" s="257" t="s"/>
      <c r="H93" s="257" t="s"/>
      <c r="I93" s="258" t="s"/>
      <c r="J93" s="259" t="s"/>
      <c r="K93" s="259" t="s"/>
      <c r="L93" s="259" t="s"/>
      <c r="M93" s="161" t="s"/>
      <c r="N93" s="161" t="s"/>
      <c r="O93" s="161" t="s"/>
      <c r="P93" s="161" t="s"/>
      <c r="Q93" s="161" t="s"/>
      <c r="R93" s="161" t="s"/>
      <c r="S93" s="161" t="s"/>
      <c r="T93" s="161" t="s"/>
      <c r="U93" s="161" t="s"/>
      <c r="V93" s="161" t="s"/>
      <c r="W93" s="161" t="s"/>
      <c r="X93" s="161" t="s"/>
      <c r="Y93" s="161" t="s"/>
      <c r="Z93" s="161" t="s"/>
    </row>
    <row r="94" spans="1:26" customHeight="false">
      <c r="A94" s="121" t="s"/>
      <c r="B94" s="188" t="s"/>
      <c r="C94" s="188" t="s"/>
      <c r="D94" s="121" t="s"/>
      <c r="E94" s="121" t="s"/>
      <c r="F94" s="121" t="s"/>
      <c r="G94" s="257" t="s"/>
      <c r="H94" s="257" t="s"/>
      <c r="I94" s="258" t="s"/>
      <c r="J94" s="259" t="s"/>
      <c r="K94" s="259" t="s"/>
      <c r="L94" s="259" t="s"/>
      <c r="M94" s="161" t="s"/>
      <c r="N94" s="161" t="s"/>
      <c r="O94" s="161" t="s"/>
      <c r="P94" s="161" t="s"/>
      <c r="Q94" s="161" t="s"/>
      <c r="R94" s="161" t="s"/>
      <c r="S94" s="161" t="s"/>
      <c r="T94" s="161" t="s"/>
      <c r="U94" s="161" t="s"/>
      <c r="V94" s="161" t="s"/>
      <c r="W94" s="161" t="s"/>
      <c r="X94" s="161" t="s"/>
      <c r="Y94" s="161" t="s"/>
      <c r="Z94" s="161" t="s"/>
    </row>
    <row r="95" spans="1:26" customHeight="false">
      <c r="A95" s="121" t="s"/>
      <c r="B95" s="188" t="s"/>
      <c r="C95" s="188" t="s"/>
      <c r="D95" s="121" t="s"/>
      <c r="E95" s="121" t="s"/>
      <c r="F95" s="121" t="s"/>
      <c r="G95" s="257" t="s"/>
      <c r="H95" s="257" t="s"/>
      <c r="I95" s="258" t="s"/>
      <c r="J95" s="259" t="s"/>
      <c r="K95" s="259" t="s"/>
      <c r="L95" s="259" t="s"/>
      <c r="M95" s="161" t="s"/>
      <c r="N95" s="161" t="s"/>
      <c r="O95" s="161" t="s"/>
      <c r="P95" s="161" t="s"/>
      <c r="Q95" s="161" t="s"/>
      <c r="R95" s="161" t="s"/>
      <c r="S95" s="161" t="s"/>
      <c r="T95" s="161" t="s"/>
      <c r="U95" s="161" t="s"/>
      <c r="V95" s="161" t="s"/>
      <c r="W95" s="161" t="s"/>
      <c r="X95" s="161" t="s"/>
      <c r="Y95" s="161" t="s"/>
      <c r="Z95" s="161" t="s"/>
    </row>
    <row r="96" spans="1:26" customHeight="false">
      <c r="A96" s="121" t="s"/>
      <c r="B96" s="188" t="s"/>
      <c r="C96" s="188" t="s"/>
      <c r="D96" s="121" t="s"/>
      <c r="E96" s="121" t="s"/>
      <c r="F96" s="121" t="s"/>
      <c r="G96" s="257" t="s"/>
      <c r="H96" s="257" t="s"/>
      <c r="I96" s="258" t="s"/>
      <c r="J96" s="259" t="s"/>
      <c r="K96" s="259" t="s"/>
      <c r="L96" s="259" t="s"/>
      <c r="M96" s="161" t="s"/>
      <c r="N96" s="161" t="s"/>
      <c r="O96" s="161" t="s"/>
      <c r="P96" s="161" t="s"/>
      <c r="Q96" s="161" t="s"/>
      <c r="R96" s="161" t="s"/>
      <c r="S96" s="161" t="s"/>
      <c r="T96" s="161" t="s"/>
      <c r="U96" s="161" t="s"/>
      <c r="V96" s="161" t="s"/>
      <c r="W96" s="161" t="s"/>
      <c r="X96" s="161" t="s"/>
      <c r="Y96" s="161" t="s"/>
      <c r="Z96" s="161" t="s"/>
    </row>
    <row r="97" spans="1:26" customHeight="false">
      <c r="A97" s="121" t="s"/>
      <c r="B97" s="188" t="s"/>
      <c r="C97" s="188" t="s"/>
      <c r="D97" s="121" t="s"/>
      <c r="E97" s="121" t="s"/>
      <c r="F97" s="121" t="s"/>
      <c r="G97" s="257" t="s"/>
      <c r="H97" s="257" t="s"/>
      <c r="I97" s="258" t="s"/>
      <c r="J97" s="259" t="s"/>
      <c r="K97" s="259" t="s"/>
      <c r="L97" s="259" t="s"/>
      <c r="M97" s="161" t="s"/>
      <c r="N97" s="161" t="s"/>
      <c r="O97" s="161" t="s"/>
      <c r="P97" s="161" t="s"/>
      <c r="Q97" s="161" t="s"/>
      <c r="R97" s="161" t="s"/>
      <c r="S97" s="161" t="s"/>
      <c r="T97" s="161" t="s"/>
      <c r="U97" s="161" t="s"/>
      <c r="V97" s="161" t="s"/>
      <c r="W97" s="161" t="s"/>
      <c r="X97" s="161" t="s"/>
      <c r="Y97" s="161" t="s"/>
      <c r="Z97" s="161" t="s"/>
    </row>
    <row r="98" spans="1:26" customHeight="false">
      <c r="A98" s="121" t="s"/>
      <c r="B98" s="188" t="s"/>
      <c r="C98" s="188" t="s"/>
      <c r="D98" s="121" t="s"/>
      <c r="E98" s="121" t="s"/>
      <c r="F98" s="121" t="s"/>
      <c r="G98" s="257" t="s"/>
      <c r="H98" s="257" t="s"/>
      <c r="I98" s="258" t="s"/>
      <c r="J98" s="259" t="s"/>
      <c r="K98" s="259" t="s"/>
      <c r="L98" s="259" t="s"/>
      <c r="M98" s="161" t="s"/>
      <c r="N98" s="161" t="s"/>
      <c r="O98" s="161" t="s"/>
      <c r="P98" s="161" t="s"/>
      <c r="Q98" s="161" t="s"/>
      <c r="R98" s="161" t="s"/>
      <c r="S98" s="161" t="s"/>
      <c r="T98" s="161" t="s"/>
      <c r="U98" s="161" t="s"/>
      <c r="V98" s="161" t="s"/>
      <c r="W98" s="161" t="s"/>
      <c r="X98" s="161" t="s"/>
      <c r="Y98" s="161" t="s"/>
      <c r="Z98" s="161" t="s"/>
    </row>
    <row r="99" spans="1:26" customHeight="false">
      <c r="A99" s="121" t="s"/>
      <c r="B99" s="188" t="s"/>
      <c r="C99" s="188" t="s"/>
      <c r="D99" s="121" t="s"/>
      <c r="E99" s="121" t="s"/>
      <c r="F99" s="121" t="s"/>
      <c r="G99" s="257" t="s"/>
      <c r="H99" s="257" t="s"/>
      <c r="I99" s="258" t="s"/>
      <c r="J99" s="259" t="s"/>
      <c r="K99" s="259" t="s"/>
      <c r="L99" s="259" t="s"/>
      <c r="M99" s="161" t="s"/>
      <c r="N99" s="161" t="s"/>
      <c r="O99" s="161" t="s"/>
      <c r="P99" s="161" t="s"/>
      <c r="Q99" s="161" t="s"/>
      <c r="R99" s="161" t="s"/>
      <c r="S99" s="161" t="s"/>
      <c r="T99" s="161" t="s"/>
      <c r="U99" s="161" t="s"/>
      <c r="V99" s="161" t="s"/>
      <c r="W99" s="161" t="s"/>
      <c r="X99" s="161" t="s"/>
      <c r="Y99" s="161" t="s"/>
      <c r="Z99" s="161" t="s"/>
    </row>
    <row r="100" spans="1:26" customHeight="false">
      <c r="A100" s="121" t="s"/>
      <c r="B100" s="188" t="s"/>
      <c r="C100" s="188" t="s"/>
      <c r="D100" s="121" t="s"/>
      <c r="E100" s="121" t="s"/>
      <c r="F100" s="121" t="s"/>
      <c r="G100" s="257" t="s"/>
      <c r="H100" s="257" t="s"/>
      <c r="I100" s="258" t="s"/>
      <c r="J100" s="259" t="s"/>
      <c r="K100" s="259" t="s"/>
      <c r="L100" s="259" t="s"/>
      <c r="M100" s="161" t="s"/>
      <c r="N100" s="161" t="s"/>
      <c r="O100" s="161" t="s"/>
      <c r="P100" s="161" t="s"/>
      <c r="Q100" s="161" t="s"/>
      <c r="R100" s="161" t="s"/>
      <c r="S100" s="161" t="s"/>
      <c r="T100" s="161" t="s"/>
      <c r="U100" s="161" t="s"/>
      <c r="V100" s="161" t="s"/>
      <c r="W100" s="161" t="s"/>
      <c r="X100" s="161" t="s"/>
      <c r="Y100" s="161" t="s"/>
      <c r="Z100" s="161" t="s"/>
    </row>
    <row r="101" spans="1:26" customHeight="false">
      <c r="A101" s="121" t="s"/>
      <c r="B101" s="188" t="s"/>
      <c r="C101" s="188" t="s"/>
      <c r="D101" s="121" t="s"/>
      <c r="E101" s="121" t="s"/>
      <c r="F101" s="121" t="s"/>
      <c r="G101" s="257" t="s"/>
      <c r="H101" s="257" t="s"/>
      <c r="I101" s="258" t="s"/>
      <c r="J101" s="259" t="s"/>
      <c r="K101" s="259" t="s"/>
      <c r="L101" s="259" t="s"/>
      <c r="M101" s="161" t="s"/>
      <c r="N101" s="161" t="s"/>
      <c r="O101" s="161" t="s"/>
      <c r="P101" s="161" t="s"/>
      <c r="Q101" s="161" t="s"/>
      <c r="R101" s="161" t="s"/>
      <c r="S101" s="161" t="s"/>
      <c r="T101" s="161" t="s"/>
      <c r="U101" s="161" t="s"/>
      <c r="V101" s="161" t="s"/>
      <c r="W101" s="161" t="s"/>
      <c r="X101" s="161" t="s"/>
      <c r="Y101" s="161" t="s"/>
      <c r="Z101" s="161" t="s"/>
    </row>
    <row r="102" spans="1:26" customHeight="false">
      <c r="A102" s="121" t="s"/>
      <c r="B102" s="188" t="s"/>
      <c r="C102" s="188" t="s"/>
      <c r="D102" s="121" t="s"/>
      <c r="E102" s="121" t="s"/>
      <c r="F102" s="121" t="s"/>
      <c r="G102" s="257" t="s"/>
      <c r="H102" s="257" t="s"/>
      <c r="I102" s="258" t="s"/>
      <c r="J102" s="259" t="s"/>
      <c r="K102" s="259" t="s"/>
      <c r="L102" s="259" t="s"/>
      <c r="M102" s="161" t="s"/>
      <c r="N102" s="161" t="s"/>
      <c r="O102" s="161" t="s"/>
      <c r="P102" s="161" t="s"/>
      <c r="Q102" s="161" t="s"/>
      <c r="R102" s="161" t="s"/>
      <c r="S102" s="161" t="s"/>
      <c r="T102" s="161" t="s"/>
      <c r="U102" s="161" t="s"/>
      <c r="V102" s="161" t="s"/>
      <c r="W102" s="161" t="s"/>
      <c r="X102" s="161" t="s"/>
      <c r="Y102" s="161" t="s"/>
      <c r="Z102" s="161" t="s"/>
    </row>
    <row r="103" spans="1:26" customHeight="false">
      <c r="A103" s="121" t="s"/>
      <c r="B103" s="188" t="s"/>
      <c r="C103" s="188" t="s"/>
      <c r="D103" s="121" t="s"/>
      <c r="E103" s="121" t="s"/>
      <c r="F103" s="121" t="s"/>
      <c r="G103" s="257" t="s"/>
      <c r="H103" s="257" t="s"/>
      <c r="I103" s="258" t="s"/>
      <c r="J103" s="259" t="s"/>
      <c r="K103" s="259" t="s"/>
      <c r="L103" s="259" t="s"/>
      <c r="M103" s="161" t="s"/>
      <c r="N103" s="161" t="s"/>
      <c r="O103" s="161" t="s"/>
      <c r="P103" s="161" t="s"/>
      <c r="Q103" s="161" t="s"/>
      <c r="R103" s="161" t="s"/>
      <c r="S103" s="161" t="s"/>
      <c r="T103" s="161" t="s"/>
      <c r="U103" s="161" t="s"/>
      <c r="V103" s="161" t="s"/>
      <c r="W103" s="161" t="s"/>
      <c r="X103" s="161" t="s"/>
      <c r="Y103" s="161" t="s"/>
      <c r="Z103" s="161" t="s"/>
    </row>
    <row r="104" spans="1:26" customHeight="false">
      <c r="A104" s="121" t="s"/>
      <c r="B104" s="188" t="s"/>
      <c r="C104" s="188" t="s"/>
      <c r="D104" s="121" t="s"/>
      <c r="E104" s="121" t="s"/>
      <c r="F104" s="121" t="s"/>
      <c r="G104" s="257" t="s"/>
      <c r="H104" s="257" t="s"/>
      <c r="I104" s="258" t="s"/>
      <c r="J104" s="259" t="s"/>
      <c r="K104" s="259" t="s"/>
      <c r="L104" s="259" t="s"/>
      <c r="M104" s="161" t="s"/>
      <c r="N104" s="161" t="s"/>
      <c r="O104" s="161" t="s"/>
      <c r="P104" s="161" t="s"/>
      <c r="Q104" s="161" t="s"/>
      <c r="R104" s="161" t="s"/>
      <c r="S104" s="161" t="s"/>
      <c r="T104" s="161" t="s"/>
      <c r="U104" s="161" t="s"/>
      <c r="V104" s="161" t="s"/>
      <c r="W104" s="161" t="s"/>
      <c r="X104" s="161" t="s"/>
      <c r="Y104" s="161" t="s"/>
      <c r="Z104" s="161" t="s"/>
    </row>
    <row r="105" spans="1:26" customHeight="false">
      <c r="A105" s="121" t="s"/>
      <c r="B105" s="188" t="s"/>
      <c r="C105" s="188" t="s"/>
      <c r="D105" s="121" t="s"/>
      <c r="E105" s="121" t="s"/>
      <c r="F105" s="121" t="s"/>
      <c r="G105" s="257" t="s"/>
      <c r="H105" s="257" t="s"/>
      <c r="I105" s="258" t="s"/>
      <c r="J105" s="259" t="s"/>
      <c r="K105" s="259" t="s"/>
      <c r="L105" s="259" t="s"/>
      <c r="M105" s="161" t="s"/>
      <c r="N105" s="161" t="s"/>
      <c r="O105" s="161" t="s"/>
      <c r="P105" s="161" t="s"/>
      <c r="Q105" s="161" t="s"/>
      <c r="R105" s="161" t="s"/>
      <c r="S105" s="161" t="s"/>
      <c r="T105" s="161" t="s"/>
      <c r="U105" s="161" t="s"/>
      <c r="V105" s="161" t="s"/>
      <c r="W105" s="161" t="s"/>
      <c r="X105" s="161" t="s"/>
      <c r="Y105" s="161" t="s"/>
      <c r="Z105" s="161" t="s"/>
    </row>
    <row r="106" spans="1:26" customHeight="false">
      <c r="A106" s="121" t="s"/>
      <c r="B106" s="188" t="s"/>
      <c r="C106" s="188" t="s"/>
      <c r="D106" s="121" t="s"/>
      <c r="E106" s="121" t="s"/>
      <c r="F106" s="121" t="s"/>
      <c r="G106" s="257" t="s"/>
      <c r="H106" s="257" t="s"/>
      <c r="I106" s="258" t="s"/>
      <c r="J106" s="259" t="s"/>
      <c r="K106" s="259" t="s"/>
      <c r="L106" s="259" t="s"/>
      <c r="M106" s="161" t="s"/>
      <c r="N106" s="161" t="s"/>
      <c r="O106" s="161" t="s"/>
      <c r="P106" s="161" t="s"/>
      <c r="Q106" s="161" t="s"/>
      <c r="R106" s="161" t="s"/>
      <c r="S106" s="161" t="s"/>
      <c r="T106" s="161" t="s"/>
      <c r="U106" s="161" t="s"/>
      <c r="V106" s="161" t="s"/>
      <c r="W106" s="161" t="s"/>
      <c r="X106" s="161" t="s"/>
      <c r="Y106" s="161" t="s"/>
      <c r="Z106" s="161" t="s"/>
    </row>
    <row r="107" spans="1:26" customHeight="false">
      <c r="A107" s="121" t="s"/>
      <c r="B107" s="188" t="s"/>
      <c r="C107" s="188" t="s"/>
      <c r="D107" s="121" t="s"/>
      <c r="E107" s="121" t="s"/>
      <c r="F107" s="121" t="s"/>
      <c r="G107" s="257" t="s"/>
      <c r="H107" s="257" t="s"/>
      <c r="I107" s="258" t="s"/>
      <c r="J107" s="259" t="s"/>
      <c r="K107" s="259" t="s"/>
      <c r="L107" s="259" t="s"/>
      <c r="M107" s="161" t="s"/>
      <c r="N107" s="161" t="s"/>
      <c r="O107" s="161" t="s"/>
      <c r="P107" s="161" t="s"/>
      <c r="Q107" s="161" t="s"/>
      <c r="R107" s="161" t="s"/>
      <c r="S107" s="161" t="s"/>
      <c r="T107" s="161" t="s"/>
      <c r="U107" s="161" t="s"/>
      <c r="V107" s="161" t="s"/>
      <c r="W107" s="161" t="s"/>
      <c r="X107" s="161" t="s"/>
      <c r="Y107" s="161" t="s"/>
      <c r="Z107" s="161" t="s"/>
    </row>
    <row r="108" spans="1:26" customHeight="false">
      <c r="A108" s="121" t="s"/>
      <c r="B108" s="188" t="s"/>
      <c r="C108" s="188" t="s"/>
      <c r="D108" s="121" t="s"/>
      <c r="E108" s="121" t="s"/>
      <c r="F108" s="121" t="s"/>
      <c r="G108" s="257" t="s"/>
      <c r="H108" s="257" t="s"/>
      <c r="I108" s="258" t="s"/>
      <c r="J108" s="259" t="s"/>
      <c r="K108" s="259" t="s"/>
      <c r="L108" s="259" t="s"/>
      <c r="M108" s="161" t="s"/>
      <c r="N108" s="161" t="s"/>
      <c r="O108" s="161" t="s"/>
      <c r="P108" s="161" t="s"/>
      <c r="Q108" s="161" t="s"/>
      <c r="R108" s="161" t="s"/>
      <c r="S108" s="161" t="s"/>
      <c r="T108" s="161" t="s"/>
      <c r="U108" s="161" t="s"/>
      <c r="V108" s="161" t="s"/>
      <c r="W108" s="161" t="s"/>
      <c r="X108" s="161" t="s"/>
      <c r="Y108" s="161" t="s"/>
      <c r="Z108" s="161" t="s"/>
    </row>
    <row r="109" spans="1:26" customHeight="false">
      <c r="A109" s="121" t="s"/>
      <c r="B109" s="188" t="s"/>
      <c r="C109" s="188" t="s"/>
      <c r="D109" s="121" t="s"/>
      <c r="E109" s="121" t="s"/>
      <c r="F109" s="121" t="s"/>
      <c r="G109" s="257" t="s"/>
      <c r="H109" s="257" t="s"/>
      <c r="I109" s="258" t="s"/>
      <c r="J109" s="259" t="s"/>
      <c r="K109" s="259" t="s"/>
      <c r="L109" s="259" t="s"/>
      <c r="M109" s="161" t="s"/>
      <c r="N109" s="161" t="s"/>
      <c r="O109" s="161" t="s"/>
      <c r="P109" s="161" t="s"/>
      <c r="Q109" s="161" t="s"/>
      <c r="R109" s="161" t="s"/>
      <c r="S109" s="161" t="s"/>
      <c r="T109" s="161" t="s"/>
      <c r="U109" s="161" t="s"/>
      <c r="V109" s="161" t="s"/>
      <c r="W109" s="161" t="s"/>
      <c r="X109" s="161" t="s"/>
      <c r="Y109" s="161" t="s"/>
      <c r="Z109" s="161" t="s"/>
    </row>
    <row r="110" spans="1:26" customHeight="false">
      <c r="A110" s="121" t="s"/>
      <c r="B110" s="188" t="s"/>
      <c r="C110" s="188" t="s"/>
      <c r="D110" s="121" t="s"/>
      <c r="E110" s="121" t="s"/>
      <c r="F110" s="121" t="s"/>
      <c r="G110" s="257" t="s"/>
      <c r="H110" s="257" t="s"/>
      <c r="I110" s="258" t="s"/>
      <c r="J110" s="259" t="s"/>
      <c r="K110" s="259" t="s"/>
      <c r="L110" s="259" t="s"/>
      <c r="M110" s="161" t="s"/>
      <c r="N110" s="161" t="s"/>
      <c r="O110" s="161" t="s"/>
      <c r="P110" s="161" t="s"/>
      <c r="Q110" s="161" t="s"/>
      <c r="R110" s="161" t="s"/>
      <c r="S110" s="161" t="s"/>
      <c r="T110" s="161" t="s"/>
      <c r="U110" s="161" t="s"/>
      <c r="V110" s="161" t="s"/>
      <c r="W110" s="161" t="s"/>
      <c r="X110" s="161" t="s"/>
      <c r="Y110" s="161" t="s"/>
      <c r="Z110" s="161" t="s"/>
    </row>
    <row r="111" spans="1:26" customHeight="false">
      <c r="A111" s="121" t="s"/>
      <c r="B111" s="188" t="s"/>
      <c r="C111" s="188" t="s"/>
      <c r="D111" s="121" t="s"/>
      <c r="E111" s="121" t="s"/>
      <c r="F111" s="121" t="s"/>
      <c r="G111" s="257" t="s"/>
      <c r="H111" s="257" t="s"/>
      <c r="I111" s="258" t="s"/>
      <c r="J111" s="259" t="s"/>
      <c r="K111" s="259" t="s"/>
      <c r="L111" s="259" t="s"/>
      <c r="M111" s="161" t="s"/>
      <c r="N111" s="161" t="s"/>
      <c r="O111" s="161" t="s"/>
      <c r="P111" s="161" t="s"/>
      <c r="Q111" s="161" t="s"/>
      <c r="R111" s="161" t="s"/>
      <c r="S111" s="161" t="s"/>
      <c r="T111" s="161" t="s"/>
      <c r="U111" s="161" t="s"/>
      <c r="V111" s="161" t="s"/>
      <c r="W111" s="161" t="s"/>
      <c r="X111" s="161" t="s"/>
      <c r="Y111" s="161" t="s"/>
      <c r="Z111" s="161" t="s"/>
    </row>
    <row r="112" spans="1:26" customHeight="false">
      <c r="A112" s="121" t="s"/>
      <c r="B112" s="188" t="s"/>
      <c r="C112" s="188" t="s"/>
      <c r="D112" s="121" t="s"/>
      <c r="E112" s="121" t="s"/>
      <c r="F112" s="121" t="s"/>
      <c r="G112" s="257" t="s"/>
      <c r="H112" s="257" t="s"/>
      <c r="I112" s="258" t="s"/>
      <c r="J112" s="259" t="s"/>
      <c r="K112" s="259" t="s"/>
      <c r="L112" s="259" t="s"/>
      <c r="M112" s="161" t="s"/>
      <c r="N112" s="161" t="s"/>
      <c r="O112" s="161" t="s"/>
      <c r="P112" s="161" t="s"/>
      <c r="Q112" s="161" t="s"/>
      <c r="R112" s="161" t="s"/>
      <c r="S112" s="161" t="s"/>
      <c r="T112" s="161" t="s"/>
      <c r="U112" s="161" t="s"/>
      <c r="V112" s="161" t="s"/>
      <c r="W112" s="161" t="s"/>
      <c r="X112" s="161" t="s"/>
      <c r="Y112" s="161" t="s"/>
      <c r="Z112" s="161" t="s"/>
    </row>
    <row r="113" spans="1:26" customHeight="false">
      <c r="A113" s="121" t="s"/>
      <c r="B113" s="188" t="s"/>
      <c r="C113" s="188" t="s"/>
      <c r="D113" s="121" t="s"/>
      <c r="E113" s="121" t="s"/>
      <c r="F113" s="121" t="s"/>
      <c r="G113" s="257" t="s"/>
      <c r="H113" s="257" t="s"/>
      <c r="I113" s="258" t="s"/>
      <c r="J113" s="259" t="s"/>
      <c r="K113" s="259" t="s"/>
      <c r="L113" s="259" t="s"/>
      <c r="M113" s="161" t="s"/>
      <c r="N113" s="161" t="s"/>
      <c r="O113" s="161" t="s"/>
      <c r="P113" s="161" t="s"/>
      <c r="Q113" s="161" t="s"/>
      <c r="R113" s="161" t="s"/>
      <c r="S113" s="161" t="s"/>
      <c r="T113" s="161" t="s"/>
      <c r="U113" s="161" t="s"/>
      <c r="V113" s="161" t="s"/>
      <c r="W113" s="161" t="s"/>
      <c r="X113" s="161" t="s"/>
      <c r="Y113" s="161" t="s"/>
      <c r="Z113" s="161" t="s"/>
    </row>
    <row r="114" spans="1:26" customHeight="false">
      <c r="A114" s="121" t="s"/>
      <c r="B114" s="188" t="s"/>
      <c r="C114" s="188" t="s"/>
      <c r="D114" s="121" t="s"/>
      <c r="E114" s="121" t="s"/>
      <c r="F114" s="121" t="s"/>
      <c r="G114" s="257" t="s"/>
      <c r="H114" s="257" t="s"/>
      <c r="I114" s="258" t="s"/>
      <c r="J114" s="259" t="s"/>
      <c r="K114" s="259" t="s"/>
      <c r="L114" s="259" t="s"/>
      <c r="M114" s="161" t="s"/>
      <c r="N114" s="161" t="s"/>
      <c r="O114" s="161" t="s"/>
      <c r="P114" s="161" t="s"/>
      <c r="Q114" s="161" t="s"/>
      <c r="R114" s="161" t="s"/>
      <c r="S114" s="161" t="s"/>
      <c r="T114" s="161" t="s"/>
      <c r="U114" s="161" t="s"/>
      <c r="V114" s="161" t="s"/>
      <c r="W114" s="161" t="s"/>
      <c r="X114" s="161" t="s"/>
      <c r="Y114" s="161" t="s"/>
      <c r="Z114" s="161" t="s"/>
    </row>
    <row r="115" spans="1:26" customHeight="false">
      <c r="A115" s="121" t="s"/>
      <c r="B115" s="188" t="s"/>
      <c r="C115" s="188" t="s"/>
      <c r="D115" s="121" t="s"/>
      <c r="E115" s="121" t="s"/>
      <c r="F115" s="121" t="s"/>
      <c r="G115" s="257" t="s"/>
      <c r="H115" s="257" t="s"/>
      <c r="I115" s="258" t="s"/>
      <c r="J115" s="259" t="s"/>
      <c r="K115" s="259" t="s"/>
      <c r="L115" s="259" t="s"/>
      <c r="M115" s="161" t="s"/>
      <c r="N115" s="161" t="s"/>
      <c r="O115" s="161" t="s"/>
      <c r="P115" s="161" t="s"/>
      <c r="Q115" s="161" t="s"/>
      <c r="R115" s="161" t="s"/>
      <c r="S115" s="161" t="s"/>
      <c r="T115" s="161" t="s"/>
      <c r="U115" s="161" t="s"/>
      <c r="V115" s="161" t="s"/>
      <c r="W115" s="161" t="s"/>
      <c r="X115" s="161" t="s"/>
      <c r="Y115" s="161" t="s"/>
      <c r="Z115" s="161" t="s"/>
    </row>
    <row r="116" spans="1:26" customHeight="false">
      <c r="A116" s="121" t="s"/>
      <c r="B116" s="188" t="s"/>
      <c r="C116" s="188" t="s"/>
      <c r="D116" s="121" t="s"/>
      <c r="E116" s="121" t="s"/>
      <c r="F116" s="121" t="s"/>
      <c r="G116" s="257" t="s"/>
      <c r="H116" s="257" t="s"/>
      <c r="I116" s="258" t="s"/>
      <c r="J116" s="259" t="s"/>
      <c r="K116" s="259" t="s"/>
      <c r="L116" s="259" t="s"/>
      <c r="M116" s="161" t="s"/>
      <c r="N116" s="161" t="s"/>
      <c r="O116" s="161" t="s"/>
      <c r="P116" s="161" t="s"/>
      <c r="Q116" s="161" t="s"/>
      <c r="R116" s="161" t="s"/>
      <c r="S116" s="161" t="s"/>
      <c r="T116" s="161" t="s"/>
      <c r="U116" s="161" t="s"/>
      <c r="V116" s="161" t="s"/>
      <c r="W116" s="161" t="s"/>
      <c r="X116" s="161" t="s"/>
      <c r="Y116" s="161" t="s"/>
      <c r="Z116" s="161" t="s"/>
    </row>
    <row r="117" spans="1:26" customHeight="false">
      <c r="A117" s="121" t="s"/>
      <c r="B117" s="188" t="s"/>
      <c r="C117" s="188" t="s"/>
      <c r="D117" s="121" t="s"/>
      <c r="E117" s="121" t="s"/>
      <c r="F117" s="121" t="s"/>
      <c r="G117" s="257" t="s"/>
      <c r="H117" s="257" t="s"/>
      <c r="I117" s="258" t="s"/>
      <c r="J117" s="259" t="s"/>
      <c r="K117" s="259" t="s"/>
      <c r="L117" s="259" t="s"/>
      <c r="M117" s="161" t="s"/>
      <c r="N117" s="161" t="s"/>
      <c r="O117" s="161" t="s"/>
      <c r="P117" s="161" t="s"/>
      <c r="Q117" s="161" t="s"/>
      <c r="R117" s="161" t="s"/>
      <c r="S117" s="161" t="s"/>
      <c r="T117" s="161" t="s"/>
      <c r="U117" s="161" t="s"/>
      <c r="V117" s="161" t="s"/>
      <c r="W117" s="161" t="s"/>
      <c r="X117" s="161" t="s"/>
      <c r="Y117" s="161" t="s"/>
      <c r="Z117" s="161" t="s"/>
    </row>
    <row r="118" spans="1:26" customHeight="false">
      <c r="A118" s="121" t="s"/>
      <c r="B118" s="188" t="s"/>
      <c r="C118" s="188" t="s"/>
      <c r="D118" s="121" t="s"/>
      <c r="E118" s="121" t="s"/>
      <c r="F118" s="121" t="s"/>
      <c r="G118" s="257" t="s"/>
      <c r="H118" s="257" t="s"/>
      <c r="I118" s="258" t="s"/>
      <c r="J118" s="259" t="s"/>
      <c r="K118" s="259" t="s"/>
      <c r="L118" s="259" t="s"/>
      <c r="M118" s="161" t="s"/>
      <c r="N118" s="161" t="s"/>
      <c r="O118" s="161" t="s"/>
      <c r="P118" s="161" t="s"/>
      <c r="Q118" s="161" t="s"/>
      <c r="R118" s="161" t="s"/>
      <c r="S118" s="161" t="s"/>
      <c r="T118" s="161" t="s"/>
      <c r="U118" s="161" t="s"/>
      <c r="V118" s="161" t="s"/>
      <c r="W118" s="161" t="s"/>
      <c r="X118" s="161" t="s"/>
      <c r="Y118" s="161" t="s"/>
      <c r="Z118" s="161" t="s"/>
    </row>
    <row r="119" spans="1:26" customHeight="false">
      <c r="A119" s="121" t="s"/>
      <c r="B119" s="188" t="s"/>
      <c r="C119" s="188" t="s"/>
      <c r="D119" s="121" t="s"/>
      <c r="E119" s="121" t="s"/>
      <c r="F119" s="121" t="s"/>
      <c r="G119" s="257" t="s"/>
      <c r="H119" s="257" t="s"/>
      <c r="I119" s="258" t="s"/>
      <c r="J119" s="259" t="s"/>
      <c r="K119" s="259" t="s"/>
      <c r="L119" s="259" t="s"/>
      <c r="M119" s="161" t="s"/>
      <c r="N119" s="161" t="s"/>
      <c r="O119" s="161" t="s"/>
      <c r="P119" s="161" t="s"/>
      <c r="Q119" s="161" t="s"/>
      <c r="R119" s="161" t="s"/>
      <c r="S119" s="161" t="s"/>
      <c r="T119" s="161" t="s"/>
      <c r="U119" s="161" t="s"/>
      <c r="V119" s="161" t="s"/>
      <c r="W119" s="161" t="s"/>
      <c r="X119" s="161" t="s"/>
      <c r="Y119" s="161" t="s"/>
      <c r="Z119" s="161" t="s"/>
    </row>
    <row r="120" spans="1:26" customHeight="false">
      <c r="A120" s="121" t="s"/>
      <c r="B120" s="188" t="s"/>
      <c r="C120" s="188" t="s"/>
      <c r="D120" s="121" t="s"/>
      <c r="E120" s="121" t="s"/>
      <c r="F120" s="121" t="s"/>
      <c r="G120" s="257" t="s"/>
      <c r="H120" s="257" t="s"/>
      <c r="I120" s="258" t="s"/>
      <c r="J120" s="259" t="s"/>
      <c r="K120" s="259" t="s"/>
      <c r="L120" s="259" t="s"/>
      <c r="M120" s="161" t="s"/>
      <c r="N120" s="161" t="s"/>
      <c r="O120" s="161" t="s"/>
      <c r="P120" s="161" t="s"/>
      <c r="Q120" s="161" t="s"/>
      <c r="R120" s="161" t="s"/>
      <c r="S120" s="161" t="s"/>
      <c r="T120" s="161" t="s"/>
      <c r="U120" s="161" t="s"/>
      <c r="V120" s="161" t="s"/>
      <c r="W120" s="161" t="s"/>
      <c r="X120" s="161" t="s"/>
      <c r="Y120" s="161" t="s"/>
      <c r="Z120" s="161" t="s"/>
    </row>
    <row r="121" spans="1:26" customHeight="false">
      <c r="A121" s="121" t="s"/>
      <c r="B121" s="188" t="s"/>
      <c r="C121" s="188" t="s"/>
      <c r="D121" s="121" t="s"/>
      <c r="E121" s="121" t="s"/>
      <c r="F121" s="121" t="s"/>
      <c r="G121" s="257" t="s"/>
      <c r="H121" s="257" t="s"/>
      <c r="I121" s="258" t="s"/>
      <c r="J121" s="259" t="s"/>
      <c r="K121" s="259" t="s"/>
      <c r="L121" s="259" t="s"/>
      <c r="M121" s="161" t="s"/>
      <c r="N121" s="161" t="s"/>
      <c r="O121" s="161" t="s"/>
      <c r="P121" s="161" t="s"/>
      <c r="Q121" s="161" t="s"/>
      <c r="R121" s="161" t="s"/>
      <c r="S121" s="161" t="s"/>
      <c r="T121" s="161" t="s"/>
      <c r="U121" s="161" t="s"/>
      <c r="V121" s="161" t="s"/>
      <c r="W121" s="161" t="s"/>
      <c r="X121" s="161" t="s"/>
      <c r="Y121" s="161" t="s"/>
      <c r="Z121" s="161" t="s"/>
    </row>
    <row r="122" spans="1:26" customHeight="false">
      <c r="A122" s="121" t="s"/>
      <c r="B122" s="188" t="s"/>
      <c r="C122" s="188" t="s"/>
      <c r="D122" s="121" t="s"/>
      <c r="E122" s="121" t="s"/>
      <c r="F122" s="121" t="s"/>
      <c r="G122" s="257" t="s"/>
      <c r="H122" s="257" t="s"/>
      <c r="I122" s="258" t="s"/>
      <c r="J122" s="259" t="s"/>
      <c r="K122" s="259" t="s"/>
      <c r="L122" s="259" t="s"/>
      <c r="M122" s="161" t="s"/>
      <c r="N122" s="161" t="s"/>
      <c r="O122" s="161" t="s"/>
      <c r="P122" s="161" t="s"/>
      <c r="Q122" s="161" t="s"/>
      <c r="R122" s="161" t="s"/>
      <c r="S122" s="161" t="s"/>
      <c r="T122" s="161" t="s"/>
      <c r="U122" s="161" t="s"/>
      <c r="V122" s="161" t="s"/>
      <c r="W122" s="161" t="s"/>
      <c r="X122" s="161" t="s"/>
      <c r="Y122" s="161" t="s"/>
      <c r="Z122" s="161" t="s"/>
    </row>
    <row r="123" spans="1:26" customHeight="false">
      <c r="A123" s="121" t="s"/>
      <c r="B123" s="188" t="s"/>
      <c r="C123" s="188" t="s"/>
      <c r="D123" s="121" t="s"/>
      <c r="E123" s="121" t="s"/>
      <c r="F123" s="121" t="s"/>
      <c r="G123" s="257" t="s"/>
      <c r="H123" s="257" t="s"/>
      <c r="I123" s="258" t="s"/>
      <c r="J123" s="259" t="s"/>
      <c r="K123" s="259" t="s"/>
      <c r="L123" s="259" t="s"/>
      <c r="M123" s="161" t="s"/>
      <c r="N123" s="161" t="s"/>
      <c r="O123" s="161" t="s"/>
      <c r="P123" s="161" t="s"/>
      <c r="Q123" s="161" t="s"/>
      <c r="R123" s="161" t="s"/>
      <c r="S123" s="161" t="s"/>
      <c r="T123" s="161" t="s"/>
      <c r="U123" s="161" t="s"/>
      <c r="V123" s="161" t="s"/>
      <c r="W123" s="161" t="s"/>
      <c r="X123" s="161" t="s"/>
      <c r="Y123" s="161" t="s"/>
      <c r="Z123" s="161" t="s"/>
    </row>
    <row r="124" spans="1:26" customHeight="false">
      <c r="A124" s="121" t="s"/>
      <c r="B124" s="188" t="s"/>
      <c r="C124" s="188" t="s"/>
      <c r="D124" s="121" t="s"/>
      <c r="E124" s="121" t="s"/>
      <c r="F124" s="121" t="s"/>
      <c r="G124" s="257" t="s"/>
      <c r="H124" s="257" t="s"/>
      <c r="I124" s="258" t="s"/>
      <c r="J124" s="259" t="s"/>
      <c r="K124" s="259" t="s"/>
      <c r="L124" s="259" t="s"/>
      <c r="M124" s="161" t="s"/>
      <c r="N124" s="161" t="s"/>
      <c r="O124" s="161" t="s"/>
      <c r="P124" s="161" t="s"/>
      <c r="Q124" s="161" t="s"/>
      <c r="R124" s="161" t="s"/>
      <c r="S124" s="161" t="s"/>
      <c r="T124" s="161" t="s"/>
      <c r="U124" s="161" t="s"/>
      <c r="V124" s="161" t="s"/>
      <c r="W124" s="161" t="s"/>
      <c r="X124" s="161" t="s"/>
      <c r="Y124" s="161" t="s"/>
      <c r="Z124" s="161" t="s"/>
    </row>
    <row r="125" spans="1:26" customHeight="false">
      <c r="A125" s="121" t="s"/>
      <c r="B125" s="188" t="s"/>
      <c r="C125" s="188" t="s"/>
      <c r="D125" s="121" t="s"/>
      <c r="E125" s="121" t="s"/>
      <c r="F125" s="121" t="s"/>
      <c r="G125" s="257" t="s"/>
      <c r="H125" s="257" t="s"/>
      <c r="I125" s="258" t="s"/>
      <c r="J125" s="259" t="s"/>
      <c r="K125" s="259" t="s"/>
      <c r="L125" s="259" t="s"/>
      <c r="M125" s="161" t="s"/>
      <c r="N125" s="161" t="s"/>
      <c r="O125" s="161" t="s"/>
      <c r="P125" s="161" t="s"/>
      <c r="Q125" s="161" t="s"/>
      <c r="R125" s="161" t="s"/>
      <c r="S125" s="161" t="s"/>
      <c r="T125" s="161" t="s"/>
      <c r="U125" s="161" t="s"/>
      <c r="V125" s="161" t="s"/>
      <c r="W125" s="161" t="s"/>
      <c r="X125" s="161" t="s"/>
      <c r="Y125" s="161" t="s"/>
      <c r="Z125" s="161" t="s"/>
    </row>
    <row r="126" spans="1:26" customHeight="false">
      <c r="A126" s="121" t="s"/>
      <c r="B126" s="188" t="s"/>
      <c r="C126" s="188" t="s"/>
      <c r="D126" s="121" t="s"/>
      <c r="E126" s="121" t="s"/>
      <c r="F126" s="121" t="s"/>
      <c r="G126" s="257" t="s"/>
      <c r="H126" s="257" t="s"/>
      <c r="I126" s="258" t="s"/>
      <c r="J126" s="259" t="s"/>
      <c r="K126" s="259" t="s"/>
      <c r="L126" s="259" t="s"/>
      <c r="M126" s="161" t="s"/>
      <c r="N126" s="161" t="s"/>
      <c r="O126" s="161" t="s"/>
      <c r="P126" s="161" t="s"/>
      <c r="Q126" s="161" t="s"/>
      <c r="R126" s="161" t="s"/>
      <c r="S126" s="161" t="s"/>
      <c r="T126" s="161" t="s"/>
      <c r="U126" s="161" t="s"/>
      <c r="V126" s="161" t="s"/>
      <c r="W126" s="161" t="s"/>
      <c r="X126" s="161" t="s"/>
      <c r="Y126" s="161" t="s"/>
      <c r="Z126" s="161" t="s"/>
    </row>
    <row r="127" spans="1:26" customHeight="false">
      <c r="A127" s="121" t="s"/>
      <c r="B127" s="188" t="s"/>
      <c r="C127" s="188" t="s"/>
      <c r="D127" s="121" t="s"/>
      <c r="E127" s="121" t="s"/>
      <c r="F127" s="121" t="s"/>
      <c r="G127" s="257" t="s"/>
      <c r="H127" s="257" t="s"/>
      <c r="I127" s="258" t="s"/>
      <c r="J127" s="259" t="s"/>
      <c r="K127" s="259" t="s"/>
      <c r="L127" s="259" t="s"/>
      <c r="M127" s="161" t="s"/>
      <c r="N127" s="161" t="s"/>
      <c r="O127" s="161" t="s"/>
      <c r="P127" s="161" t="s"/>
      <c r="Q127" s="161" t="s"/>
      <c r="R127" s="161" t="s"/>
      <c r="S127" s="161" t="s"/>
      <c r="T127" s="161" t="s"/>
      <c r="U127" s="161" t="s"/>
      <c r="V127" s="161" t="s"/>
      <c r="W127" s="161" t="s"/>
      <c r="X127" s="161" t="s"/>
      <c r="Y127" s="161" t="s"/>
      <c r="Z127" s="161" t="s"/>
    </row>
    <row r="128" spans="1:26" customHeight="false">
      <c r="A128" s="121" t="s"/>
      <c r="B128" s="188" t="s"/>
      <c r="C128" s="188" t="s"/>
      <c r="D128" s="121" t="s"/>
      <c r="E128" s="121" t="s"/>
      <c r="F128" s="121" t="s"/>
      <c r="G128" s="257" t="s"/>
      <c r="H128" s="257" t="s"/>
      <c r="I128" s="258" t="s"/>
      <c r="J128" s="259" t="s"/>
      <c r="K128" s="259" t="s"/>
      <c r="L128" s="259" t="s"/>
      <c r="M128" s="161" t="s"/>
      <c r="N128" s="161" t="s"/>
      <c r="O128" s="161" t="s"/>
      <c r="P128" s="161" t="s"/>
      <c r="Q128" s="161" t="s"/>
      <c r="R128" s="161" t="s"/>
      <c r="S128" s="161" t="s"/>
      <c r="T128" s="161" t="s"/>
      <c r="U128" s="161" t="s"/>
      <c r="V128" s="161" t="s"/>
      <c r="W128" s="161" t="s"/>
      <c r="X128" s="161" t="s"/>
      <c r="Y128" s="161" t="s"/>
      <c r="Z128" s="161" t="s"/>
    </row>
    <row r="129" spans="1:26" customHeight="false">
      <c r="A129" s="121" t="s"/>
      <c r="B129" s="188" t="s"/>
      <c r="C129" s="188" t="s"/>
      <c r="D129" s="121" t="s"/>
      <c r="E129" s="121" t="s"/>
      <c r="F129" s="121" t="s"/>
      <c r="G129" s="257" t="s"/>
      <c r="H129" s="257" t="s"/>
      <c r="I129" s="258" t="s"/>
      <c r="J129" s="259" t="s"/>
      <c r="K129" s="259" t="s"/>
      <c r="L129" s="259" t="s"/>
      <c r="M129" s="161" t="s"/>
      <c r="N129" s="161" t="s"/>
      <c r="O129" s="161" t="s"/>
      <c r="P129" s="161" t="s"/>
      <c r="Q129" s="161" t="s"/>
      <c r="R129" s="161" t="s"/>
      <c r="S129" s="161" t="s"/>
      <c r="T129" s="161" t="s"/>
      <c r="U129" s="161" t="s"/>
      <c r="V129" s="161" t="s"/>
      <c r="W129" s="161" t="s"/>
      <c r="X129" s="161" t="s"/>
      <c r="Y129" s="161" t="s"/>
      <c r="Z129" s="161" t="s"/>
    </row>
    <row r="130" spans="1:26" customHeight="false">
      <c r="A130" s="121" t="s"/>
      <c r="B130" s="188" t="s"/>
      <c r="C130" s="188" t="s"/>
      <c r="D130" s="121" t="s"/>
      <c r="E130" s="121" t="s"/>
      <c r="F130" s="121" t="s"/>
      <c r="G130" s="257" t="s"/>
      <c r="H130" s="257" t="s"/>
      <c r="I130" s="258" t="s"/>
      <c r="J130" s="259" t="s"/>
      <c r="K130" s="259" t="s"/>
      <c r="L130" s="259" t="s"/>
      <c r="M130" s="161" t="s"/>
      <c r="N130" s="161" t="s"/>
      <c r="O130" s="161" t="s"/>
      <c r="P130" s="161" t="s"/>
      <c r="Q130" s="161" t="s"/>
      <c r="R130" s="161" t="s"/>
      <c r="S130" s="161" t="s"/>
      <c r="T130" s="161" t="s"/>
      <c r="U130" s="161" t="s"/>
      <c r="V130" s="161" t="s"/>
      <c r="W130" s="161" t="s"/>
      <c r="X130" s="161" t="s"/>
      <c r="Y130" s="161" t="s"/>
      <c r="Z130" s="161" t="s"/>
    </row>
    <row r="131" spans="1:26" customHeight="false">
      <c r="A131" s="121" t="s"/>
      <c r="B131" s="188" t="s"/>
      <c r="C131" s="188" t="s"/>
      <c r="D131" s="121" t="s"/>
      <c r="E131" s="121" t="s"/>
      <c r="F131" s="121" t="s"/>
      <c r="G131" s="257" t="s"/>
      <c r="H131" s="257" t="s"/>
      <c r="I131" s="258" t="s"/>
      <c r="J131" s="259" t="s"/>
      <c r="K131" s="259" t="s"/>
      <c r="L131" s="259" t="s"/>
      <c r="M131" s="161" t="s"/>
      <c r="N131" s="161" t="s"/>
      <c r="O131" s="161" t="s"/>
      <c r="P131" s="161" t="s"/>
      <c r="Q131" s="161" t="s"/>
      <c r="R131" s="161" t="s"/>
      <c r="S131" s="161" t="s"/>
      <c r="T131" s="161" t="s"/>
      <c r="U131" s="161" t="s"/>
      <c r="V131" s="161" t="s"/>
      <c r="W131" s="161" t="s"/>
      <c r="X131" s="161" t="s"/>
      <c r="Y131" s="161" t="s"/>
      <c r="Z131" s="161" t="s"/>
    </row>
    <row r="132" spans="1:26" customHeight="false">
      <c r="A132" s="121" t="s"/>
      <c r="B132" s="188" t="s"/>
      <c r="C132" s="188" t="s"/>
      <c r="D132" s="121" t="s"/>
      <c r="E132" s="121" t="s"/>
      <c r="F132" s="121" t="s"/>
      <c r="G132" s="257" t="s"/>
      <c r="H132" s="257" t="s"/>
      <c r="I132" s="258" t="s"/>
      <c r="J132" s="259" t="s"/>
      <c r="K132" s="259" t="s"/>
      <c r="L132" s="259" t="s"/>
      <c r="M132" s="161" t="s"/>
      <c r="N132" s="161" t="s"/>
      <c r="O132" s="161" t="s"/>
      <c r="P132" s="161" t="s"/>
      <c r="Q132" s="161" t="s"/>
      <c r="R132" s="161" t="s"/>
      <c r="S132" s="161" t="s"/>
      <c r="T132" s="161" t="s"/>
      <c r="U132" s="161" t="s"/>
      <c r="V132" s="161" t="s"/>
      <c r="W132" s="161" t="s"/>
      <c r="X132" s="161" t="s"/>
      <c r="Y132" s="161" t="s"/>
      <c r="Z132" s="161" t="s"/>
    </row>
    <row r="133" spans="1:26" customHeight="false">
      <c r="A133" s="121" t="s"/>
      <c r="B133" s="188" t="s"/>
      <c r="C133" s="188" t="s"/>
      <c r="D133" s="121" t="s"/>
      <c r="E133" s="121" t="s"/>
      <c r="F133" s="121" t="s"/>
      <c r="G133" s="257" t="s"/>
      <c r="H133" s="257" t="s"/>
      <c r="I133" s="258" t="s"/>
      <c r="J133" s="259" t="s"/>
      <c r="K133" s="259" t="s"/>
      <c r="L133" s="259" t="s"/>
      <c r="M133" s="161" t="s"/>
      <c r="N133" s="161" t="s"/>
      <c r="O133" s="161" t="s"/>
      <c r="P133" s="161" t="s"/>
      <c r="Q133" s="161" t="s"/>
      <c r="R133" s="161" t="s"/>
      <c r="S133" s="161" t="s"/>
      <c r="T133" s="161" t="s"/>
      <c r="U133" s="161" t="s"/>
      <c r="V133" s="161" t="s"/>
      <c r="W133" s="161" t="s"/>
      <c r="X133" s="161" t="s"/>
      <c r="Y133" s="161" t="s"/>
      <c r="Z133" s="161" t="s"/>
    </row>
    <row r="134" spans="1:26" customHeight="false">
      <c r="A134" s="121" t="s"/>
      <c r="B134" s="188" t="s"/>
      <c r="C134" s="188" t="s"/>
      <c r="D134" s="121" t="s"/>
      <c r="E134" s="121" t="s"/>
      <c r="F134" s="121" t="s"/>
      <c r="G134" s="257" t="s"/>
      <c r="H134" s="257" t="s"/>
      <c r="I134" s="258" t="s"/>
      <c r="J134" s="259" t="s"/>
      <c r="K134" s="259" t="s"/>
      <c r="L134" s="259" t="s"/>
      <c r="M134" s="161" t="s"/>
      <c r="N134" s="161" t="s"/>
      <c r="O134" s="161" t="s"/>
      <c r="P134" s="161" t="s"/>
      <c r="Q134" s="161" t="s"/>
      <c r="R134" s="161" t="s"/>
      <c r="S134" s="161" t="s"/>
      <c r="T134" s="161" t="s"/>
      <c r="U134" s="161" t="s"/>
      <c r="V134" s="161" t="s"/>
      <c r="W134" s="161" t="s"/>
      <c r="X134" s="161" t="s"/>
      <c r="Y134" s="161" t="s"/>
      <c r="Z134" s="161" t="s"/>
    </row>
    <row r="135" spans="1:26" customHeight="false">
      <c r="A135" s="121" t="s"/>
      <c r="B135" s="188" t="s"/>
      <c r="C135" s="188" t="s"/>
      <c r="D135" s="121" t="s"/>
      <c r="E135" s="121" t="s"/>
      <c r="F135" s="121" t="s"/>
      <c r="G135" s="257" t="s"/>
      <c r="H135" s="257" t="s"/>
      <c r="I135" s="258" t="s"/>
      <c r="J135" s="259" t="s"/>
      <c r="K135" s="259" t="s"/>
      <c r="L135" s="259" t="s"/>
      <c r="M135" s="161" t="s"/>
      <c r="N135" s="161" t="s"/>
      <c r="O135" s="161" t="s"/>
      <c r="P135" s="161" t="s"/>
      <c r="Q135" s="161" t="s"/>
      <c r="R135" s="161" t="s"/>
      <c r="S135" s="161" t="s"/>
      <c r="T135" s="161" t="s"/>
      <c r="U135" s="161" t="s"/>
      <c r="V135" s="161" t="s"/>
      <c r="W135" s="161" t="s"/>
      <c r="X135" s="161" t="s"/>
      <c r="Y135" s="161" t="s"/>
      <c r="Z135" s="161" t="s"/>
    </row>
    <row r="136" spans="1:26" customHeight="false">
      <c r="A136" s="121" t="s"/>
      <c r="B136" s="188" t="s"/>
      <c r="C136" s="188" t="s"/>
      <c r="D136" s="121" t="s"/>
      <c r="E136" s="121" t="s"/>
      <c r="F136" s="121" t="s"/>
      <c r="G136" s="257" t="s"/>
      <c r="H136" s="257" t="s"/>
      <c r="I136" s="258" t="s"/>
      <c r="J136" s="259" t="s"/>
      <c r="K136" s="259" t="s"/>
      <c r="L136" s="259" t="s"/>
      <c r="M136" s="161" t="s"/>
      <c r="N136" s="161" t="s"/>
      <c r="O136" s="161" t="s"/>
      <c r="P136" s="161" t="s"/>
      <c r="Q136" s="161" t="s"/>
      <c r="R136" s="161" t="s"/>
      <c r="S136" s="161" t="s"/>
      <c r="T136" s="161" t="s"/>
      <c r="U136" s="161" t="s"/>
      <c r="V136" s="161" t="s"/>
      <c r="W136" s="161" t="s"/>
      <c r="X136" s="161" t="s"/>
      <c r="Y136" s="161" t="s"/>
      <c r="Z136" s="161" t="s"/>
    </row>
    <row r="137" spans="1:26" customHeight="false">
      <c r="A137" s="121" t="s"/>
      <c r="B137" s="188" t="s"/>
      <c r="C137" s="188" t="s"/>
      <c r="D137" s="121" t="s"/>
      <c r="E137" s="121" t="s"/>
      <c r="F137" s="121" t="s"/>
      <c r="G137" s="257" t="s"/>
      <c r="H137" s="257" t="s"/>
      <c r="I137" s="258" t="s"/>
      <c r="J137" s="259" t="s"/>
      <c r="K137" s="259" t="s"/>
      <c r="L137" s="259" t="s"/>
      <c r="M137" s="161" t="s"/>
      <c r="N137" s="161" t="s"/>
      <c r="O137" s="161" t="s"/>
      <c r="P137" s="161" t="s"/>
      <c r="Q137" s="161" t="s"/>
      <c r="R137" s="161" t="s"/>
      <c r="S137" s="161" t="s"/>
      <c r="T137" s="161" t="s"/>
      <c r="U137" s="161" t="s"/>
      <c r="V137" s="161" t="s"/>
      <c r="W137" s="161" t="s"/>
      <c r="X137" s="161" t="s"/>
      <c r="Y137" s="161" t="s"/>
      <c r="Z137" s="161" t="s"/>
    </row>
    <row r="138" spans="1:26" customHeight="false">
      <c r="A138" s="121" t="s"/>
      <c r="B138" s="188" t="s"/>
      <c r="C138" s="188" t="s"/>
      <c r="D138" s="121" t="s"/>
      <c r="E138" s="121" t="s"/>
      <c r="F138" s="121" t="s"/>
      <c r="G138" s="257" t="s"/>
      <c r="H138" s="257" t="s"/>
      <c r="I138" s="258" t="s"/>
      <c r="J138" s="259" t="s"/>
      <c r="K138" s="259" t="s"/>
      <c r="L138" s="259" t="s"/>
      <c r="M138" s="161" t="s"/>
      <c r="N138" s="161" t="s"/>
      <c r="O138" s="161" t="s"/>
      <c r="P138" s="161" t="s"/>
      <c r="Q138" s="161" t="s"/>
      <c r="R138" s="161" t="s"/>
      <c r="S138" s="161" t="s"/>
      <c r="T138" s="161" t="s"/>
      <c r="U138" s="161" t="s"/>
      <c r="V138" s="161" t="s"/>
      <c r="W138" s="161" t="s"/>
      <c r="X138" s="161" t="s"/>
      <c r="Y138" s="161" t="s"/>
      <c r="Z138" s="161" t="s"/>
    </row>
    <row r="139" spans="1:26" customHeight="false">
      <c r="A139" s="121" t="s"/>
      <c r="B139" s="188" t="s"/>
      <c r="C139" s="188" t="s"/>
      <c r="D139" s="121" t="s"/>
      <c r="E139" s="121" t="s"/>
      <c r="F139" s="121" t="s"/>
      <c r="G139" s="257" t="s"/>
      <c r="H139" s="257" t="s"/>
      <c r="I139" s="258" t="s"/>
      <c r="J139" s="259" t="s"/>
      <c r="K139" s="259" t="s"/>
      <c r="L139" s="259" t="s"/>
      <c r="M139" s="161" t="s"/>
      <c r="N139" s="161" t="s"/>
      <c r="O139" s="161" t="s"/>
      <c r="P139" s="161" t="s"/>
      <c r="Q139" s="161" t="s"/>
      <c r="R139" s="161" t="s"/>
      <c r="S139" s="161" t="s"/>
      <c r="T139" s="161" t="s"/>
      <c r="U139" s="161" t="s"/>
      <c r="V139" s="161" t="s"/>
      <c r="W139" s="161" t="s"/>
      <c r="X139" s="161" t="s"/>
      <c r="Y139" s="161" t="s"/>
      <c r="Z139" s="161" t="s"/>
    </row>
    <row r="140" spans="1:26" customHeight="false">
      <c r="A140" s="121" t="s"/>
      <c r="B140" s="188" t="s"/>
      <c r="C140" s="188" t="s"/>
      <c r="D140" s="121" t="s"/>
      <c r="E140" s="121" t="s"/>
      <c r="F140" s="121" t="s"/>
      <c r="G140" s="257" t="s"/>
      <c r="H140" s="257" t="s"/>
      <c r="I140" s="258" t="s"/>
      <c r="J140" s="259" t="s"/>
      <c r="K140" s="259" t="s"/>
      <c r="L140" s="259" t="s"/>
      <c r="M140" s="161" t="s"/>
      <c r="N140" s="161" t="s"/>
      <c r="O140" s="161" t="s"/>
      <c r="P140" s="161" t="s"/>
      <c r="Q140" s="161" t="s"/>
      <c r="R140" s="161" t="s"/>
      <c r="S140" s="161" t="s"/>
      <c r="T140" s="161" t="s"/>
      <c r="U140" s="161" t="s"/>
      <c r="V140" s="161" t="s"/>
      <c r="W140" s="161" t="s"/>
      <c r="X140" s="161" t="s"/>
      <c r="Y140" s="161" t="s"/>
      <c r="Z140" s="161" t="s"/>
    </row>
    <row r="141" spans="1:26" customHeight="false">
      <c r="A141" s="121" t="s"/>
      <c r="B141" s="188" t="s"/>
      <c r="C141" s="188" t="s"/>
      <c r="D141" s="121" t="s"/>
      <c r="E141" s="121" t="s"/>
      <c r="F141" s="121" t="s"/>
      <c r="G141" s="257" t="s"/>
      <c r="H141" s="257" t="s"/>
      <c r="I141" s="258" t="s"/>
      <c r="J141" s="259" t="s"/>
      <c r="K141" s="259" t="s"/>
      <c r="L141" s="259" t="s"/>
      <c r="M141" s="161" t="s"/>
      <c r="N141" s="161" t="s"/>
      <c r="O141" s="161" t="s"/>
      <c r="P141" s="161" t="s"/>
      <c r="Q141" s="161" t="s"/>
      <c r="R141" s="161" t="s"/>
      <c r="S141" s="161" t="s"/>
      <c r="T141" s="161" t="s"/>
      <c r="U141" s="161" t="s"/>
      <c r="V141" s="161" t="s"/>
      <c r="W141" s="161" t="s"/>
      <c r="X141" s="161" t="s"/>
      <c r="Y141" s="161" t="s"/>
      <c r="Z141" s="161" t="s"/>
    </row>
    <row r="142" spans="1:26" customHeight="false">
      <c r="A142" s="121" t="s"/>
      <c r="B142" s="188" t="s"/>
      <c r="C142" s="188" t="s"/>
      <c r="D142" s="121" t="s"/>
      <c r="E142" s="121" t="s"/>
      <c r="F142" s="121" t="s"/>
      <c r="G142" s="257" t="s"/>
      <c r="H142" s="257" t="s"/>
      <c r="I142" s="258" t="s"/>
      <c r="J142" s="259" t="s"/>
      <c r="K142" s="259" t="s"/>
      <c r="L142" s="259" t="s"/>
      <c r="M142" s="161" t="s"/>
      <c r="N142" s="161" t="s"/>
      <c r="O142" s="161" t="s"/>
      <c r="P142" s="161" t="s"/>
      <c r="Q142" s="161" t="s"/>
      <c r="R142" s="161" t="s"/>
      <c r="S142" s="161" t="s"/>
      <c r="T142" s="161" t="s"/>
      <c r="U142" s="161" t="s"/>
      <c r="V142" s="161" t="s"/>
      <c r="W142" s="161" t="s"/>
      <c r="X142" s="161" t="s"/>
      <c r="Y142" s="161" t="s"/>
      <c r="Z142" s="161" t="s"/>
    </row>
    <row r="143" spans="1:26" customHeight="false">
      <c r="A143" s="121" t="s"/>
      <c r="B143" s="188" t="s"/>
      <c r="C143" s="188" t="s"/>
      <c r="D143" s="121" t="s"/>
      <c r="E143" s="121" t="s"/>
      <c r="F143" s="121" t="s"/>
      <c r="G143" s="257" t="s"/>
      <c r="H143" s="257" t="s"/>
      <c r="I143" s="258" t="s"/>
      <c r="J143" s="259" t="s"/>
      <c r="K143" s="259" t="s"/>
      <c r="L143" s="259" t="s"/>
      <c r="M143" s="161" t="s"/>
      <c r="N143" s="161" t="s"/>
      <c r="O143" s="161" t="s"/>
      <c r="P143" s="161" t="s"/>
      <c r="Q143" s="161" t="s"/>
      <c r="R143" s="161" t="s"/>
      <c r="S143" s="161" t="s"/>
      <c r="T143" s="161" t="s"/>
      <c r="U143" s="161" t="s"/>
      <c r="V143" s="161" t="s"/>
      <c r="W143" s="161" t="s"/>
      <c r="X143" s="161" t="s"/>
      <c r="Y143" s="161" t="s"/>
      <c r="Z143" s="161" t="s"/>
    </row>
    <row r="144" spans="1:26" customHeight="false">
      <c r="A144" s="121" t="s"/>
      <c r="B144" s="188" t="s"/>
      <c r="C144" s="188" t="s"/>
      <c r="D144" s="121" t="s"/>
      <c r="E144" s="121" t="s"/>
      <c r="F144" s="121" t="s"/>
      <c r="G144" s="257" t="s"/>
      <c r="H144" s="257" t="s"/>
      <c r="I144" s="258" t="s"/>
      <c r="J144" s="259" t="s"/>
      <c r="K144" s="259" t="s"/>
      <c r="L144" s="259" t="s"/>
      <c r="M144" s="161" t="s"/>
      <c r="N144" s="161" t="s"/>
      <c r="O144" s="161" t="s"/>
      <c r="P144" s="161" t="s"/>
      <c r="Q144" s="161" t="s"/>
      <c r="R144" s="161" t="s"/>
      <c r="S144" s="161" t="s"/>
      <c r="T144" s="161" t="s"/>
      <c r="U144" s="161" t="s"/>
      <c r="V144" s="161" t="s"/>
      <c r="W144" s="161" t="s"/>
      <c r="X144" s="161" t="s"/>
      <c r="Y144" s="161" t="s"/>
      <c r="Z144" s="161" t="s"/>
    </row>
    <row r="145" spans="1:26" customHeight="false">
      <c r="A145" s="121" t="s"/>
      <c r="B145" s="188" t="s"/>
      <c r="C145" s="188" t="s"/>
      <c r="D145" s="121" t="s"/>
      <c r="E145" s="121" t="s"/>
      <c r="F145" s="121" t="s"/>
      <c r="G145" s="257" t="s"/>
      <c r="H145" s="257" t="s"/>
      <c r="I145" s="258" t="s"/>
      <c r="J145" s="259" t="s"/>
      <c r="K145" s="259" t="s"/>
      <c r="L145" s="259" t="s"/>
      <c r="M145" s="161" t="s"/>
      <c r="N145" s="161" t="s"/>
      <c r="O145" s="161" t="s"/>
      <c r="P145" s="161" t="s"/>
      <c r="Q145" s="161" t="s"/>
      <c r="R145" s="161" t="s"/>
      <c r="S145" s="161" t="s"/>
      <c r="T145" s="161" t="s"/>
      <c r="U145" s="161" t="s"/>
      <c r="V145" s="161" t="s"/>
      <c r="W145" s="161" t="s"/>
      <c r="X145" s="161" t="s"/>
      <c r="Y145" s="161" t="s"/>
      <c r="Z145" s="161" t="s"/>
    </row>
    <row r="146" spans="1:26" customHeight="false">
      <c r="A146" s="121" t="s"/>
      <c r="B146" s="188" t="s"/>
      <c r="C146" s="188" t="s"/>
      <c r="D146" s="121" t="s"/>
      <c r="E146" s="121" t="s"/>
      <c r="F146" s="121" t="s"/>
      <c r="G146" s="257" t="s"/>
      <c r="H146" s="257" t="s"/>
      <c r="I146" s="258" t="s"/>
      <c r="J146" s="259" t="s"/>
      <c r="K146" s="259" t="s"/>
      <c r="L146" s="259" t="s"/>
      <c r="M146" s="161" t="s"/>
      <c r="N146" s="161" t="s"/>
      <c r="O146" s="161" t="s"/>
      <c r="P146" s="161" t="s"/>
      <c r="Q146" s="161" t="s"/>
      <c r="R146" s="161" t="s"/>
      <c r="S146" s="161" t="s"/>
      <c r="T146" s="161" t="s"/>
      <c r="U146" s="161" t="s"/>
      <c r="V146" s="161" t="s"/>
      <c r="W146" s="161" t="s"/>
      <c r="X146" s="161" t="s"/>
      <c r="Y146" s="161" t="s"/>
      <c r="Z146" s="161" t="s"/>
    </row>
    <row r="147" spans="1:26" customHeight="false">
      <c r="A147" s="121" t="s"/>
      <c r="B147" s="188" t="s"/>
      <c r="C147" s="188" t="s"/>
      <c r="D147" s="121" t="s"/>
      <c r="E147" s="121" t="s"/>
      <c r="F147" s="121" t="s"/>
      <c r="G147" s="257" t="s"/>
      <c r="H147" s="257" t="s"/>
      <c r="I147" s="258" t="s"/>
      <c r="J147" s="259" t="s"/>
      <c r="K147" s="259" t="s"/>
      <c r="L147" s="259" t="s"/>
      <c r="M147" s="161" t="s"/>
      <c r="N147" s="161" t="s"/>
      <c r="O147" s="161" t="s"/>
      <c r="P147" s="161" t="s"/>
      <c r="Q147" s="161" t="s"/>
      <c r="R147" s="161" t="s"/>
      <c r="S147" s="161" t="s"/>
      <c r="T147" s="161" t="s"/>
      <c r="U147" s="161" t="s"/>
      <c r="V147" s="161" t="s"/>
      <c r="W147" s="161" t="s"/>
      <c r="X147" s="161" t="s"/>
      <c r="Y147" s="161" t="s"/>
      <c r="Z147" s="161" t="s"/>
    </row>
    <row r="148" spans="1:26" customHeight="false">
      <c r="A148" s="121" t="s"/>
      <c r="B148" s="188" t="s"/>
      <c r="C148" s="188" t="s"/>
      <c r="D148" s="121" t="s"/>
      <c r="E148" s="121" t="s"/>
      <c r="F148" s="121" t="s"/>
      <c r="G148" s="257" t="s"/>
      <c r="H148" s="257" t="s"/>
      <c r="I148" s="258" t="s"/>
      <c r="J148" s="259" t="s"/>
      <c r="K148" s="259" t="s"/>
      <c r="L148" s="259" t="s"/>
      <c r="M148" s="161" t="s"/>
      <c r="N148" s="161" t="s"/>
      <c r="O148" s="161" t="s"/>
      <c r="P148" s="161" t="s"/>
      <c r="Q148" s="161" t="s"/>
      <c r="R148" s="161" t="s"/>
      <c r="S148" s="161" t="s"/>
      <c r="T148" s="161" t="s"/>
      <c r="U148" s="161" t="s"/>
      <c r="V148" s="161" t="s"/>
      <c r="W148" s="161" t="s"/>
      <c r="X148" s="161" t="s"/>
      <c r="Y148" s="161" t="s"/>
      <c r="Z148" s="161" t="s"/>
    </row>
    <row r="149" spans="1:26" customHeight="false">
      <c r="A149" s="121" t="s"/>
      <c r="B149" s="188" t="s"/>
      <c r="C149" s="188" t="s"/>
      <c r="D149" s="121" t="s"/>
      <c r="E149" s="121" t="s"/>
      <c r="F149" s="121" t="s"/>
      <c r="G149" s="257" t="s"/>
      <c r="H149" s="257" t="s"/>
      <c r="I149" s="258" t="s"/>
      <c r="J149" s="259" t="s"/>
      <c r="K149" s="259" t="s"/>
      <c r="L149" s="259" t="s"/>
      <c r="M149" s="161" t="s"/>
      <c r="N149" s="161" t="s"/>
      <c r="O149" s="161" t="s"/>
      <c r="P149" s="161" t="s"/>
      <c r="Q149" s="161" t="s"/>
      <c r="R149" s="161" t="s"/>
      <c r="S149" s="161" t="s"/>
      <c r="T149" s="161" t="s"/>
      <c r="U149" s="161" t="s"/>
      <c r="V149" s="161" t="s"/>
      <c r="W149" s="161" t="s"/>
      <c r="X149" s="161" t="s"/>
      <c r="Y149" s="161" t="s"/>
      <c r="Z149" s="161" t="s"/>
    </row>
    <row r="150" spans="1:26" customHeight="false">
      <c r="A150" s="121" t="s"/>
      <c r="B150" s="188" t="s"/>
      <c r="C150" s="188" t="s"/>
      <c r="D150" s="121" t="s"/>
      <c r="E150" s="121" t="s"/>
      <c r="F150" s="121" t="s"/>
      <c r="G150" s="257" t="s"/>
      <c r="H150" s="257" t="s"/>
      <c r="I150" s="258" t="s"/>
      <c r="J150" s="259" t="s"/>
      <c r="K150" s="259" t="s"/>
      <c r="L150" s="259" t="s"/>
      <c r="M150" s="161" t="s"/>
      <c r="N150" s="161" t="s"/>
      <c r="O150" s="161" t="s"/>
      <c r="P150" s="161" t="s"/>
      <c r="Q150" s="161" t="s"/>
      <c r="R150" s="161" t="s"/>
      <c r="S150" s="161" t="s"/>
      <c r="T150" s="161" t="s"/>
      <c r="U150" s="161" t="s"/>
      <c r="V150" s="161" t="s"/>
      <c r="W150" s="161" t="s"/>
      <c r="X150" s="161" t="s"/>
      <c r="Y150" s="161" t="s"/>
      <c r="Z150" s="161" t="s"/>
    </row>
    <row r="151" spans="1:26" customHeight="false">
      <c r="A151" s="121" t="s"/>
      <c r="B151" s="188" t="s"/>
      <c r="C151" s="188" t="s"/>
      <c r="D151" s="121" t="s"/>
      <c r="E151" s="121" t="s"/>
      <c r="F151" s="121" t="s"/>
      <c r="G151" s="257" t="s"/>
      <c r="H151" s="257" t="s"/>
      <c r="I151" s="258" t="s"/>
      <c r="J151" s="259" t="s"/>
      <c r="K151" s="259" t="s"/>
      <c r="L151" s="259" t="s"/>
      <c r="M151" s="161" t="s"/>
      <c r="N151" s="161" t="s"/>
      <c r="O151" s="161" t="s"/>
      <c r="P151" s="161" t="s"/>
      <c r="Q151" s="161" t="s"/>
      <c r="R151" s="161" t="s"/>
      <c r="S151" s="161" t="s"/>
      <c r="T151" s="161" t="s"/>
      <c r="U151" s="161" t="s"/>
      <c r="V151" s="161" t="s"/>
      <c r="W151" s="161" t="s"/>
      <c r="X151" s="161" t="s"/>
      <c r="Y151" s="161" t="s"/>
      <c r="Z151" s="161" t="s"/>
    </row>
    <row r="152" spans="1:26" customHeight="false">
      <c r="A152" s="121" t="s"/>
      <c r="B152" s="188" t="s"/>
      <c r="C152" s="188" t="s"/>
      <c r="D152" s="121" t="s"/>
      <c r="E152" s="121" t="s"/>
      <c r="F152" s="121" t="s"/>
      <c r="G152" s="257" t="s"/>
      <c r="H152" s="257" t="s"/>
      <c r="I152" s="258" t="s"/>
      <c r="J152" s="259" t="s"/>
      <c r="K152" s="259" t="s"/>
      <c r="L152" s="259" t="s"/>
      <c r="M152" s="161" t="s"/>
      <c r="N152" s="161" t="s"/>
      <c r="O152" s="161" t="s"/>
      <c r="P152" s="161" t="s"/>
      <c r="Q152" s="161" t="s"/>
      <c r="R152" s="161" t="s"/>
      <c r="S152" s="161" t="s"/>
      <c r="T152" s="161" t="s"/>
      <c r="U152" s="161" t="s"/>
      <c r="V152" s="161" t="s"/>
      <c r="W152" s="161" t="s"/>
      <c r="X152" s="161" t="s"/>
      <c r="Y152" s="161" t="s"/>
      <c r="Z152" s="161" t="s"/>
    </row>
    <row r="153" spans="1:26" customHeight="false">
      <c r="A153" s="121" t="s"/>
      <c r="B153" s="188" t="s"/>
      <c r="C153" s="188" t="s"/>
      <c r="D153" s="121" t="s"/>
      <c r="E153" s="121" t="s"/>
      <c r="F153" s="121" t="s"/>
      <c r="G153" s="257" t="s"/>
      <c r="H153" s="257" t="s"/>
      <c r="I153" s="258" t="s"/>
      <c r="J153" s="259" t="s"/>
      <c r="K153" s="259" t="s"/>
      <c r="L153" s="259" t="s"/>
      <c r="M153" s="161" t="s"/>
      <c r="N153" s="161" t="s"/>
      <c r="O153" s="161" t="s"/>
      <c r="P153" s="161" t="s"/>
      <c r="Q153" s="161" t="s"/>
      <c r="R153" s="161" t="s"/>
      <c r="S153" s="161" t="s"/>
      <c r="T153" s="161" t="s"/>
      <c r="U153" s="161" t="s"/>
      <c r="V153" s="161" t="s"/>
      <c r="W153" s="161" t="s"/>
      <c r="X153" s="161" t="s"/>
      <c r="Y153" s="161" t="s"/>
      <c r="Z153" s="161" t="s"/>
    </row>
    <row r="154" spans="1:26" customHeight="false">
      <c r="A154" s="121" t="s"/>
      <c r="B154" s="188" t="s"/>
      <c r="C154" s="188" t="s"/>
      <c r="D154" s="121" t="s"/>
      <c r="E154" s="121" t="s"/>
      <c r="F154" s="121" t="s"/>
      <c r="G154" s="257" t="s"/>
      <c r="H154" s="257" t="s"/>
      <c r="I154" s="258" t="s"/>
      <c r="J154" s="259" t="s"/>
      <c r="K154" s="259" t="s"/>
      <c r="L154" s="259" t="s"/>
      <c r="M154" s="161" t="s"/>
      <c r="N154" s="161" t="s"/>
      <c r="O154" s="161" t="s"/>
      <c r="P154" s="161" t="s"/>
      <c r="Q154" s="161" t="s"/>
      <c r="R154" s="161" t="s"/>
      <c r="S154" s="161" t="s"/>
      <c r="T154" s="161" t="s"/>
      <c r="U154" s="161" t="s"/>
      <c r="V154" s="161" t="s"/>
      <c r="W154" s="161" t="s"/>
      <c r="X154" s="161" t="s"/>
      <c r="Y154" s="161" t="s"/>
      <c r="Z154" s="161" t="s"/>
    </row>
    <row r="155" spans="1:26" customHeight="false">
      <c r="A155" s="121" t="s"/>
      <c r="B155" s="188" t="s"/>
      <c r="C155" s="188" t="s"/>
      <c r="D155" s="121" t="s"/>
      <c r="E155" s="121" t="s"/>
      <c r="F155" s="121" t="s"/>
      <c r="G155" s="257" t="s"/>
      <c r="H155" s="257" t="s"/>
      <c r="I155" s="258" t="s"/>
      <c r="J155" s="259" t="s"/>
      <c r="K155" s="259" t="s"/>
      <c r="L155" s="259" t="s"/>
      <c r="M155" s="161" t="s"/>
      <c r="N155" s="161" t="s"/>
      <c r="O155" s="161" t="s"/>
      <c r="P155" s="161" t="s"/>
      <c r="Q155" s="161" t="s"/>
      <c r="R155" s="161" t="s"/>
      <c r="S155" s="161" t="s"/>
      <c r="T155" s="161" t="s"/>
      <c r="U155" s="161" t="s"/>
      <c r="V155" s="161" t="s"/>
      <c r="W155" s="161" t="s"/>
      <c r="X155" s="161" t="s"/>
      <c r="Y155" s="161" t="s"/>
      <c r="Z155" s="161" t="s"/>
    </row>
    <row r="156" spans="1:26" customHeight="false">
      <c r="A156" s="121" t="s"/>
      <c r="B156" s="188" t="s"/>
      <c r="C156" s="188" t="s"/>
      <c r="D156" s="121" t="s"/>
      <c r="E156" s="121" t="s"/>
      <c r="F156" s="121" t="s"/>
      <c r="G156" s="257" t="s"/>
      <c r="H156" s="257" t="s"/>
      <c r="I156" s="258" t="s"/>
      <c r="J156" s="259" t="s"/>
      <c r="K156" s="259" t="s"/>
      <c r="L156" s="259" t="s"/>
      <c r="M156" s="161" t="s"/>
      <c r="N156" s="161" t="s"/>
      <c r="O156" s="161" t="s"/>
      <c r="P156" s="161" t="s"/>
      <c r="Q156" s="161" t="s"/>
      <c r="R156" s="161" t="s"/>
      <c r="S156" s="161" t="s"/>
      <c r="T156" s="161" t="s"/>
      <c r="U156" s="161" t="s"/>
      <c r="V156" s="161" t="s"/>
      <c r="W156" s="161" t="s"/>
      <c r="X156" s="161" t="s"/>
      <c r="Y156" s="161" t="s"/>
      <c r="Z156" s="161" t="s"/>
    </row>
    <row r="157" spans="1:26" customHeight="false">
      <c r="A157" s="121" t="s"/>
      <c r="B157" s="188" t="s"/>
      <c r="C157" s="188" t="s"/>
      <c r="D157" s="121" t="s"/>
      <c r="E157" s="121" t="s"/>
      <c r="F157" s="121" t="s"/>
      <c r="G157" s="257" t="s"/>
      <c r="H157" s="257" t="s"/>
      <c r="I157" s="258" t="s"/>
      <c r="J157" s="259" t="s"/>
      <c r="K157" s="259" t="s"/>
      <c r="L157" s="259" t="s"/>
      <c r="M157" s="161" t="s"/>
      <c r="N157" s="161" t="s"/>
      <c r="O157" s="161" t="s"/>
      <c r="P157" s="161" t="s"/>
      <c r="Q157" s="161" t="s"/>
      <c r="R157" s="161" t="s"/>
      <c r="S157" s="161" t="s"/>
      <c r="T157" s="161" t="s"/>
      <c r="U157" s="161" t="s"/>
      <c r="V157" s="161" t="s"/>
      <c r="W157" s="161" t="s"/>
      <c r="X157" s="161" t="s"/>
      <c r="Y157" s="161" t="s"/>
      <c r="Z157" s="161" t="s"/>
    </row>
    <row r="158" spans="1:26" customHeight="false">
      <c r="A158" s="121" t="s"/>
      <c r="B158" s="188" t="s"/>
      <c r="C158" s="188" t="s"/>
      <c r="D158" s="121" t="s"/>
      <c r="E158" s="121" t="s"/>
      <c r="F158" s="121" t="s"/>
      <c r="G158" s="257" t="s"/>
      <c r="H158" s="257" t="s"/>
      <c r="I158" s="258" t="s"/>
      <c r="J158" s="259" t="s"/>
      <c r="K158" s="259" t="s"/>
      <c r="L158" s="259" t="s"/>
      <c r="M158" s="161" t="s"/>
      <c r="N158" s="161" t="s"/>
      <c r="O158" s="161" t="s"/>
      <c r="P158" s="161" t="s"/>
      <c r="Q158" s="161" t="s"/>
      <c r="R158" s="161" t="s"/>
      <c r="S158" s="161" t="s"/>
      <c r="T158" s="161" t="s"/>
      <c r="U158" s="161" t="s"/>
      <c r="V158" s="161" t="s"/>
      <c r="W158" s="161" t="s"/>
      <c r="X158" s="161" t="s"/>
      <c r="Y158" s="161" t="s"/>
      <c r="Z158" s="161" t="s"/>
    </row>
    <row r="159" spans="1:26" customHeight="false">
      <c r="A159" s="121" t="s"/>
      <c r="B159" s="188" t="s"/>
      <c r="C159" s="188" t="s"/>
      <c r="D159" s="121" t="s"/>
      <c r="E159" s="121" t="s"/>
      <c r="F159" s="121" t="s"/>
      <c r="G159" s="257" t="s"/>
      <c r="H159" s="257" t="s"/>
      <c r="I159" s="258" t="s"/>
      <c r="J159" s="259" t="s"/>
      <c r="K159" s="259" t="s"/>
      <c r="L159" s="259" t="s"/>
      <c r="M159" s="161" t="s"/>
      <c r="N159" s="161" t="s"/>
      <c r="O159" s="161" t="s"/>
      <c r="P159" s="161" t="s"/>
      <c r="Q159" s="161" t="s"/>
      <c r="R159" s="161" t="s"/>
      <c r="S159" s="161" t="s"/>
      <c r="T159" s="161" t="s"/>
      <c r="U159" s="161" t="s"/>
      <c r="V159" s="161" t="s"/>
      <c r="W159" s="161" t="s"/>
      <c r="X159" s="161" t="s"/>
      <c r="Y159" s="161" t="s"/>
      <c r="Z159" s="161" t="s"/>
    </row>
    <row r="160" spans="1:26" customHeight="false">
      <c r="A160" s="121" t="s"/>
      <c r="B160" s="188" t="s"/>
      <c r="C160" s="188" t="s"/>
      <c r="D160" s="121" t="s"/>
      <c r="E160" s="121" t="s"/>
      <c r="F160" s="121" t="s"/>
      <c r="G160" s="257" t="s"/>
      <c r="H160" s="257" t="s"/>
      <c r="I160" s="258" t="s"/>
      <c r="J160" s="259" t="s"/>
      <c r="K160" s="259" t="s"/>
      <c r="L160" s="259" t="s"/>
      <c r="M160" s="161" t="s"/>
      <c r="N160" s="161" t="s"/>
      <c r="O160" s="161" t="s"/>
      <c r="P160" s="161" t="s"/>
      <c r="Q160" s="161" t="s"/>
      <c r="R160" s="161" t="s"/>
      <c r="S160" s="161" t="s"/>
      <c r="T160" s="161" t="s"/>
      <c r="U160" s="161" t="s"/>
      <c r="V160" s="161" t="s"/>
      <c r="W160" s="161" t="s"/>
      <c r="X160" s="161" t="s"/>
      <c r="Y160" s="161" t="s"/>
      <c r="Z160" s="161" t="s"/>
    </row>
    <row r="161" spans="1:26" customHeight="false">
      <c r="A161" s="121" t="s"/>
      <c r="B161" s="188" t="s"/>
      <c r="C161" s="188" t="s"/>
      <c r="D161" s="121" t="s"/>
      <c r="E161" s="121" t="s"/>
      <c r="F161" s="121" t="s"/>
      <c r="G161" s="257" t="s"/>
      <c r="H161" s="257" t="s"/>
      <c r="I161" s="258" t="s"/>
      <c r="J161" s="259" t="s"/>
      <c r="K161" s="259" t="s"/>
      <c r="L161" s="259" t="s"/>
      <c r="M161" s="161" t="s"/>
      <c r="N161" s="161" t="s"/>
      <c r="O161" s="161" t="s"/>
      <c r="P161" s="161" t="s"/>
      <c r="Q161" s="161" t="s"/>
      <c r="R161" s="161" t="s"/>
      <c r="S161" s="161" t="s"/>
      <c r="T161" s="161" t="s"/>
      <c r="U161" s="161" t="s"/>
      <c r="V161" s="161" t="s"/>
      <c r="W161" s="161" t="s"/>
      <c r="X161" s="161" t="s"/>
      <c r="Y161" s="161" t="s"/>
      <c r="Z161" s="161" t="s"/>
    </row>
    <row r="162" spans="1:26" customHeight="false">
      <c r="A162" s="121" t="s"/>
      <c r="B162" s="188" t="s"/>
      <c r="C162" s="188" t="s"/>
      <c r="D162" s="121" t="s"/>
      <c r="E162" s="121" t="s"/>
      <c r="F162" s="121" t="s"/>
      <c r="G162" s="257" t="s"/>
      <c r="H162" s="257" t="s"/>
      <c r="I162" s="258" t="s"/>
      <c r="J162" s="259" t="s"/>
      <c r="K162" s="259" t="s"/>
      <c r="L162" s="259" t="s"/>
      <c r="M162" s="161" t="s"/>
      <c r="N162" s="161" t="s"/>
      <c r="O162" s="161" t="s"/>
      <c r="P162" s="161" t="s"/>
      <c r="Q162" s="161" t="s"/>
      <c r="R162" s="161" t="s"/>
      <c r="S162" s="161" t="s"/>
      <c r="T162" s="161" t="s"/>
      <c r="U162" s="161" t="s"/>
      <c r="V162" s="161" t="s"/>
      <c r="W162" s="161" t="s"/>
      <c r="X162" s="161" t="s"/>
      <c r="Y162" s="161" t="s"/>
      <c r="Z162" s="161" t="s"/>
    </row>
    <row r="163" spans="1:26" customHeight="false">
      <c r="A163" s="121" t="s"/>
      <c r="B163" s="188" t="s"/>
      <c r="C163" s="188" t="s"/>
      <c r="D163" s="121" t="s"/>
      <c r="E163" s="121" t="s"/>
      <c r="F163" s="121" t="s"/>
      <c r="G163" s="257" t="s"/>
      <c r="H163" s="257" t="s"/>
      <c r="I163" s="258" t="s"/>
      <c r="J163" s="259" t="s"/>
      <c r="K163" s="259" t="s"/>
      <c r="L163" s="259" t="s"/>
      <c r="M163" s="161" t="s"/>
      <c r="N163" s="161" t="s"/>
      <c r="O163" s="161" t="s"/>
      <c r="P163" s="161" t="s"/>
      <c r="Q163" s="161" t="s"/>
      <c r="R163" s="161" t="s"/>
      <c r="S163" s="161" t="s"/>
      <c r="T163" s="161" t="s"/>
      <c r="U163" s="161" t="s"/>
      <c r="V163" s="161" t="s"/>
      <c r="W163" s="161" t="s"/>
      <c r="X163" s="161" t="s"/>
      <c r="Y163" s="161" t="s"/>
      <c r="Z163" s="161" t="s"/>
    </row>
    <row r="164" spans="1:26" customHeight="false">
      <c r="A164" s="121" t="s"/>
      <c r="B164" s="188" t="s"/>
      <c r="C164" s="188" t="s"/>
      <c r="D164" s="121" t="s"/>
      <c r="E164" s="121" t="s"/>
      <c r="F164" s="121" t="s"/>
      <c r="G164" s="257" t="s"/>
      <c r="H164" s="257" t="s"/>
      <c r="I164" s="258" t="s"/>
      <c r="J164" s="259" t="s"/>
      <c r="K164" s="259" t="s"/>
      <c r="L164" s="259" t="s"/>
      <c r="M164" s="161" t="s"/>
      <c r="N164" s="161" t="s"/>
      <c r="O164" s="161" t="s"/>
      <c r="P164" s="161" t="s"/>
      <c r="Q164" s="161" t="s"/>
      <c r="R164" s="161" t="s"/>
      <c r="S164" s="161" t="s"/>
      <c r="T164" s="161" t="s"/>
      <c r="U164" s="161" t="s"/>
      <c r="V164" s="161" t="s"/>
      <c r="W164" s="161" t="s"/>
      <c r="X164" s="161" t="s"/>
      <c r="Y164" s="161" t="s"/>
      <c r="Z164" s="161" t="s"/>
    </row>
    <row r="165" spans="1:26" customHeight="false">
      <c r="A165" s="121" t="s"/>
      <c r="B165" s="188" t="s"/>
      <c r="C165" s="188" t="s"/>
      <c r="D165" s="121" t="s"/>
      <c r="E165" s="121" t="s"/>
      <c r="F165" s="121" t="s"/>
      <c r="G165" s="257" t="s"/>
      <c r="H165" s="257" t="s"/>
      <c r="I165" s="258" t="s"/>
      <c r="J165" s="259" t="s"/>
      <c r="K165" s="259" t="s"/>
      <c r="L165" s="259" t="s"/>
      <c r="M165" s="161" t="s"/>
      <c r="N165" s="161" t="s"/>
      <c r="O165" s="161" t="s"/>
      <c r="P165" s="161" t="s"/>
      <c r="Q165" s="161" t="s"/>
      <c r="R165" s="161" t="s"/>
      <c r="S165" s="161" t="s"/>
      <c r="T165" s="161" t="s"/>
      <c r="U165" s="161" t="s"/>
      <c r="V165" s="161" t="s"/>
      <c r="W165" s="161" t="s"/>
      <c r="X165" s="161" t="s"/>
      <c r="Y165" s="161" t="s"/>
      <c r="Z165" s="161" t="s"/>
    </row>
    <row r="166" spans="1:26" customHeight="false">
      <c r="A166" s="121" t="s"/>
      <c r="B166" s="188" t="s"/>
      <c r="C166" s="188" t="s"/>
      <c r="D166" s="121" t="s"/>
      <c r="E166" s="121" t="s"/>
      <c r="F166" s="121" t="s"/>
      <c r="G166" s="257" t="s"/>
      <c r="H166" s="257" t="s"/>
      <c r="I166" s="258" t="s"/>
      <c r="J166" s="259" t="s"/>
      <c r="K166" s="259" t="s"/>
      <c r="L166" s="259" t="s"/>
      <c r="M166" s="161" t="s"/>
      <c r="N166" s="161" t="s"/>
      <c r="O166" s="161" t="s"/>
      <c r="P166" s="161" t="s"/>
      <c r="Q166" s="161" t="s"/>
      <c r="R166" s="161" t="s"/>
      <c r="S166" s="161" t="s"/>
      <c r="T166" s="161" t="s"/>
      <c r="U166" s="161" t="s"/>
      <c r="V166" s="161" t="s"/>
      <c r="W166" s="161" t="s"/>
      <c r="X166" s="161" t="s"/>
      <c r="Y166" s="161" t="s"/>
      <c r="Z166" s="161" t="s"/>
    </row>
    <row r="167" spans="1:26" customHeight="false">
      <c r="A167" s="121" t="s"/>
      <c r="B167" s="188" t="s"/>
      <c r="C167" s="188" t="s"/>
      <c r="D167" s="121" t="s"/>
      <c r="E167" s="121" t="s"/>
      <c r="F167" s="121" t="s"/>
      <c r="G167" s="257" t="s"/>
      <c r="H167" s="257" t="s"/>
      <c r="I167" s="258" t="s"/>
      <c r="J167" s="259" t="s"/>
      <c r="K167" s="259" t="s"/>
      <c r="L167" s="259" t="s"/>
      <c r="M167" s="161" t="s"/>
      <c r="N167" s="161" t="s"/>
      <c r="O167" s="161" t="s"/>
      <c r="P167" s="161" t="s"/>
      <c r="Q167" s="161" t="s"/>
      <c r="R167" s="161" t="s"/>
      <c r="S167" s="161" t="s"/>
      <c r="T167" s="161" t="s"/>
      <c r="U167" s="161" t="s"/>
      <c r="V167" s="161" t="s"/>
      <c r="W167" s="161" t="s"/>
      <c r="X167" s="161" t="s"/>
      <c r="Y167" s="161" t="s"/>
      <c r="Z167" s="161" t="s"/>
    </row>
    <row r="168" spans="1:26" customHeight="false">
      <c r="A168" s="121" t="s"/>
      <c r="B168" s="188" t="s"/>
      <c r="C168" s="188" t="s"/>
      <c r="D168" s="121" t="s"/>
      <c r="E168" s="121" t="s"/>
      <c r="F168" s="121" t="s"/>
      <c r="G168" s="257" t="s"/>
      <c r="H168" s="257" t="s"/>
      <c r="I168" s="258" t="s"/>
      <c r="J168" s="259" t="s"/>
      <c r="K168" s="259" t="s"/>
      <c r="L168" s="259" t="s"/>
      <c r="M168" s="161" t="s"/>
      <c r="N168" s="161" t="s"/>
      <c r="O168" s="161" t="s"/>
      <c r="P168" s="161" t="s"/>
      <c r="Q168" s="161" t="s"/>
      <c r="R168" s="161" t="s"/>
      <c r="S168" s="161" t="s"/>
      <c r="T168" s="161" t="s"/>
      <c r="U168" s="161" t="s"/>
      <c r="V168" s="161" t="s"/>
      <c r="W168" s="161" t="s"/>
      <c r="X168" s="161" t="s"/>
      <c r="Y168" s="161" t="s"/>
      <c r="Z168" s="161" t="s"/>
    </row>
    <row r="169" spans="1:26" customHeight="false">
      <c r="A169" s="121" t="s"/>
      <c r="B169" s="188" t="s"/>
      <c r="C169" s="188" t="s"/>
      <c r="D169" s="121" t="s"/>
      <c r="E169" s="121" t="s"/>
      <c r="F169" s="121" t="s"/>
      <c r="G169" s="257" t="s"/>
      <c r="H169" s="257" t="s"/>
      <c r="I169" s="258" t="s"/>
      <c r="J169" s="259" t="s"/>
      <c r="K169" s="259" t="s"/>
      <c r="L169" s="259" t="s"/>
      <c r="M169" s="161" t="s"/>
      <c r="N169" s="161" t="s"/>
      <c r="O169" s="161" t="s"/>
      <c r="P169" s="161" t="s"/>
      <c r="Q169" s="161" t="s"/>
      <c r="R169" s="161" t="s"/>
      <c r="S169" s="161" t="s"/>
      <c r="T169" s="161" t="s"/>
      <c r="U169" s="161" t="s"/>
      <c r="V169" s="161" t="s"/>
      <c r="W169" s="161" t="s"/>
      <c r="X169" s="161" t="s"/>
      <c r="Y169" s="161" t="s"/>
      <c r="Z169" s="161" t="s"/>
    </row>
    <row r="170" spans="1:26" customHeight="false">
      <c r="A170" s="121" t="s"/>
      <c r="B170" s="188" t="s"/>
      <c r="C170" s="188" t="s"/>
      <c r="D170" s="121" t="s"/>
      <c r="E170" s="121" t="s"/>
      <c r="F170" s="121" t="s"/>
      <c r="G170" s="257" t="s"/>
      <c r="H170" s="257" t="s"/>
      <c r="I170" s="258" t="s"/>
      <c r="J170" s="259" t="s"/>
      <c r="K170" s="259" t="s"/>
      <c r="L170" s="259" t="s"/>
      <c r="M170" s="161" t="s"/>
      <c r="N170" s="161" t="s"/>
      <c r="O170" s="161" t="s"/>
      <c r="P170" s="161" t="s"/>
      <c r="Q170" s="161" t="s"/>
      <c r="R170" s="161" t="s"/>
      <c r="S170" s="161" t="s"/>
      <c r="T170" s="161" t="s"/>
      <c r="U170" s="161" t="s"/>
      <c r="V170" s="161" t="s"/>
      <c r="W170" s="161" t="s"/>
      <c r="X170" s="161" t="s"/>
      <c r="Y170" s="161" t="s"/>
      <c r="Z170" s="161" t="s"/>
    </row>
    <row r="171" spans="1:26" customHeight="false">
      <c r="A171" s="121" t="s"/>
      <c r="B171" s="188" t="s"/>
      <c r="C171" s="188" t="s"/>
      <c r="D171" s="121" t="s"/>
      <c r="E171" s="121" t="s"/>
      <c r="F171" s="121" t="s"/>
      <c r="G171" s="257" t="s"/>
      <c r="H171" s="257" t="s"/>
      <c r="I171" s="258" t="s"/>
      <c r="J171" s="259" t="s"/>
      <c r="K171" s="259" t="s"/>
      <c r="L171" s="259" t="s"/>
      <c r="M171" s="161" t="s"/>
      <c r="N171" s="161" t="s"/>
      <c r="O171" s="161" t="s"/>
      <c r="P171" s="161" t="s"/>
      <c r="Q171" s="161" t="s"/>
      <c r="R171" s="161" t="s"/>
      <c r="S171" s="161" t="s"/>
      <c r="T171" s="161" t="s"/>
      <c r="U171" s="161" t="s"/>
      <c r="V171" s="161" t="s"/>
      <c r="W171" s="161" t="s"/>
      <c r="X171" s="161" t="s"/>
      <c r="Y171" s="161" t="s"/>
      <c r="Z171" s="161" t="s"/>
    </row>
    <row r="172" spans="1:26" customHeight="false">
      <c r="A172" s="121" t="s"/>
      <c r="B172" s="188" t="s"/>
      <c r="C172" s="188" t="s"/>
      <c r="D172" s="121" t="s"/>
      <c r="E172" s="121" t="s"/>
      <c r="F172" s="121" t="s"/>
      <c r="G172" s="257" t="s"/>
      <c r="H172" s="257" t="s"/>
      <c r="I172" s="258" t="s"/>
      <c r="J172" s="259" t="s"/>
      <c r="K172" s="259" t="s"/>
      <c r="L172" s="259" t="s"/>
      <c r="M172" s="161" t="s"/>
      <c r="N172" s="161" t="s"/>
      <c r="O172" s="161" t="s"/>
      <c r="P172" s="161" t="s"/>
      <c r="Q172" s="161" t="s"/>
      <c r="R172" s="161" t="s"/>
      <c r="S172" s="161" t="s"/>
      <c r="T172" s="161" t="s"/>
      <c r="U172" s="161" t="s"/>
      <c r="V172" s="161" t="s"/>
      <c r="W172" s="161" t="s"/>
      <c r="X172" s="161" t="s"/>
      <c r="Y172" s="161" t="s"/>
      <c r="Z172" s="161" t="s"/>
    </row>
    <row r="173" spans="1:26" customHeight="false">
      <c r="A173" s="121" t="s"/>
      <c r="B173" s="188" t="s"/>
      <c r="C173" s="188" t="s"/>
      <c r="D173" s="121" t="s"/>
      <c r="E173" s="121" t="s"/>
      <c r="F173" s="121" t="s"/>
      <c r="G173" s="257" t="s"/>
      <c r="H173" s="257" t="s"/>
      <c r="I173" s="258" t="s"/>
      <c r="J173" s="259" t="s"/>
      <c r="K173" s="259" t="s"/>
      <c r="L173" s="259" t="s"/>
      <c r="M173" s="161" t="s"/>
      <c r="N173" s="161" t="s"/>
      <c r="O173" s="161" t="s"/>
      <c r="P173" s="161" t="s"/>
      <c r="Q173" s="161" t="s"/>
      <c r="R173" s="161" t="s"/>
      <c r="S173" s="161" t="s"/>
      <c r="T173" s="161" t="s"/>
      <c r="U173" s="161" t="s"/>
      <c r="V173" s="161" t="s"/>
      <c r="W173" s="161" t="s"/>
      <c r="X173" s="161" t="s"/>
      <c r="Y173" s="161" t="s"/>
      <c r="Z173" s="161" t="s"/>
    </row>
    <row r="174" spans="1:26" customHeight="false">
      <c r="A174" s="121" t="s"/>
      <c r="B174" s="188" t="s"/>
      <c r="C174" s="188" t="s"/>
      <c r="D174" s="121" t="s"/>
      <c r="E174" s="121" t="s"/>
      <c r="F174" s="121" t="s"/>
      <c r="G174" s="257" t="s"/>
      <c r="H174" s="257" t="s"/>
      <c r="I174" s="258" t="s"/>
      <c r="J174" s="259" t="s"/>
      <c r="K174" s="259" t="s"/>
      <c r="L174" s="259" t="s"/>
      <c r="M174" s="161" t="s"/>
      <c r="N174" s="161" t="s"/>
      <c r="O174" s="161" t="s"/>
      <c r="P174" s="161" t="s"/>
      <c r="Q174" s="161" t="s"/>
      <c r="R174" s="161" t="s"/>
      <c r="S174" s="161" t="s"/>
      <c r="T174" s="161" t="s"/>
      <c r="U174" s="161" t="s"/>
      <c r="V174" s="161" t="s"/>
      <c r="W174" s="161" t="s"/>
      <c r="X174" s="161" t="s"/>
      <c r="Y174" s="161" t="s"/>
      <c r="Z174" s="161" t="s"/>
    </row>
    <row r="175" spans="1:26" customHeight="false">
      <c r="A175" s="121" t="s"/>
      <c r="B175" s="188" t="s"/>
      <c r="C175" s="188" t="s"/>
      <c r="D175" s="121" t="s"/>
      <c r="E175" s="121" t="s"/>
      <c r="F175" s="121" t="s"/>
      <c r="G175" s="257" t="s"/>
      <c r="H175" s="257" t="s"/>
      <c r="I175" s="258" t="s"/>
      <c r="J175" s="259" t="s"/>
      <c r="K175" s="259" t="s"/>
      <c r="L175" s="259" t="s"/>
      <c r="M175" s="161" t="s"/>
      <c r="N175" s="161" t="s"/>
      <c r="O175" s="161" t="s"/>
      <c r="P175" s="161" t="s"/>
      <c r="Q175" s="161" t="s"/>
      <c r="R175" s="161" t="s"/>
      <c r="S175" s="161" t="s"/>
      <c r="T175" s="161" t="s"/>
      <c r="U175" s="161" t="s"/>
      <c r="V175" s="161" t="s"/>
      <c r="W175" s="161" t="s"/>
      <c r="X175" s="161" t="s"/>
      <c r="Y175" s="161" t="s"/>
      <c r="Z175" s="161" t="s"/>
    </row>
    <row r="176" spans="1:26" customHeight="false">
      <c r="A176" s="121" t="s"/>
      <c r="B176" s="188" t="s"/>
      <c r="C176" s="188" t="s"/>
      <c r="D176" s="121" t="s"/>
      <c r="E176" s="121" t="s"/>
      <c r="F176" s="121" t="s"/>
      <c r="G176" s="257" t="s"/>
      <c r="H176" s="257" t="s"/>
      <c r="I176" s="258" t="s"/>
      <c r="J176" s="259" t="s"/>
      <c r="K176" s="259" t="s"/>
      <c r="L176" s="259" t="s"/>
      <c r="M176" s="161" t="s"/>
      <c r="N176" s="161" t="s"/>
      <c r="O176" s="161" t="s"/>
      <c r="P176" s="161" t="s"/>
      <c r="Q176" s="161" t="s"/>
      <c r="R176" s="161" t="s"/>
      <c r="S176" s="161" t="s"/>
      <c r="T176" s="161" t="s"/>
      <c r="U176" s="161" t="s"/>
      <c r="V176" s="161" t="s"/>
      <c r="W176" s="161" t="s"/>
      <c r="X176" s="161" t="s"/>
      <c r="Y176" s="161" t="s"/>
      <c r="Z176" s="161" t="s"/>
    </row>
    <row r="177" spans="1:26" customHeight="false">
      <c r="A177" s="121" t="s"/>
      <c r="B177" s="188" t="s"/>
      <c r="C177" s="188" t="s"/>
      <c r="D177" s="121" t="s"/>
      <c r="E177" s="121" t="s"/>
      <c r="F177" s="121" t="s"/>
      <c r="G177" s="257" t="s"/>
      <c r="H177" s="257" t="s"/>
      <c r="I177" s="258" t="s"/>
      <c r="J177" s="259" t="s"/>
      <c r="K177" s="259" t="s"/>
      <c r="L177" s="259" t="s"/>
      <c r="M177" s="161" t="s"/>
      <c r="N177" s="161" t="s"/>
      <c r="O177" s="161" t="s"/>
      <c r="P177" s="161" t="s"/>
      <c r="Q177" s="161" t="s"/>
      <c r="R177" s="161" t="s"/>
      <c r="S177" s="161" t="s"/>
      <c r="T177" s="161" t="s"/>
      <c r="U177" s="161" t="s"/>
      <c r="V177" s="161" t="s"/>
      <c r="W177" s="161" t="s"/>
      <c r="X177" s="161" t="s"/>
      <c r="Y177" s="161" t="s"/>
      <c r="Z177" s="161" t="s"/>
    </row>
    <row r="178" spans="1:26" customHeight="false">
      <c r="A178" s="121" t="s"/>
      <c r="B178" s="188" t="s"/>
      <c r="C178" s="188" t="s"/>
      <c r="D178" s="121" t="s"/>
      <c r="E178" s="121" t="s"/>
      <c r="F178" s="121" t="s"/>
      <c r="G178" s="257" t="s"/>
      <c r="H178" s="257" t="s"/>
      <c r="I178" s="258" t="s"/>
      <c r="J178" s="259" t="s"/>
      <c r="K178" s="259" t="s"/>
      <c r="L178" s="259" t="s"/>
      <c r="M178" s="161" t="s"/>
      <c r="N178" s="161" t="s"/>
      <c r="O178" s="161" t="s"/>
      <c r="P178" s="161" t="s"/>
      <c r="Q178" s="161" t="s"/>
      <c r="R178" s="161" t="s"/>
      <c r="S178" s="161" t="s"/>
      <c r="T178" s="161" t="s"/>
      <c r="U178" s="161" t="s"/>
      <c r="V178" s="161" t="s"/>
      <c r="W178" s="161" t="s"/>
      <c r="X178" s="161" t="s"/>
      <c r="Y178" s="161" t="s"/>
      <c r="Z178" s="161" t="s"/>
    </row>
    <row r="179" spans="1:26" customHeight="false">
      <c r="A179" s="121" t="s"/>
      <c r="B179" s="188" t="s"/>
      <c r="C179" s="188" t="s"/>
      <c r="D179" s="121" t="s"/>
      <c r="E179" s="121" t="s"/>
      <c r="F179" s="121" t="s"/>
      <c r="G179" s="257" t="s"/>
      <c r="H179" s="257" t="s"/>
      <c r="I179" s="258" t="s"/>
      <c r="J179" s="259" t="s"/>
      <c r="K179" s="259" t="s"/>
      <c r="L179" s="259" t="s"/>
      <c r="M179" s="161" t="s"/>
      <c r="N179" s="161" t="s"/>
      <c r="O179" s="161" t="s"/>
      <c r="P179" s="161" t="s"/>
      <c r="Q179" s="161" t="s"/>
      <c r="R179" s="161" t="s"/>
      <c r="S179" s="161" t="s"/>
      <c r="T179" s="161" t="s"/>
      <c r="U179" s="161" t="s"/>
      <c r="V179" s="161" t="s"/>
      <c r="W179" s="161" t="s"/>
      <c r="X179" s="161" t="s"/>
      <c r="Y179" s="161" t="s"/>
      <c r="Z179" s="161" t="s"/>
    </row>
    <row r="180" spans="1:26" customHeight="false">
      <c r="A180" s="121" t="s"/>
      <c r="B180" s="188" t="s"/>
      <c r="C180" s="188" t="s"/>
      <c r="D180" s="121" t="s"/>
      <c r="E180" s="121" t="s"/>
      <c r="F180" s="121" t="s"/>
      <c r="G180" s="257" t="s"/>
      <c r="H180" s="257" t="s"/>
      <c r="I180" s="258" t="s"/>
      <c r="J180" s="259" t="s"/>
      <c r="K180" s="259" t="s"/>
      <c r="L180" s="259" t="s"/>
      <c r="M180" s="161" t="s"/>
      <c r="N180" s="161" t="s"/>
      <c r="O180" s="161" t="s"/>
      <c r="P180" s="161" t="s"/>
      <c r="Q180" s="161" t="s"/>
      <c r="R180" s="161" t="s"/>
      <c r="S180" s="161" t="s"/>
      <c r="T180" s="161" t="s"/>
      <c r="U180" s="161" t="s"/>
      <c r="V180" s="161" t="s"/>
      <c r="W180" s="161" t="s"/>
      <c r="X180" s="161" t="s"/>
      <c r="Y180" s="161" t="s"/>
      <c r="Z180" s="161" t="s"/>
    </row>
    <row r="181" spans="1:26" customHeight="false">
      <c r="A181" s="121" t="s"/>
      <c r="B181" s="188" t="s"/>
      <c r="C181" s="188" t="s"/>
      <c r="D181" s="121" t="s"/>
      <c r="E181" s="121" t="s"/>
      <c r="F181" s="121" t="s"/>
      <c r="G181" s="257" t="s"/>
      <c r="H181" s="257" t="s"/>
      <c r="I181" s="258" t="s"/>
      <c r="J181" s="259" t="s"/>
      <c r="K181" s="259" t="s"/>
      <c r="L181" s="259" t="s"/>
      <c r="M181" s="161" t="s"/>
      <c r="N181" s="161" t="s"/>
      <c r="O181" s="161" t="s"/>
      <c r="P181" s="161" t="s"/>
      <c r="Q181" s="161" t="s"/>
      <c r="R181" s="161" t="s"/>
      <c r="S181" s="161" t="s"/>
      <c r="T181" s="161" t="s"/>
      <c r="U181" s="161" t="s"/>
      <c r="V181" s="161" t="s"/>
      <c r="W181" s="161" t="s"/>
      <c r="X181" s="161" t="s"/>
      <c r="Y181" s="161" t="s"/>
      <c r="Z181" s="161" t="s"/>
    </row>
    <row r="182" spans="1:26" customHeight="false">
      <c r="A182" s="121" t="s"/>
      <c r="B182" s="188" t="s"/>
      <c r="C182" s="188" t="s"/>
      <c r="D182" s="121" t="s"/>
      <c r="E182" s="121" t="s"/>
      <c r="F182" s="121" t="s"/>
      <c r="G182" s="257" t="s"/>
      <c r="H182" s="257" t="s"/>
      <c r="I182" s="258" t="s"/>
      <c r="J182" s="259" t="s"/>
      <c r="K182" s="259" t="s"/>
      <c r="L182" s="259" t="s"/>
      <c r="M182" s="161" t="s"/>
      <c r="N182" s="161" t="s"/>
      <c r="O182" s="161" t="s"/>
      <c r="P182" s="161" t="s"/>
      <c r="Q182" s="161" t="s"/>
      <c r="R182" s="161" t="s"/>
      <c r="S182" s="161" t="s"/>
      <c r="T182" s="161" t="s"/>
      <c r="U182" s="161" t="s"/>
      <c r="V182" s="161" t="s"/>
      <c r="W182" s="161" t="s"/>
      <c r="X182" s="161" t="s"/>
      <c r="Y182" s="161" t="s"/>
      <c r="Z182" s="161" t="s"/>
    </row>
    <row r="183" spans="1:26" customHeight="false">
      <c r="A183" s="121" t="s"/>
      <c r="B183" s="188" t="s"/>
      <c r="C183" s="188" t="s"/>
      <c r="D183" s="121" t="s"/>
      <c r="E183" s="121" t="s"/>
      <c r="F183" s="121" t="s"/>
      <c r="G183" s="257" t="s"/>
      <c r="H183" s="257" t="s"/>
      <c r="I183" s="258" t="s"/>
      <c r="J183" s="259" t="s"/>
      <c r="K183" s="259" t="s"/>
      <c r="L183" s="259" t="s"/>
      <c r="M183" s="161" t="s"/>
      <c r="N183" s="161" t="s"/>
      <c r="O183" s="161" t="s"/>
      <c r="P183" s="161" t="s"/>
      <c r="Q183" s="161" t="s"/>
      <c r="R183" s="161" t="s"/>
      <c r="S183" s="161" t="s"/>
      <c r="T183" s="161" t="s"/>
      <c r="U183" s="161" t="s"/>
      <c r="V183" s="161" t="s"/>
      <c r="W183" s="161" t="s"/>
      <c r="X183" s="161" t="s"/>
      <c r="Y183" s="161" t="s"/>
      <c r="Z183" s="161" t="s"/>
    </row>
    <row r="184" spans="1:26" customHeight="false">
      <c r="A184" s="121" t="s"/>
      <c r="B184" s="188" t="s"/>
      <c r="C184" s="188" t="s"/>
      <c r="D184" s="121" t="s"/>
      <c r="E184" s="121" t="s"/>
      <c r="F184" s="121" t="s"/>
      <c r="G184" s="257" t="s"/>
      <c r="H184" s="257" t="s"/>
      <c r="I184" s="258" t="s"/>
      <c r="J184" s="259" t="s"/>
      <c r="K184" s="259" t="s"/>
      <c r="L184" s="259" t="s"/>
      <c r="M184" s="161" t="s"/>
      <c r="N184" s="161" t="s"/>
      <c r="O184" s="161" t="s"/>
      <c r="P184" s="161" t="s"/>
      <c r="Q184" s="161" t="s"/>
      <c r="R184" s="161" t="s"/>
      <c r="S184" s="161" t="s"/>
      <c r="T184" s="161" t="s"/>
      <c r="U184" s="161" t="s"/>
      <c r="V184" s="161" t="s"/>
      <c r="W184" s="161" t="s"/>
      <c r="X184" s="161" t="s"/>
      <c r="Y184" s="161" t="s"/>
      <c r="Z184" s="161" t="s"/>
    </row>
    <row r="185" spans="1:26" customHeight="false">
      <c r="A185" s="121" t="s"/>
      <c r="B185" s="188" t="s"/>
      <c r="C185" s="188" t="s"/>
      <c r="D185" s="121" t="s"/>
      <c r="E185" s="121" t="s"/>
      <c r="F185" s="121" t="s"/>
      <c r="G185" s="257" t="s"/>
      <c r="H185" s="257" t="s"/>
      <c r="I185" s="258" t="s"/>
      <c r="J185" s="259" t="s"/>
      <c r="K185" s="259" t="s"/>
      <c r="L185" s="259" t="s"/>
      <c r="M185" s="161" t="s"/>
      <c r="N185" s="161" t="s"/>
      <c r="O185" s="161" t="s"/>
      <c r="P185" s="161" t="s"/>
      <c r="Q185" s="161" t="s"/>
      <c r="R185" s="161" t="s"/>
      <c r="S185" s="161" t="s"/>
      <c r="T185" s="161" t="s"/>
      <c r="U185" s="161" t="s"/>
      <c r="V185" s="161" t="s"/>
      <c r="W185" s="161" t="s"/>
      <c r="X185" s="161" t="s"/>
      <c r="Y185" s="161" t="s"/>
      <c r="Z185" s="161" t="s"/>
    </row>
    <row r="186" spans="1:26" customHeight="false">
      <c r="A186" s="121" t="s"/>
      <c r="B186" s="188" t="s"/>
      <c r="C186" s="188" t="s"/>
      <c r="D186" s="121" t="s"/>
      <c r="E186" s="121" t="s"/>
      <c r="F186" s="121" t="s"/>
      <c r="G186" s="257" t="s"/>
      <c r="H186" s="257" t="s"/>
      <c r="I186" s="258" t="s"/>
      <c r="J186" s="259" t="s"/>
      <c r="K186" s="259" t="s"/>
      <c r="L186" s="259" t="s"/>
      <c r="M186" s="161" t="s"/>
      <c r="N186" s="161" t="s"/>
      <c r="O186" s="161" t="s"/>
      <c r="P186" s="161" t="s"/>
      <c r="Q186" s="161" t="s"/>
      <c r="R186" s="161" t="s"/>
      <c r="S186" s="161" t="s"/>
      <c r="T186" s="161" t="s"/>
      <c r="U186" s="161" t="s"/>
      <c r="V186" s="161" t="s"/>
      <c r="W186" s="161" t="s"/>
      <c r="X186" s="161" t="s"/>
      <c r="Y186" s="161" t="s"/>
      <c r="Z186" s="161" t="s"/>
    </row>
    <row r="187" spans="1:26" customHeight="false">
      <c r="A187" s="121" t="s"/>
      <c r="B187" s="188" t="s"/>
      <c r="C187" s="188" t="s"/>
      <c r="D187" s="121" t="s"/>
      <c r="E187" s="121" t="s"/>
      <c r="F187" s="121" t="s"/>
      <c r="G187" s="257" t="s"/>
      <c r="H187" s="257" t="s"/>
      <c r="I187" s="258" t="s"/>
      <c r="J187" s="259" t="s"/>
      <c r="K187" s="259" t="s"/>
      <c r="L187" s="259" t="s"/>
      <c r="M187" s="161" t="s"/>
      <c r="N187" s="161" t="s"/>
      <c r="O187" s="161" t="s"/>
      <c r="P187" s="161" t="s"/>
      <c r="Q187" s="161" t="s"/>
      <c r="R187" s="161" t="s"/>
      <c r="S187" s="161" t="s"/>
      <c r="T187" s="161" t="s"/>
      <c r="U187" s="161" t="s"/>
      <c r="V187" s="161" t="s"/>
      <c r="W187" s="161" t="s"/>
      <c r="X187" s="161" t="s"/>
      <c r="Y187" s="161" t="s"/>
      <c r="Z187" s="161" t="s"/>
    </row>
    <row r="188" spans="1:26" customHeight="false">
      <c r="A188" s="121" t="s"/>
      <c r="B188" s="188" t="s"/>
      <c r="C188" s="188" t="s"/>
      <c r="D188" s="121" t="s"/>
      <c r="E188" s="121" t="s"/>
      <c r="F188" s="121" t="s"/>
      <c r="G188" s="257" t="s"/>
      <c r="H188" s="257" t="s"/>
      <c r="I188" s="258" t="s"/>
      <c r="J188" s="259" t="s"/>
      <c r="K188" s="259" t="s"/>
      <c r="L188" s="259" t="s"/>
      <c r="M188" s="161" t="s"/>
      <c r="N188" s="161" t="s"/>
      <c r="O188" s="161" t="s"/>
      <c r="P188" s="161" t="s"/>
      <c r="Q188" s="161" t="s"/>
      <c r="R188" s="161" t="s"/>
      <c r="S188" s="161" t="s"/>
      <c r="T188" s="161" t="s"/>
      <c r="U188" s="161" t="s"/>
      <c r="V188" s="161" t="s"/>
      <c r="W188" s="161" t="s"/>
      <c r="X188" s="161" t="s"/>
      <c r="Y188" s="161" t="s"/>
      <c r="Z188" s="161" t="s"/>
    </row>
    <row r="189" spans="1:26" customHeight="false">
      <c r="A189" s="121" t="s"/>
      <c r="B189" s="188" t="s"/>
      <c r="C189" s="188" t="s"/>
      <c r="D189" s="121" t="s"/>
      <c r="E189" s="121" t="s"/>
      <c r="F189" s="121" t="s"/>
      <c r="G189" s="257" t="s"/>
      <c r="H189" s="257" t="s"/>
      <c r="I189" s="258" t="s"/>
      <c r="J189" s="259" t="s"/>
      <c r="K189" s="259" t="s"/>
      <c r="L189" s="259" t="s"/>
      <c r="M189" s="161" t="s"/>
      <c r="N189" s="161" t="s"/>
      <c r="O189" s="161" t="s"/>
      <c r="P189" s="161" t="s"/>
      <c r="Q189" s="161" t="s"/>
      <c r="R189" s="161" t="s"/>
      <c r="S189" s="161" t="s"/>
      <c r="T189" s="161" t="s"/>
      <c r="U189" s="161" t="s"/>
      <c r="V189" s="161" t="s"/>
      <c r="W189" s="161" t="s"/>
      <c r="X189" s="161" t="s"/>
      <c r="Y189" s="161" t="s"/>
      <c r="Z189" s="161" t="s"/>
    </row>
    <row r="190" spans="1:26" customHeight="false">
      <c r="A190" s="121" t="s"/>
      <c r="B190" s="188" t="s"/>
      <c r="C190" s="188" t="s"/>
      <c r="D190" s="121" t="s"/>
      <c r="E190" s="121" t="s"/>
      <c r="F190" s="121" t="s"/>
      <c r="G190" s="257" t="s"/>
      <c r="H190" s="257" t="s"/>
      <c r="I190" s="258" t="s"/>
      <c r="J190" s="259" t="s"/>
      <c r="K190" s="259" t="s"/>
      <c r="L190" s="259" t="s"/>
      <c r="M190" s="161" t="s"/>
      <c r="N190" s="161" t="s"/>
      <c r="O190" s="161" t="s"/>
      <c r="P190" s="161" t="s"/>
      <c r="Q190" s="161" t="s"/>
      <c r="R190" s="161" t="s"/>
      <c r="S190" s="161" t="s"/>
      <c r="T190" s="161" t="s"/>
      <c r="U190" s="161" t="s"/>
      <c r="V190" s="161" t="s"/>
      <c r="W190" s="161" t="s"/>
      <c r="X190" s="161" t="s"/>
      <c r="Y190" s="161" t="s"/>
      <c r="Z190" s="161" t="s"/>
    </row>
    <row r="191" spans="1:26" customHeight="false">
      <c r="A191" s="121" t="s"/>
      <c r="B191" s="188" t="s"/>
      <c r="C191" s="188" t="s"/>
      <c r="D191" s="121" t="s"/>
      <c r="E191" s="121" t="s"/>
      <c r="F191" s="121" t="s"/>
      <c r="G191" s="257" t="s"/>
      <c r="H191" s="257" t="s"/>
      <c r="I191" s="258" t="s"/>
      <c r="J191" s="259" t="s"/>
      <c r="K191" s="259" t="s"/>
      <c r="L191" s="259" t="s"/>
      <c r="M191" s="161" t="s"/>
      <c r="N191" s="161" t="s"/>
      <c r="O191" s="161" t="s"/>
      <c r="P191" s="161" t="s"/>
      <c r="Q191" s="161" t="s"/>
      <c r="R191" s="161" t="s"/>
      <c r="S191" s="161" t="s"/>
      <c r="T191" s="161" t="s"/>
      <c r="U191" s="161" t="s"/>
      <c r="V191" s="161" t="s"/>
      <c r="W191" s="161" t="s"/>
      <c r="X191" s="161" t="s"/>
      <c r="Y191" s="161" t="s"/>
      <c r="Z191" s="161" t="s"/>
    </row>
    <row r="192" spans="1:26" customHeight="false">
      <c r="A192" s="121" t="s"/>
      <c r="B192" s="188" t="s"/>
      <c r="C192" s="188" t="s"/>
      <c r="D192" s="121" t="s"/>
      <c r="E192" s="121" t="s"/>
      <c r="F192" s="121" t="s"/>
      <c r="G192" s="257" t="s"/>
      <c r="H192" s="257" t="s"/>
      <c r="I192" s="258" t="s"/>
      <c r="J192" s="259" t="s"/>
      <c r="K192" s="259" t="s"/>
      <c r="L192" s="259" t="s"/>
      <c r="M192" s="161" t="s"/>
      <c r="N192" s="161" t="s"/>
      <c r="O192" s="161" t="s"/>
      <c r="P192" s="161" t="s"/>
      <c r="Q192" s="161" t="s"/>
      <c r="R192" s="161" t="s"/>
      <c r="S192" s="161" t="s"/>
      <c r="T192" s="161" t="s"/>
      <c r="U192" s="161" t="s"/>
      <c r="V192" s="161" t="s"/>
      <c r="W192" s="161" t="s"/>
      <c r="X192" s="161" t="s"/>
      <c r="Y192" s="161" t="s"/>
      <c r="Z192" s="161" t="s"/>
    </row>
    <row r="193" spans="1:26" customHeight="false">
      <c r="A193" s="121" t="s"/>
      <c r="B193" s="188" t="s"/>
      <c r="C193" s="188" t="s"/>
      <c r="D193" s="121" t="s"/>
      <c r="E193" s="121" t="s"/>
      <c r="F193" s="121" t="s"/>
      <c r="G193" s="257" t="s"/>
      <c r="H193" s="257" t="s"/>
      <c r="I193" s="258" t="s"/>
      <c r="J193" s="259" t="s"/>
      <c r="K193" s="259" t="s"/>
      <c r="L193" s="259" t="s"/>
      <c r="M193" s="161" t="s"/>
      <c r="N193" s="161" t="s"/>
      <c r="O193" s="161" t="s"/>
      <c r="P193" s="161" t="s"/>
      <c r="Q193" s="161" t="s"/>
      <c r="R193" s="161" t="s"/>
      <c r="S193" s="161" t="s"/>
      <c r="T193" s="161" t="s"/>
      <c r="U193" s="161" t="s"/>
      <c r="V193" s="161" t="s"/>
      <c r="W193" s="161" t="s"/>
      <c r="X193" s="161" t="s"/>
      <c r="Y193" s="161" t="s"/>
      <c r="Z193" s="161" t="s"/>
    </row>
    <row r="194" spans="1:26" customHeight="false">
      <c r="A194" s="121" t="s"/>
      <c r="B194" s="188" t="s"/>
      <c r="C194" s="188" t="s"/>
      <c r="D194" s="121" t="s"/>
      <c r="E194" s="121" t="s"/>
      <c r="F194" s="121" t="s"/>
      <c r="G194" s="257" t="s"/>
      <c r="H194" s="257" t="s"/>
      <c r="I194" s="258" t="s"/>
      <c r="J194" s="259" t="s"/>
      <c r="K194" s="259" t="s"/>
      <c r="L194" s="259" t="s"/>
      <c r="M194" s="161" t="s"/>
      <c r="N194" s="161" t="s"/>
      <c r="O194" s="161" t="s"/>
      <c r="P194" s="161" t="s"/>
      <c r="Q194" s="161" t="s"/>
      <c r="R194" s="161" t="s"/>
      <c r="S194" s="161" t="s"/>
      <c r="T194" s="161" t="s"/>
      <c r="U194" s="161" t="s"/>
      <c r="V194" s="161" t="s"/>
      <c r="W194" s="161" t="s"/>
      <c r="X194" s="161" t="s"/>
      <c r="Y194" s="161" t="s"/>
      <c r="Z194" s="161" t="s"/>
    </row>
    <row r="195" spans="1:26" customHeight="false">
      <c r="A195" s="121" t="s"/>
      <c r="B195" s="188" t="s"/>
      <c r="C195" s="188" t="s"/>
      <c r="D195" s="121" t="s"/>
      <c r="E195" s="121" t="s"/>
      <c r="F195" s="121" t="s"/>
      <c r="G195" s="257" t="s"/>
      <c r="H195" s="257" t="s"/>
      <c r="I195" s="258" t="s"/>
      <c r="J195" s="259" t="s"/>
      <c r="K195" s="259" t="s"/>
      <c r="L195" s="259" t="s"/>
      <c r="M195" s="161" t="s"/>
      <c r="N195" s="161" t="s"/>
      <c r="O195" s="161" t="s"/>
      <c r="P195" s="161" t="s"/>
      <c r="Q195" s="161" t="s"/>
      <c r="R195" s="161" t="s"/>
      <c r="S195" s="161" t="s"/>
      <c r="T195" s="161" t="s"/>
      <c r="U195" s="161" t="s"/>
      <c r="V195" s="161" t="s"/>
      <c r="W195" s="161" t="s"/>
      <c r="X195" s="161" t="s"/>
      <c r="Y195" s="161" t="s"/>
      <c r="Z195" s="161" t="s"/>
    </row>
    <row r="196" spans="1:26" customHeight="false">
      <c r="A196" s="121" t="s"/>
      <c r="B196" s="188" t="s"/>
      <c r="C196" s="188" t="s"/>
      <c r="D196" s="121" t="s"/>
      <c r="E196" s="121" t="s"/>
      <c r="F196" s="121" t="s"/>
      <c r="G196" s="257" t="s"/>
      <c r="H196" s="257" t="s"/>
      <c r="I196" s="258" t="s"/>
      <c r="J196" s="259" t="s"/>
      <c r="K196" s="259" t="s"/>
      <c r="L196" s="259" t="s"/>
      <c r="M196" s="161" t="s"/>
      <c r="N196" s="161" t="s"/>
      <c r="O196" s="161" t="s"/>
      <c r="P196" s="161" t="s"/>
      <c r="Q196" s="161" t="s"/>
      <c r="R196" s="161" t="s"/>
      <c r="S196" s="161" t="s"/>
      <c r="T196" s="161" t="s"/>
      <c r="U196" s="161" t="s"/>
      <c r="V196" s="161" t="s"/>
      <c r="W196" s="161" t="s"/>
      <c r="X196" s="161" t="s"/>
      <c r="Y196" s="161" t="s"/>
      <c r="Z196" s="161" t="s"/>
    </row>
    <row r="197" spans="1:26" customHeight="false">
      <c r="A197" s="121" t="s"/>
      <c r="B197" s="188" t="s"/>
      <c r="C197" s="188" t="s"/>
      <c r="D197" s="121" t="s"/>
      <c r="E197" s="121" t="s"/>
      <c r="F197" s="121" t="s"/>
      <c r="G197" s="257" t="s"/>
      <c r="H197" s="257" t="s"/>
      <c r="I197" s="258" t="s"/>
      <c r="J197" s="259" t="s"/>
      <c r="K197" s="259" t="s"/>
      <c r="L197" s="259" t="s"/>
      <c r="M197" s="161" t="s"/>
      <c r="N197" s="161" t="s"/>
      <c r="O197" s="161" t="s"/>
      <c r="P197" s="161" t="s"/>
      <c r="Q197" s="161" t="s"/>
      <c r="R197" s="161" t="s"/>
      <c r="S197" s="161" t="s"/>
      <c r="T197" s="161" t="s"/>
      <c r="U197" s="161" t="s"/>
      <c r="V197" s="161" t="s"/>
      <c r="W197" s="161" t="s"/>
      <c r="X197" s="161" t="s"/>
      <c r="Y197" s="161" t="s"/>
      <c r="Z197" s="161" t="s"/>
    </row>
    <row r="198" spans="1:26" customHeight="false">
      <c r="A198" s="121" t="s"/>
      <c r="B198" s="188" t="s"/>
      <c r="C198" s="188" t="s"/>
      <c r="D198" s="121" t="s"/>
      <c r="E198" s="121" t="s"/>
      <c r="F198" s="121" t="s"/>
      <c r="G198" s="257" t="s"/>
      <c r="H198" s="257" t="s"/>
      <c r="I198" s="258" t="s"/>
      <c r="J198" s="259" t="s"/>
      <c r="K198" s="259" t="s"/>
      <c r="L198" s="259" t="s"/>
      <c r="M198" s="161" t="s"/>
      <c r="N198" s="161" t="s"/>
      <c r="O198" s="161" t="s"/>
      <c r="P198" s="161" t="s"/>
      <c r="Q198" s="161" t="s"/>
      <c r="R198" s="161" t="s"/>
      <c r="S198" s="161" t="s"/>
      <c r="T198" s="161" t="s"/>
      <c r="U198" s="161" t="s"/>
      <c r="V198" s="161" t="s"/>
      <c r="W198" s="161" t="s"/>
      <c r="X198" s="161" t="s"/>
      <c r="Y198" s="161" t="s"/>
      <c r="Z198" s="161" t="s"/>
    </row>
    <row r="199" spans="1:26" customHeight="false">
      <c r="A199" s="121" t="s"/>
      <c r="B199" s="188" t="s"/>
      <c r="C199" s="188" t="s"/>
      <c r="D199" s="121" t="s"/>
      <c r="E199" s="121" t="s"/>
      <c r="F199" s="121" t="s"/>
      <c r="G199" s="257" t="s"/>
      <c r="H199" s="257" t="s"/>
      <c r="I199" s="258" t="s"/>
      <c r="J199" s="259" t="s"/>
      <c r="K199" s="259" t="s"/>
      <c r="L199" s="259" t="s"/>
      <c r="M199" s="161" t="s"/>
      <c r="N199" s="161" t="s"/>
      <c r="O199" s="161" t="s"/>
      <c r="P199" s="161" t="s"/>
      <c r="Q199" s="161" t="s"/>
      <c r="R199" s="161" t="s"/>
      <c r="S199" s="161" t="s"/>
      <c r="T199" s="161" t="s"/>
      <c r="U199" s="161" t="s"/>
      <c r="V199" s="161" t="s"/>
      <c r="W199" s="161" t="s"/>
      <c r="X199" s="161" t="s"/>
      <c r="Y199" s="161" t="s"/>
      <c r="Z199" s="161" t="s"/>
    </row>
    <row r="200" spans="1:26" customHeight="false">
      <c r="A200" s="121" t="s"/>
      <c r="B200" s="188" t="s"/>
      <c r="C200" s="188" t="s"/>
      <c r="D200" s="121" t="s"/>
      <c r="E200" s="121" t="s"/>
      <c r="F200" s="121" t="s"/>
      <c r="G200" s="257" t="s"/>
      <c r="H200" s="257" t="s"/>
      <c r="I200" s="258" t="s"/>
      <c r="J200" s="259" t="s"/>
      <c r="K200" s="259" t="s"/>
      <c r="L200" s="259" t="s"/>
      <c r="M200" s="161" t="s"/>
      <c r="N200" s="161" t="s"/>
      <c r="O200" s="161" t="s"/>
      <c r="P200" s="161" t="s"/>
      <c r="Q200" s="161" t="s"/>
      <c r="R200" s="161" t="s"/>
      <c r="S200" s="161" t="s"/>
      <c r="T200" s="161" t="s"/>
      <c r="U200" s="161" t="s"/>
      <c r="V200" s="161" t="s"/>
      <c r="W200" s="161" t="s"/>
      <c r="X200" s="161" t="s"/>
      <c r="Y200" s="161" t="s"/>
      <c r="Z200" s="161" t="s"/>
    </row>
    <row r="201" spans="1:26" customHeight="false">
      <c r="A201" s="121" t="s"/>
      <c r="B201" s="188" t="s"/>
      <c r="C201" s="188" t="s"/>
      <c r="D201" s="121" t="s"/>
      <c r="E201" s="121" t="s"/>
      <c r="F201" s="121" t="s"/>
      <c r="G201" s="257" t="s"/>
      <c r="H201" s="257" t="s"/>
      <c r="I201" s="258" t="s"/>
      <c r="J201" s="259" t="s"/>
      <c r="K201" s="259" t="s"/>
      <c r="L201" s="259" t="s"/>
      <c r="M201" s="161" t="s"/>
      <c r="N201" s="161" t="s"/>
      <c r="O201" s="161" t="s"/>
      <c r="P201" s="161" t="s"/>
      <c r="Q201" s="161" t="s"/>
      <c r="R201" s="161" t="s"/>
      <c r="S201" s="161" t="s"/>
      <c r="T201" s="161" t="s"/>
      <c r="U201" s="161" t="s"/>
      <c r="V201" s="161" t="s"/>
      <c r="W201" s="161" t="s"/>
      <c r="X201" s="161" t="s"/>
      <c r="Y201" s="161" t="s"/>
      <c r="Z201" s="161" t="s"/>
    </row>
    <row r="202" spans="1:26" customHeight="false">
      <c r="A202" s="121" t="s"/>
      <c r="B202" s="188" t="s"/>
      <c r="C202" s="188" t="s"/>
      <c r="D202" s="121" t="s"/>
      <c r="E202" s="121" t="s"/>
      <c r="F202" s="121" t="s"/>
      <c r="G202" s="257" t="s"/>
      <c r="H202" s="257" t="s"/>
      <c r="I202" s="258" t="s"/>
      <c r="J202" s="259" t="s"/>
      <c r="K202" s="259" t="s"/>
      <c r="L202" s="259" t="s"/>
      <c r="M202" s="161" t="s"/>
      <c r="N202" s="161" t="s"/>
      <c r="O202" s="161" t="s"/>
      <c r="P202" s="161" t="s"/>
      <c r="Q202" s="161" t="s"/>
      <c r="R202" s="161" t="s"/>
      <c r="S202" s="161" t="s"/>
      <c r="T202" s="161" t="s"/>
      <c r="U202" s="161" t="s"/>
      <c r="V202" s="161" t="s"/>
      <c r="W202" s="161" t="s"/>
      <c r="X202" s="161" t="s"/>
      <c r="Y202" s="161" t="s"/>
      <c r="Z202" s="161" t="s"/>
    </row>
    <row r="203" spans="1:26" customHeight="false">
      <c r="A203" s="121" t="s"/>
      <c r="B203" s="188" t="s"/>
      <c r="C203" s="188" t="s"/>
      <c r="D203" s="121" t="s"/>
      <c r="E203" s="121" t="s"/>
      <c r="F203" s="121" t="s"/>
      <c r="G203" s="257" t="s"/>
      <c r="H203" s="257" t="s"/>
      <c r="I203" s="258" t="s"/>
      <c r="J203" s="259" t="s"/>
      <c r="K203" s="259" t="s"/>
      <c r="L203" s="259" t="s"/>
      <c r="M203" s="161" t="s"/>
      <c r="N203" s="161" t="s"/>
      <c r="O203" s="161" t="s"/>
      <c r="P203" s="161" t="s"/>
      <c r="Q203" s="161" t="s"/>
      <c r="R203" s="161" t="s"/>
      <c r="S203" s="161" t="s"/>
      <c r="T203" s="161" t="s"/>
      <c r="U203" s="161" t="s"/>
      <c r="V203" s="161" t="s"/>
      <c r="W203" s="161" t="s"/>
      <c r="X203" s="161" t="s"/>
      <c r="Y203" s="161" t="s"/>
      <c r="Z203" s="161" t="s"/>
    </row>
    <row r="204" spans="1:26" customHeight="false">
      <c r="A204" s="121" t="s"/>
      <c r="B204" s="188" t="s"/>
      <c r="C204" s="188" t="s"/>
      <c r="D204" s="121" t="s"/>
      <c r="E204" s="121" t="s"/>
      <c r="F204" s="121" t="s"/>
      <c r="G204" s="257" t="s"/>
      <c r="H204" s="257" t="s"/>
      <c r="I204" s="258" t="s"/>
      <c r="J204" s="259" t="s"/>
      <c r="K204" s="259" t="s"/>
      <c r="L204" s="259" t="s"/>
      <c r="M204" s="161" t="s"/>
      <c r="N204" s="161" t="s"/>
      <c r="O204" s="161" t="s"/>
      <c r="P204" s="161" t="s"/>
      <c r="Q204" s="161" t="s"/>
      <c r="R204" s="161" t="s"/>
      <c r="S204" s="161" t="s"/>
      <c r="T204" s="161" t="s"/>
      <c r="U204" s="161" t="s"/>
      <c r="V204" s="161" t="s"/>
      <c r="W204" s="161" t="s"/>
      <c r="X204" s="161" t="s"/>
      <c r="Y204" s="161" t="s"/>
      <c r="Z204" s="161" t="s"/>
    </row>
    <row r="205" spans="1:26" customHeight="false">
      <c r="A205" s="121" t="s"/>
      <c r="B205" s="188" t="s"/>
      <c r="C205" s="188" t="s"/>
      <c r="D205" s="121" t="s"/>
      <c r="E205" s="121" t="s"/>
      <c r="F205" s="121" t="s"/>
      <c r="G205" s="257" t="s"/>
      <c r="H205" s="257" t="s"/>
      <c r="I205" s="258" t="s"/>
      <c r="J205" s="259" t="s"/>
      <c r="K205" s="259" t="s"/>
      <c r="L205" s="259" t="s"/>
      <c r="M205" s="161" t="s"/>
      <c r="N205" s="161" t="s"/>
      <c r="O205" s="161" t="s"/>
      <c r="P205" s="161" t="s"/>
      <c r="Q205" s="161" t="s"/>
      <c r="R205" s="161" t="s"/>
      <c r="S205" s="161" t="s"/>
      <c r="T205" s="161" t="s"/>
      <c r="U205" s="161" t="s"/>
      <c r="V205" s="161" t="s"/>
      <c r="W205" s="161" t="s"/>
      <c r="X205" s="161" t="s"/>
      <c r="Y205" s="161" t="s"/>
      <c r="Z205" s="161" t="s"/>
    </row>
    <row r="206" spans="1:26" customHeight="false">
      <c r="A206" s="121" t="s"/>
      <c r="B206" s="188" t="s"/>
      <c r="C206" s="188" t="s"/>
      <c r="D206" s="121" t="s"/>
      <c r="E206" s="121" t="s"/>
      <c r="F206" s="121" t="s"/>
      <c r="G206" s="257" t="s"/>
      <c r="H206" s="257" t="s"/>
      <c r="I206" s="258" t="s"/>
      <c r="J206" s="259" t="s"/>
      <c r="K206" s="259" t="s"/>
      <c r="L206" s="259" t="s"/>
      <c r="M206" s="161" t="s"/>
      <c r="N206" s="161" t="s"/>
      <c r="O206" s="161" t="s"/>
      <c r="P206" s="161" t="s"/>
      <c r="Q206" s="161" t="s"/>
      <c r="R206" s="161" t="s"/>
      <c r="S206" s="161" t="s"/>
      <c r="T206" s="161" t="s"/>
      <c r="U206" s="161" t="s"/>
      <c r="V206" s="161" t="s"/>
      <c r="W206" s="161" t="s"/>
      <c r="X206" s="161" t="s"/>
      <c r="Y206" s="161" t="s"/>
      <c r="Z206" s="161" t="s"/>
    </row>
    <row r="207" spans="1:26" customHeight="false">
      <c r="A207" s="121" t="s"/>
      <c r="B207" s="188" t="s"/>
      <c r="C207" s="188" t="s"/>
      <c r="D207" s="121" t="s"/>
      <c r="E207" s="121" t="s"/>
      <c r="F207" s="121" t="s"/>
      <c r="G207" s="257" t="s"/>
      <c r="H207" s="257" t="s"/>
      <c r="I207" s="258" t="s"/>
      <c r="J207" s="259" t="s"/>
      <c r="K207" s="259" t="s"/>
      <c r="L207" s="259" t="s"/>
      <c r="M207" s="161" t="s"/>
      <c r="N207" s="161" t="s"/>
      <c r="O207" s="161" t="s"/>
      <c r="P207" s="161" t="s"/>
      <c r="Q207" s="161" t="s"/>
      <c r="R207" s="161" t="s"/>
      <c r="S207" s="161" t="s"/>
      <c r="T207" s="161" t="s"/>
      <c r="U207" s="161" t="s"/>
      <c r="V207" s="161" t="s"/>
      <c r="W207" s="161" t="s"/>
      <c r="X207" s="161" t="s"/>
      <c r="Y207" s="161" t="s"/>
      <c r="Z207" s="161" t="s"/>
    </row>
    <row r="208" spans="1:26" customHeight="false">
      <c r="A208" s="121" t="s"/>
      <c r="B208" s="188" t="s"/>
      <c r="C208" s="188" t="s"/>
      <c r="D208" s="121" t="s"/>
      <c r="E208" s="121" t="s"/>
      <c r="F208" s="121" t="s"/>
      <c r="G208" s="257" t="s"/>
      <c r="H208" s="257" t="s"/>
      <c r="I208" s="258" t="s"/>
      <c r="J208" s="259" t="s"/>
      <c r="K208" s="259" t="s"/>
      <c r="L208" s="259" t="s"/>
      <c r="M208" s="161" t="s"/>
      <c r="N208" s="161" t="s"/>
      <c r="O208" s="161" t="s"/>
      <c r="P208" s="161" t="s"/>
      <c r="Q208" s="161" t="s"/>
      <c r="R208" s="161" t="s"/>
      <c r="S208" s="161" t="s"/>
      <c r="T208" s="161" t="s"/>
      <c r="U208" s="161" t="s"/>
      <c r="V208" s="161" t="s"/>
      <c r="W208" s="161" t="s"/>
      <c r="X208" s="161" t="s"/>
      <c r="Y208" s="161" t="s"/>
      <c r="Z208" s="161" t="s"/>
    </row>
  </sheetData>
  <autoFilter ref="A4:H54">
    <sortState ref="A5:H54"/>
  </autoFilter>
  <mergeCells count="19">
    <mergeCell ref="J3:L3"/>
    <mergeCell ref="M3:P3"/>
    <mergeCell ref="Q3:T3"/>
    <mergeCell ref="U3:X3"/>
    <mergeCell ref="Y3:AB3"/>
    <mergeCell ref="E3:E4"/>
    <mergeCell ref="F3:F4"/>
    <mergeCell ref="G3:H3"/>
    <mergeCell ref="I3:I4"/>
    <mergeCell ref="A3:A4"/>
    <mergeCell ref="A56:G56"/>
    <mergeCell ref="B3:B4"/>
    <mergeCell ref="D3:D4"/>
    <mergeCell ref="C3:C4"/>
    <mergeCell ref="A1:AB1"/>
    <mergeCell ref="A2:AB2"/>
    <mergeCell ref="B5:C5"/>
    <mergeCell ref="B10:C10"/>
    <mergeCell ref="B25:C25"/>
  </mergeCells>
</worksheet>
</file>

<file path=xl/worksheets/sheet8.xml><?xml version="1.0" encoding="utf-8"?>
<worksheet xmlns="http://schemas.openxmlformats.org/spreadsheetml/2006/main">
  <sheetPr codeName="室外景观绿化给排水设备">
    <tabColor rgb="FFFFFFFF"/>
  </sheetPr>
  <dimension ref="Z202"/>
  <sheetViews>
    <sheetView showGridLines="true" rightToLeft="false" workbookViewId="0">
      <pane xSplit="1" ySplit="1" topLeftCell="B2" state="frozen"/>
    </sheetView>
  </sheetViews>
  <cols>
    <col min="1" max="1" width="5.00391" customWidth="true"/>
    <col min="2" max="2" width="17.8633" customWidth="true"/>
    <col min="3" max="3" width="47.8711" customWidth="true"/>
    <col min="4" max="4" width="21.3242" customWidth="true"/>
    <col min="5" max="5" width="6.87109" customWidth="true"/>
    <col min="6" max="6" width="6.74219" customWidth="true"/>
    <col min="7" max="7" width="8.43359" customWidth="true"/>
    <col min="8" max="8" width="11.8633" customWidth="true"/>
    <col min="9" max="9" width="7.71094" customWidth="true"/>
    <col min="10" max="12" width="7.71094" style="1005" customWidth="true"/>
    <col min="13" max="15" width="7.71094" customWidth="true"/>
    <col min="16" max="16" width="9.44141" customWidth="true"/>
    <col min="17" max="19" width="7.71094" customWidth="true"/>
    <col min="20" max="20" width="9.71094" customWidth="true"/>
    <col min="21" max="26" width="7.71094" customWidth="true"/>
  </cols>
  <sheetData>
    <row r="1" spans="1:28" ht="39" customHeight="true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6" t="s"/>
      <c r="J1" s="7" t="s"/>
      <c r="K1" s="7" t="s"/>
      <c r="L1" s="7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</row>
    <row r="2" spans="1:28" customHeight="false">
      <c r="A2" s="8" t="s">
        <v>2101</v>
      </c>
      <c r="B2" s="9" t="s"/>
      <c r="C2" s="9" t="s"/>
      <c r="D2" s="9" t="s"/>
      <c r="E2" s="9" t="s"/>
      <c r="F2" s="9" t="s"/>
      <c r="G2" s="9" t="s"/>
      <c r="H2" s="9" t="s"/>
      <c r="I2" s="9" t="s"/>
      <c r="J2" s="11" t="s"/>
      <c r="K2" s="11" t="s"/>
      <c r="L2" s="11" t="s"/>
      <c r="M2" s="9" t="s"/>
      <c r="N2" s="9" t="s"/>
      <c r="O2" s="9" t="s"/>
      <c r="P2" s="9" t="s"/>
      <c r="Q2" s="9" t="s"/>
      <c r="R2" s="9" t="s"/>
      <c r="S2" s="9" t="s"/>
      <c r="T2" s="9" t="s"/>
      <c r="U2" s="9" t="s"/>
      <c r="V2" s="9" t="s"/>
      <c r="W2" s="9" t="s"/>
      <c r="X2" s="9" t="s"/>
      <c r="Y2" s="9" t="s"/>
      <c r="Z2" s="9" t="s"/>
      <c r="AA2" s="9" t="s"/>
      <c r="AB2" s="9" t="s"/>
    </row>
    <row r="3" spans="1:28">
      <c r="A3" s="12" t="s">
        <v>3</v>
      </c>
      <c r="B3" s="213" t="s">
        <v>4</v>
      </c>
      <c r="C3" s="214" t="s">
        <v>5</v>
      </c>
      <c r="D3" s="215" t="s">
        <v>6</v>
      </c>
      <c r="E3" s="12" t="s">
        <v>7</v>
      </c>
      <c r="F3" s="12" t="s">
        <v>8</v>
      </c>
      <c r="G3" s="709" t="s">
        <v>9</v>
      </c>
      <c r="H3" s="217" t="s"/>
      <c r="I3" s="215" t="s">
        <v>10</v>
      </c>
      <c r="J3" s="20" t="s">
        <v>11</v>
      </c>
      <c r="K3" s="21" t="s"/>
      <c r="L3" s="21" t="s"/>
      <c r="M3" s="22" t="s">
        <v>12</v>
      </c>
      <c r="N3" s="23" t="s"/>
      <c r="O3" s="23" t="s"/>
      <c r="P3" s="23" t="s"/>
      <c r="Q3" s="22" t="s">
        <v>13</v>
      </c>
      <c r="R3" s="23" t="s"/>
      <c r="S3" s="23" t="s"/>
      <c r="T3" s="23" t="s"/>
      <c r="U3" s="22" t="s">
        <v>14</v>
      </c>
      <c r="V3" s="23" t="s"/>
      <c r="W3" s="23" t="s"/>
      <c r="X3" s="23" t="s"/>
      <c r="Y3" s="22" t="s">
        <v>15</v>
      </c>
      <c r="Z3" s="23" t="s"/>
      <c r="AA3" s="23" t="s"/>
      <c r="AB3" s="23" t="s"/>
    </row>
    <row r="4" spans="1:28" customHeight="false">
      <c r="A4" s="24" t="s"/>
      <c r="B4" s="24" t="s"/>
      <c r="C4" s="220" t="s"/>
      <c r="D4" s="220" t="s"/>
      <c r="E4" s="220" t="s"/>
      <c r="F4" s="220" t="s"/>
      <c r="G4" s="712" t="s">
        <v>16</v>
      </c>
      <c r="H4" s="712" t="s">
        <v>17</v>
      </c>
      <c r="I4" s="220" t="s"/>
      <c r="J4" s="27" t="s">
        <v>18</v>
      </c>
      <c r="K4" s="27" t="s">
        <v>19</v>
      </c>
      <c r="L4" s="27" t="s">
        <v>20</v>
      </c>
      <c r="M4" s="17" t="s">
        <v>21</v>
      </c>
      <c r="N4" s="17" t="s">
        <v>22</v>
      </c>
      <c r="O4" s="17" t="s">
        <v>19</v>
      </c>
      <c r="P4" s="17" t="s">
        <v>20</v>
      </c>
      <c r="Q4" s="17" t="s">
        <v>21</v>
      </c>
      <c r="R4" s="17" t="s">
        <v>22</v>
      </c>
      <c r="S4" s="17" t="s">
        <v>19</v>
      </c>
      <c r="T4" s="17" t="s">
        <v>20</v>
      </c>
      <c r="U4" s="223" t="s">
        <v>21</v>
      </c>
      <c r="V4" s="30" t="s">
        <v>22</v>
      </c>
      <c r="W4" s="17" t="s">
        <v>19</v>
      </c>
      <c r="X4" s="17" t="s">
        <v>20</v>
      </c>
      <c r="Y4" s="17" t="s">
        <v>21</v>
      </c>
      <c r="Z4" s="17" t="s">
        <v>22</v>
      </c>
      <c r="AA4" s="17" t="s">
        <v>19</v>
      </c>
      <c r="AB4" s="17" t="s">
        <v>20</v>
      </c>
    </row>
    <row r="5" spans="1:28" customHeight="false">
      <c r="A5" s="16" t="s"/>
      <c r="B5" s="42" t="s"/>
      <c r="C5" s="42" t="s"/>
      <c r="D5" s="42" t="s"/>
      <c r="E5" s="16" t="s"/>
      <c r="F5" s="16" t="s"/>
      <c r="G5" s="16" t="s"/>
      <c r="H5" s="91" t="s"/>
      <c r="I5" s="59" t="s"/>
      <c r="J5" s="37" t="s"/>
      <c r="K5" s="37" t="s"/>
      <c r="L5" s="37" t="s"/>
      <c r="M5" s="41" t="s"/>
      <c r="N5" s="41" t="s"/>
      <c r="O5" s="42" t="s"/>
      <c r="P5" s="42" t="s"/>
      <c r="Q5" s="41" t="s"/>
      <c r="R5" s="41" t="s"/>
      <c r="S5" s="42" t="s"/>
      <c r="T5" s="42" t="s"/>
      <c r="U5" s="41" t="s"/>
      <c r="V5" s="41" t="s"/>
      <c r="W5" s="41" t="s"/>
      <c r="X5" s="41" t="s"/>
      <c r="Y5" s="41" t="s"/>
      <c r="Z5" s="41" t="s"/>
      <c r="AA5" s="42" t="s"/>
      <c r="AB5" s="42" t="s"/>
    </row>
    <row r="6" spans="1:28" customHeight="false">
      <c r="A6" s="16" t="s"/>
      <c r="B6" s="42" t="s"/>
      <c r="C6" s="42" t="s"/>
      <c r="D6" s="42" t="s"/>
      <c r="E6" s="16" t="s"/>
      <c r="F6" s="16" t="s"/>
      <c r="G6" s="16" t="s"/>
      <c r="H6" s="91" t="s"/>
      <c r="I6" s="59" t="s"/>
      <c r="J6" s="37" t="s"/>
      <c r="K6" s="37" t="s"/>
      <c r="L6" s="37" t="s"/>
      <c r="M6" s="41" t="s"/>
      <c r="N6" s="41" t="s"/>
      <c r="O6" s="42" t="s"/>
      <c r="P6" s="42" t="s"/>
      <c r="Q6" s="41" t="s"/>
      <c r="R6" s="41" t="s"/>
      <c r="S6" s="42" t="s"/>
      <c r="T6" s="42" t="s"/>
      <c r="U6" s="41" t="s"/>
      <c r="V6" s="41" t="s"/>
      <c r="W6" s="41" t="s"/>
      <c r="X6" s="41" t="s"/>
      <c r="Y6" s="41" t="s"/>
      <c r="Z6" s="41" t="s"/>
      <c r="AA6" s="42" t="s"/>
      <c r="AB6" s="42" t="s"/>
    </row>
    <row r="7" spans="1:28" customHeight="false">
      <c r="A7" s="16" t="s"/>
      <c r="B7" s="42" t="s"/>
      <c r="C7" s="42" t="s"/>
      <c r="D7" s="42" t="s"/>
      <c r="E7" s="16" t="s"/>
      <c r="F7" s="16" t="s"/>
      <c r="G7" s="16" t="s"/>
      <c r="H7" s="91" t="s"/>
      <c r="I7" s="59" t="s"/>
      <c r="J7" s="37" t="s"/>
      <c r="K7" s="37" t="s"/>
      <c r="L7" s="37" t="s"/>
      <c r="M7" s="41" t="s"/>
      <c r="N7" s="41" t="s"/>
      <c r="O7" s="42" t="s"/>
      <c r="P7" s="42" t="s"/>
      <c r="Q7" s="41" t="s"/>
      <c r="R7" s="41" t="s"/>
      <c r="S7" s="42" t="s"/>
      <c r="T7" s="42" t="s"/>
      <c r="U7" s="41" t="s"/>
      <c r="V7" s="41" t="s"/>
      <c r="W7" s="42" t="s"/>
      <c r="X7" s="42" t="s"/>
      <c r="Y7" s="42" t="s"/>
      <c r="Z7" s="42" t="s"/>
      <c r="AA7" s="42" t="s"/>
      <c r="AB7" s="42" t="s"/>
    </row>
    <row r="8" spans="1:28" customHeight="false">
      <c r="A8" s="16" t="s"/>
      <c r="B8" s="42" t="s"/>
      <c r="C8" s="42" t="s"/>
      <c r="D8" s="42" t="s"/>
      <c r="E8" s="16" t="s"/>
      <c r="F8" s="16" t="s"/>
      <c r="G8" s="16" t="s"/>
      <c r="H8" s="91" t="s"/>
      <c r="I8" s="59" t="s"/>
      <c r="J8" s="37" t="s"/>
      <c r="K8" s="37" t="s"/>
      <c r="L8" s="37" t="s"/>
      <c r="M8" s="41" t="s"/>
      <c r="N8" s="41" t="s"/>
      <c r="O8" s="42" t="s"/>
      <c r="P8" s="42" t="s"/>
      <c r="Q8" s="41" t="s"/>
      <c r="R8" s="41" t="s"/>
      <c r="S8" s="42" t="s"/>
      <c r="T8" s="42" t="s"/>
      <c r="U8" s="41" t="s"/>
      <c r="V8" s="41" t="s"/>
      <c r="W8" s="42" t="s"/>
      <c r="X8" s="42" t="s"/>
      <c r="Y8" s="41" t="s"/>
      <c r="Z8" s="41" t="s"/>
      <c r="AA8" s="42" t="s"/>
      <c r="AB8" s="42" t="s"/>
    </row>
    <row r="9" spans="1:28" customHeight="false">
      <c r="A9" s="16" t="s"/>
      <c r="B9" s="42" t="s"/>
      <c r="C9" s="42" t="s"/>
      <c r="D9" s="42" t="s"/>
      <c r="E9" s="16" t="s"/>
      <c r="F9" s="16" t="s"/>
      <c r="G9" s="16" t="s"/>
      <c r="H9" s="91" t="s"/>
      <c r="I9" s="59" t="s"/>
      <c r="J9" s="37" t="s"/>
      <c r="K9" s="37" t="s"/>
      <c r="L9" s="37" t="s"/>
      <c r="M9" s="41" t="s"/>
      <c r="N9" s="41" t="s"/>
      <c r="O9" s="16" t="s"/>
      <c r="P9" s="16" t="s"/>
      <c r="Q9" s="41" t="s"/>
      <c r="R9" s="41" t="s"/>
      <c r="S9" s="42" t="s"/>
      <c r="T9" s="42" t="s"/>
      <c r="U9" s="41" t="s"/>
      <c r="V9" s="41" t="s"/>
      <c r="W9" s="9" t="s"/>
      <c r="X9" s="9" t="s"/>
      <c r="Y9" s="41" t="s"/>
      <c r="Z9" s="41" t="s"/>
      <c r="AA9" s="42" t="s"/>
      <c r="AB9" s="42" t="s"/>
    </row>
    <row r="10" spans="1:28" customHeight="false">
      <c r="A10" s="16" t="s"/>
      <c r="B10" s="42" t="s"/>
      <c r="C10" s="42" t="s"/>
      <c r="D10" s="42" t="s"/>
      <c r="E10" s="16" t="s"/>
      <c r="F10" s="16" t="s"/>
      <c r="G10" s="16" t="s"/>
      <c r="H10" s="91" t="s"/>
      <c r="I10" s="59" t="s"/>
      <c r="J10" s="37" t="s"/>
      <c r="K10" s="37" t="s"/>
      <c r="L10" s="37" t="s"/>
      <c r="M10" s="41" t="s"/>
      <c r="N10" s="41" t="s"/>
      <c r="O10" s="16" t="s"/>
      <c r="P10" s="16" t="s"/>
      <c r="Q10" s="41" t="s"/>
      <c r="R10" s="41" t="s"/>
      <c r="S10" s="42" t="s"/>
      <c r="T10" s="42" t="s"/>
      <c r="U10" s="41" t="s"/>
      <c r="V10" s="41" t="s"/>
      <c r="W10" s="9" t="s"/>
      <c r="X10" s="9" t="s"/>
      <c r="Y10" s="41" t="s"/>
      <c r="Z10" s="41" t="s"/>
      <c r="AA10" s="42" t="s"/>
      <c r="AB10" s="42" t="s"/>
    </row>
    <row r="11" spans="1:28" customHeight="false">
      <c r="A11" s="16" t="s"/>
      <c r="B11" s="42" t="s"/>
      <c r="C11" s="42" t="s"/>
      <c r="D11" s="42" t="s"/>
      <c r="E11" s="16" t="s"/>
      <c r="F11" s="16" t="s"/>
      <c r="G11" s="16" t="s"/>
      <c r="H11" s="91" t="s"/>
      <c r="I11" s="59" t="s"/>
      <c r="J11" s="37" t="s"/>
      <c r="K11" s="37" t="s"/>
      <c r="L11" s="37" t="s"/>
      <c r="M11" s="41" t="s"/>
      <c r="N11" s="41" t="s"/>
      <c r="O11" s="16" t="s"/>
      <c r="P11" s="42" t="s"/>
      <c r="Q11" s="41" t="s"/>
      <c r="R11" s="41" t="s"/>
      <c r="S11" s="42" t="s"/>
      <c r="T11" s="41" t="s"/>
      <c r="U11" s="41" t="s"/>
      <c r="V11" s="41" t="s"/>
      <c r="W11" s="9" t="s"/>
      <c r="X11" s="9" t="s"/>
      <c r="Y11" s="41" t="s"/>
      <c r="Z11" s="41" t="s"/>
      <c r="AA11" s="42" t="s"/>
      <c r="AB11" s="42" t="s"/>
    </row>
    <row r="12" spans="1:28" customHeight="false">
      <c r="A12" s="16" t="s"/>
      <c r="B12" s="42" t="s"/>
      <c r="C12" s="42" t="s"/>
      <c r="D12" s="42" t="s"/>
      <c r="E12" s="16" t="s"/>
      <c r="F12" s="16" t="s"/>
      <c r="G12" s="16" t="s"/>
      <c r="H12" s="91" t="s"/>
      <c r="I12" s="59" t="s"/>
      <c r="J12" s="37" t="s"/>
      <c r="K12" s="37" t="s"/>
      <c r="L12" s="37" t="s"/>
      <c r="M12" s="41" t="s"/>
      <c r="N12" s="41" t="s"/>
      <c r="O12" s="16" t="s"/>
      <c r="P12" s="42" t="s"/>
      <c r="Q12" s="41" t="s"/>
      <c r="R12" s="41" t="s"/>
      <c r="S12" s="42" t="s"/>
      <c r="T12" s="41" t="s"/>
      <c r="U12" s="41" t="s"/>
      <c r="V12" s="41" t="s"/>
      <c r="W12" s="9" t="s"/>
      <c r="X12" s="9" t="s"/>
      <c r="Y12" s="41" t="s"/>
      <c r="Z12" s="41" t="s"/>
      <c r="AA12" s="42" t="s"/>
      <c r="AB12" s="42" t="s"/>
    </row>
    <row r="13" spans="1:28" customHeight="false">
      <c r="A13" s="16" t="s"/>
      <c r="B13" s="42" t="s"/>
      <c r="C13" s="42" t="s"/>
      <c r="D13" s="42" t="s"/>
      <c r="E13" s="16" t="s"/>
      <c r="F13" s="16" t="s"/>
      <c r="G13" s="16" t="s"/>
      <c r="H13" s="91" t="s"/>
      <c r="I13" s="59" t="s"/>
      <c r="J13" s="37" t="s"/>
      <c r="K13" s="37" t="s"/>
      <c r="L13" s="37" t="s"/>
      <c r="M13" s="41" t="s"/>
      <c r="N13" s="41" t="s"/>
      <c r="O13" s="16" t="s"/>
      <c r="P13" s="42" t="s"/>
      <c r="Q13" s="41" t="s"/>
      <c r="R13" s="41" t="s"/>
      <c r="S13" s="42" t="s"/>
      <c r="T13" s="42" t="s"/>
      <c r="U13" s="41" t="s"/>
      <c r="V13" s="41" t="s"/>
      <c r="W13" s="9" t="s"/>
      <c r="X13" s="9" t="s"/>
      <c r="Y13" s="41" t="s"/>
      <c r="Z13" s="41" t="s"/>
      <c r="AA13" s="42" t="s"/>
      <c r="AB13" s="42" t="s"/>
    </row>
    <row r="14" spans="1:28" customHeight="false">
      <c r="A14" s="16" t="s"/>
      <c r="B14" s="42" t="s"/>
      <c r="C14" s="42" t="s"/>
      <c r="D14" s="42" t="s"/>
      <c r="E14" s="16" t="s"/>
      <c r="F14" s="16" t="s"/>
      <c r="G14" s="16" t="s"/>
      <c r="H14" s="91" t="s"/>
      <c r="I14" s="59" t="s"/>
      <c r="J14" s="37" t="s"/>
      <c r="K14" s="37" t="s"/>
      <c r="L14" s="37" t="s"/>
      <c r="M14" s="41" t="s"/>
      <c r="N14" s="41" t="s"/>
      <c r="O14" s="16" t="s"/>
      <c r="P14" s="42" t="s"/>
      <c r="Q14" s="41" t="s"/>
      <c r="R14" s="41" t="s"/>
      <c r="S14" s="42" t="s"/>
      <c r="T14" s="42" t="s"/>
      <c r="U14" s="41" t="s"/>
      <c r="V14" s="41" t="s"/>
      <c r="W14" s="9" t="s"/>
      <c r="X14" s="9" t="s"/>
      <c r="Y14" s="41" t="s"/>
      <c r="Z14" s="41" t="s"/>
      <c r="AA14" s="42" t="s"/>
      <c r="AB14" s="42" t="s"/>
    </row>
    <row r="15" spans="1:28" customHeight="false">
      <c r="A15" s="16" t="s"/>
      <c r="B15" s="42" t="s"/>
      <c r="C15" s="42" t="s"/>
      <c r="D15" s="42" t="s"/>
      <c r="E15" s="16" t="s"/>
      <c r="F15" s="16" t="s"/>
      <c r="G15" s="16" t="s"/>
      <c r="H15" s="91" t="s"/>
      <c r="I15" s="59" t="s"/>
      <c r="J15" s="37" t="s"/>
      <c r="K15" s="37" t="s"/>
      <c r="L15" s="37" t="s"/>
      <c r="M15" s="41" t="s"/>
      <c r="N15" s="41" t="s"/>
      <c r="O15" s="16" t="s"/>
      <c r="P15" s="42" t="s"/>
      <c r="Q15" s="41" t="s"/>
      <c r="R15" s="41" t="s"/>
      <c r="S15" s="42" t="s"/>
      <c r="T15" s="42" t="s"/>
      <c r="U15" s="41" t="s"/>
      <c r="V15" s="41" t="s"/>
      <c r="W15" s="9" t="s"/>
      <c r="X15" s="9" t="s"/>
      <c r="Y15" s="41" t="s"/>
      <c r="Z15" s="41" t="s"/>
      <c r="AA15" s="42" t="s"/>
      <c r="AB15" s="42" t="s"/>
    </row>
    <row r="16" spans="1:28" customHeight="false">
      <c r="A16" s="16" t="s"/>
      <c r="B16" s="42" t="s"/>
      <c r="C16" s="42" t="s"/>
      <c r="D16" s="42" t="s"/>
      <c r="E16" s="16" t="s"/>
      <c r="F16" s="16" t="s"/>
      <c r="G16" s="16" t="s"/>
      <c r="H16" s="91" t="s"/>
      <c r="I16" s="59" t="s"/>
      <c r="J16" s="37" t="s"/>
      <c r="K16" s="37" t="s"/>
      <c r="L16" s="37" t="s"/>
      <c r="M16" s="41" t="s"/>
      <c r="N16" s="41" t="s"/>
      <c r="O16" s="16" t="s"/>
      <c r="P16" s="42" t="s"/>
      <c r="Q16" s="41" t="s"/>
      <c r="R16" s="41" t="s"/>
      <c r="S16" s="42" t="s"/>
      <c r="T16" s="42" t="s"/>
      <c r="U16" s="41" t="s"/>
      <c r="V16" s="41" t="s"/>
      <c r="W16" s="9" t="s"/>
      <c r="X16" s="9" t="s"/>
      <c r="Y16" s="41" t="s"/>
      <c r="Z16" s="41" t="s"/>
      <c r="AA16" s="42" t="s"/>
      <c r="AB16" s="42" t="s"/>
    </row>
    <row r="17" spans="1:28" customHeight="false">
      <c r="A17" s="16" t="s"/>
      <c r="B17" s="42" t="s"/>
      <c r="C17" s="42" t="s"/>
      <c r="D17" s="42" t="s"/>
      <c r="E17" s="16" t="s"/>
      <c r="F17" s="16" t="s"/>
      <c r="G17" s="16" t="s"/>
      <c r="H17" s="91" t="s"/>
      <c r="I17" s="59" t="s"/>
      <c r="J17" s="37" t="s"/>
      <c r="K17" s="37" t="s"/>
      <c r="L17" s="37" t="s"/>
      <c r="M17" s="41" t="s"/>
      <c r="N17" s="41" t="s"/>
      <c r="O17" s="16" t="s"/>
      <c r="P17" s="42" t="s"/>
      <c r="Q17" s="41" t="s"/>
      <c r="R17" s="41" t="s"/>
      <c r="S17" s="42" t="s"/>
      <c r="T17" s="42" t="s"/>
      <c r="U17" s="41" t="s"/>
      <c r="V17" s="41" t="s"/>
      <c r="W17" s="9" t="s"/>
      <c r="X17" s="9" t="s"/>
      <c r="Y17" s="41" t="s"/>
      <c r="Z17" s="41" t="s"/>
      <c r="AA17" s="42" t="s"/>
      <c r="AB17" s="42" t="s"/>
    </row>
    <row r="18" spans="1:28" customHeight="false">
      <c r="A18" s="16" t="s"/>
      <c r="B18" s="42" t="s"/>
      <c r="C18" s="42" t="s"/>
      <c r="D18" s="42" t="s"/>
      <c r="E18" s="16" t="s"/>
      <c r="F18" s="16" t="s"/>
      <c r="G18" s="16" t="s"/>
      <c r="H18" s="91" t="s"/>
      <c r="I18" s="59" t="s"/>
      <c r="J18" s="37" t="s"/>
      <c r="K18" s="37" t="s"/>
      <c r="L18" s="37" t="s"/>
      <c r="M18" s="41" t="s"/>
      <c r="N18" s="41" t="s"/>
      <c r="O18" s="16" t="s"/>
      <c r="P18" s="42" t="s"/>
      <c r="Q18" s="41" t="s"/>
      <c r="R18" s="41" t="s"/>
      <c r="S18" s="42" t="s"/>
      <c r="T18" s="42" t="s"/>
      <c r="U18" s="41" t="s"/>
      <c r="V18" s="41" t="s"/>
      <c r="W18" s="9" t="s"/>
      <c r="X18" s="9" t="s"/>
      <c r="Y18" s="41" t="s"/>
      <c r="Z18" s="41" t="s"/>
      <c r="AA18" s="42" t="s"/>
      <c r="AB18" s="42" t="s"/>
    </row>
    <row r="19" spans="1:28" customHeight="false">
      <c r="A19" s="16" t="s"/>
      <c r="B19" s="42" t="s"/>
      <c r="C19" s="42" t="s"/>
      <c r="D19" s="42" t="s"/>
      <c r="E19" s="16" t="s"/>
      <c r="F19" s="16" t="s"/>
      <c r="G19" s="16" t="s"/>
      <c r="H19" s="91" t="s"/>
      <c r="I19" s="59" t="s"/>
      <c r="J19" s="37" t="s"/>
      <c r="K19" s="37" t="s"/>
      <c r="L19" s="37" t="s"/>
      <c r="M19" s="41" t="s"/>
      <c r="N19" s="41" t="s"/>
      <c r="O19" s="16" t="s"/>
      <c r="P19" s="42" t="s"/>
      <c r="Q19" s="41" t="s"/>
      <c r="R19" s="41" t="s"/>
      <c r="S19" s="42" t="s"/>
      <c r="T19" s="42" t="s"/>
      <c r="U19" s="41" t="s"/>
      <c r="V19" s="41" t="s"/>
      <c r="W19" s="9" t="s"/>
      <c r="X19" s="9" t="s"/>
      <c r="Y19" s="41" t="s"/>
      <c r="Z19" s="41" t="s"/>
      <c r="AA19" s="42" t="s"/>
      <c r="AB19" s="42" t="s"/>
    </row>
    <row r="20" spans="1:28" customHeight="false">
      <c r="A20" s="16" t="s"/>
      <c r="B20" s="42" t="s"/>
      <c r="C20" s="42" t="s"/>
      <c r="D20" s="42" t="s"/>
      <c r="E20" s="16" t="s"/>
      <c r="F20" s="16" t="s"/>
      <c r="G20" s="16" t="s"/>
      <c r="H20" s="91" t="s"/>
      <c r="I20" s="59" t="s"/>
      <c r="J20" s="37" t="s"/>
      <c r="K20" s="37" t="s"/>
      <c r="L20" s="37" t="s"/>
      <c r="M20" s="41" t="s"/>
      <c r="N20" s="41" t="s"/>
      <c r="O20" s="16" t="s"/>
      <c r="P20" s="42" t="s"/>
      <c r="Q20" s="41" t="s"/>
      <c r="R20" s="41" t="s"/>
      <c r="S20" s="42" t="s"/>
      <c r="T20" s="42" t="s"/>
      <c r="U20" s="41" t="s"/>
      <c r="V20" s="41" t="s"/>
      <c r="W20" s="9" t="s"/>
      <c r="X20" s="9" t="s"/>
      <c r="Y20" s="41" t="s"/>
      <c r="Z20" s="41" t="s"/>
      <c r="AA20" s="42" t="s"/>
      <c r="AB20" s="42" t="s"/>
    </row>
    <row r="21" spans="1:28" customHeight="false">
      <c r="A21" s="16" t="s"/>
      <c r="B21" s="42" t="s"/>
      <c r="C21" s="42" t="s"/>
      <c r="D21" s="42" t="s"/>
      <c r="E21" s="16" t="s"/>
      <c r="F21" s="16" t="s"/>
      <c r="G21" s="16" t="s"/>
      <c r="H21" s="91" t="s"/>
      <c r="I21" s="59" t="s"/>
      <c r="J21" s="37" t="s"/>
      <c r="K21" s="37" t="s"/>
      <c r="L21" s="37" t="s"/>
      <c r="M21" s="41" t="s"/>
      <c r="N21" s="41" t="s"/>
      <c r="O21" s="16" t="s"/>
      <c r="P21" s="42" t="s"/>
      <c r="Q21" s="41" t="s"/>
      <c r="R21" s="41" t="s"/>
      <c r="S21" s="42" t="s"/>
      <c r="T21" s="42" t="s"/>
      <c r="U21" s="41" t="s"/>
      <c r="V21" s="41" t="s"/>
      <c r="W21" s="9" t="s"/>
      <c r="X21" s="9" t="s"/>
      <c r="Y21" s="41" t="s"/>
      <c r="Z21" s="41" t="s"/>
      <c r="AA21" s="42" t="s"/>
      <c r="AB21" s="42" t="s"/>
    </row>
    <row r="22" spans="1:28" customHeight="false">
      <c r="A22" s="16" t="s"/>
      <c r="B22" s="42" t="s"/>
      <c r="C22" s="42" t="s"/>
      <c r="D22" s="42" t="s"/>
      <c r="E22" s="16" t="s"/>
      <c r="F22" s="16" t="s"/>
      <c r="G22" s="16" t="s"/>
      <c r="H22" s="91" t="s"/>
      <c r="I22" s="59" t="s"/>
      <c r="J22" s="37" t="s"/>
      <c r="K22" s="37" t="s"/>
      <c r="L22" s="37" t="s"/>
      <c r="M22" s="41" t="s"/>
      <c r="N22" s="41" t="s"/>
      <c r="O22" s="16" t="s"/>
      <c r="P22" s="42" t="s"/>
      <c r="Q22" s="41" t="s"/>
      <c r="R22" s="41" t="s"/>
      <c r="S22" s="42" t="s"/>
      <c r="T22" s="42" t="s"/>
      <c r="U22" s="41" t="s"/>
      <c r="V22" s="41" t="s"/>
      <c r="W22" s="9" t="s"/>
      <c r="X22" s="9" t="s"/>
      <c r="Y22" s="41" t="s"/>
      <c r="Z22" s="41" t="s"/>
      <c r="AA22" s="42" t="s"/>
      <c r="AB22" s="42" t="s"/>
    </row>
    <row r="23" spans="1:28" customHeight="false">
      <c r="A23" s="16" t="s"/>
      <c r="B23" s="42" t="s"/>
      <c r="C23" s="42" t="s"/>
      <c r="D23" s="42" t="s"/>
      <c r="E23" s="16" t="s"/>
      <c r="F23" s="16" t="s"/>
      <c r="G23" s="16" t="s"/>
      <c r="H23" s="91" t="s"/>
      <c r="I23" s="59" t="s"/>
      <c r="J23" s="37" t="s"/>
      <c r="K23" s="37" t="s"/>
      <c r="L23" s="37" t="s"/>
      <c r="M23" s="41" t="s"/>
      <c r="N23" s="41" t="s"/>
      <c r="O23" s="16" t="s"/>
      <c r="P23" s="42" t="s"/>
      <c r="Q23" s="41" t="s"/>
      <c r="R23" s="41" t="s"/>
      <c r="S23" s="42" t="s"/>
      <c r="T23" s="42" t="s"/>
      <c r="U23" s="41" t="s"/>
      <c r="V23" s="41" t="s"/>
      <c r="W23" s="9" t="s"/>
      <c r="X23" s="9" t="s"/>
      <c r="Y23" s="41" t="s"/>
      <c r="Z23" s="41" t="s"/>
      <c r="AA23" s="42" t="s"/>
      <c r="AB23" s="42" t="s"/>
    </row>
    <row r="24" spans="1:28" customHeight="false">
      <c r="A24" s="16" t="s"/>
      <c r="B24" s="42" t="s"/>
      <c r="C24" s="42" t="s"/>
      <c r="D24" s="42" t="s"/>
      <c r="E24" s="16" t="s"/>
      <c r="F24" s="16" t="s"/>
      <c r="G24" s="16" t="s"/>
      <c r="H24" s="91" t="s"/>
      <c r="I24" s="59" t="s"/>
      <c r="J24" s="37" t="s"/>
      <c r="K24" s="37" t="s"/>
      <c r="L24" s="37" t="s"/>
      <c r="M24" s="41" t="s"/>
      <c r="N24" s="41" t="s"/>
      <c r="O24" s="16" t="s"/>
      <c r="P24" s="42" t="s"/>
      <c r="Q24" s="41" t="s"/>
      <c r="R24" s="41" t="s"/>
      <c r="S24" s="42" t="s"/>
      <c r="T24" s="42" t="s"/>
      <c r="U24" s="41" t="s"/>
      <c r="V24" s="41" t="s"/>
      <c r="W24" s="9" t="s"/>
      <c r="X24" s="9" t="s"/>
      <c r="Y24" s="41" t="s"/>
      <c r="Z24" s="41" t="s"/>
      <c r="AA24" s="42" t="s"/>
      <c r="AB24" s="42" t="s"/>
    </row>
    <row r="25" spans="1:28" customHeight="false">
      <c r="A25" s="16" t="s"/>
      <c r="B25" s="42" t="s"/>
      <c r="C25" s="42" t="s"/>
      <c r="D25" s="42" t="s"/>
      <c r="E25" s="16" t="s"/>
      <c r="F25" s="16" t="s"/>
      <c r="G25" s="16" t="s"/>
      <c r="H25" s="91" t="s"/>
      <c r="I25" s="59" t="s"/>
      <c r="J25" s="37" t="s"/>
      <c r="K25" s="37" t="s"/>
      <c r="L25" s="37" t="s"/>
      <c r="M25" s="41" t="s"/>
      <c r="N25" s="41" t="s"/>
      <c r="O25" s="16" t="s"/>
      <c r="P25" s="42" t="s"/>
      <c r="Q25" s="41" t="s"/>
      <c r="R25" s="41" t="s"/>
      <c r="S25" s="42" t="s"/>
      <c r="T25" s="42" t="s"/>
      <c r="U25" s="41" t="s"/>
      <c r="V25" s="41" t="s"/>
      <c r="W25" s="9" t="s"/>
      <c r="X25" s="9" t="s"/>
      <c r="Y25" s="41" t="s"/>
      <c r="Z25" s="41" t="s"/>
      <c r="AA25" s="42" t="s"/>
      <c r="AB25" s="42" t="s"/>
    </row>
    <row r="26" spans="1:28" customHeight="false">
      <c r="A26" s="16" t="s"/>
      <c r="B26" s="42" t="s"/>
      <c r="C26" s="42" t="s"/>
      <c r="D26" s="42" t="s"/>
      <c r="E26" s="16" t="s"/>
      <c r="F26" s="16" t="s"/>
      <c r="G26" s="16" t="s"/>
      <c r="H26" s="91" t="s"/>
      <c r="I26" s="59" t="s"/>
      <c r="J26" s="37" t="s"/>
      <c r="K26" s="37" t="s"/>
      <c r="L26" s="37" t="s"/>
      <c r="M26" s="41" t="s"/>
      <c r="N26" s="41" t="s"/>
      <c r="O26" s="16" t="s"/>
      <c r="P26" s="42" t="s"/>
      <c r="Q26" s="41" t="s"/>
      <c r="R26" s="41" t="s"/>
      <c r="S26" s="42" t="s"/>
      <c r="T26" s="42" t="s"/>
      <c r="U26" s="41" t="s"/>
      <c r="V26" s="41" t="s"/>
      <c r="W26" s="9" t="s"/>
      <c r="X26" s="9" t="s"/>
      <c r="Y26" s="41" t="s"/>
      <c r="Z26" s="41" t="s"/>
      <c r="AA26" s="42" t="s"/>
      <c r="AB26" s="42" t="s"/>
    </row>
    <row r="27" spans="1:28" customHeight="false">
      <c r="A27" s="16" t="s"/>
      <c r="B27" s="42" t="s"/>
      <c r="C27" s="42" t="s"/>
      <c r="D27" s="250" t="s"/>
      <c r="E27" s="16" t="s"/>
      <c r="F27" s="16" t="s"/>
      <c r="G27" s="16" t="s"/>
      <c r="H27" s="91" t="s"/>
      <c r="I27" s="59" t="s"/>
      <c r="J27" s="37" t="s"/>
      <c r="K27" s="37" t="s"/>
      <c r="L27" s="37" t="s"/>
      <c r="M27" s="41" t="s"/>
      <c r="N27" s="41" t="s"/>
      <c r="O27" s="42" t="s"/>
      <c r="P27" s="42" t="s"/>
      <c r="Q27" s="41" t="s"/>
      <c r="R27" s="41" t="s"/>
      <c r="S27" s="41" t="s"/>
      <c r="T27" s="41" t="s"/>
      <c r="U27" s="41" t="s"/>
      <c r="V27" s="41" t="s"/>
      <c r="W27" s="9" t="s"/>
      <c r="X27" s="9" t="s"/>
      <c r="Y27" s="41" t="s"/>
      <c r="Z27" s="41" t="s"/>
      <c r="AA27" s="42" t="s"/>
      <c r="AB27" s="42" t="s"/>
    </row>
    <row r="28" spans="1:28" customHeight="false">
      <c r="A28" s="16" t="s"/>
      <c r="B28" s="42" t="s"/>
      <c r="C28" s="42" t="s"/>
      <c r="D28" s="42" t="s"/>
      <c r="E28" s="16" t="s"/>
      <c r="F28" s="16" t="s"/>
      <c r="G28" s="16" t="s"/>
      <c r="H28" s="91" t="s"/>
      <c r="I28" s="16" t="s"/>
      <c r="J28" s="80" t="s"/>
      <c r="K28" s="80" t="s"/>
      <c r="L28" s="80" t="s"/>
      <c r="M28" s="41" t="s"/>
      <c r="N28" s="41" t="s"/>
      <c r="O28" s="16" t="s"/>
      <c r="P28" s="16" t="s"/>
      <c r="Q28" s="41" t="s"/>
      <c r="R28" s="41" t="s"/>
      <c r="S28" s="16" t="s"/>
      <c r="T28" s="16" t="s"/>
      <c r="U28" s="41" t="s"/>
      <c r="V28" s="41" t="s"/>
      <c r="W28" s="9" t="s"/>
      <c r="X28" s="9" t="s"/>
      <c r="Y28" s="41" t="s"/>
      <c r="Z28" s="41" t="s"/>
      <c r="AA28" s="42" t="s"/>
      <c r="AB28" s="42" t="s"/>
    </row>
    <row r="29" spans="1:28" customHeight="false">
      <c r="A29" s="16" t="s"/>
      <c r="B29" s="42" t="s"/>
      <c r="C29" s="42" t="s"/>
      <c r="D29" s="42" t="s"/>
      <c r="E29" s="16" t="s"/>
      <c r="F29" s="16" t="s"/>
      <c r="G29" s="16" t="s"/>
      <c r="H29" s="91" t="s"/>
      <c r="I29" s="59" t="s"/>
      <c r="J29" s="37" t="s"/>
      <c r="K29" s="37" t="s"/>
      <c r="L29" s="37" t="s"/>
      <c r="M29" s="41" t="s"/>
      <c r="N29" s="41" t="s"/>
      <c r="O29" s="16" t="s"/>
      <c r="P29" s="42" t="s"/>
      <c r="Q29" s="41" t="s"/>
      <c r="R29" s="41" t="s"/>
      <c r="S29" s="16" t="s"/>
      <c r="T29" s="16" t="s"/>
      <c r="U29" s="41" t="s"/>
      <c r="V29" s="41" t="s"/>
      <c r="W29" s="9" t="s"/>
      <c r="X29" s="9" t="s"/>
      <c r="Y29" s="41" t="s"/>
      <c r="Z29" s="41" t="s"/>
      <c r="AA29" s="42" t="s"/>
      <c r="AB29" s="42" t="s"/>
    </row>
    <row r="30" spans="1:28" customHeight="false">
      <c r="A30" s="16" t="s"/>
      <c r="B30" s="42" t="s"/>
      <c r="C30" s="42" t="s"/>
      <c r="D30" s="250" t="s"/>
      <c r="E30" s="16" t="s"/>
      <c r="F30" s="16" t="s"/>
      <c r="G30" s="16" t="s"/>
      <c r="H30" s="91" t="s"/>
      <c r="I30" s="59" t="s"/>
      <c r="J30" s="37" t="s"/>
      <c r="K30" s="37" t="s"/>
      <c r="L30" s="37" t="s"/>
      <c r="M30" s="41" t="s"/>
      <c r="N30" s="41" t="s"/>
      <c r="O30" s="42" t="s"/>
      <c r="P30" s="42" t="s"/>
      <c r="Q30" s="41" t="s"/>
      <c r="R30" s="41" t="s"/>
      <c r="S30" s="41" t="s"/>
      <c r="T30" s="41" t="s"/>
      <c r="U30" s="41" t="s"/>
      <c r="V30" s="41" t="s"/>
      <c r="W30" s="9" t="s"/>
      <c r="X30" s="9" t="s"/>
      <c r="Y30" s="41" t="s"/>
      <c r="Z30" s="41" t="s"/>
      <c r="AA30" s="42" t="s"/>
      <c r="AB30" s="42" t="s"/>
    </row>
    <row r="31" spans="1:28" customHeight="false">
      <c r="A31" s="16" t="s"/>
      <c r="B31" s="42" t="s"/>
      <c r="C31" s="42" t="s"/>
      <c r="D31" s="42" t="s"/>
      <c r="E31" s="16" t="s"/>
      <c r="F31" s="16" t="s"/>
      <c r="G31" s="16" t="s"/>
      <c r="H31" s="91" t="s"/>
      <c r="I31" s="59" t="s"/>
      <c r="J31" s="37" t="s"/>
      <c r="K31" s="37" t="s"/>
      <c r="L31" s="37" t="s"/>
      <c r="M31" s="41" t="s"/>
      <c r="N31" s="41" t="s"/>
      <c r="O31" s="59" t="s"/>
      <c r="P31" s="42" t="s"/>
      <c r="Q31" s="41" t="s"/>
      <c r="R31" s="41" t="s"/>
      <c r="S31" s="16" t="s"/>
      <c r="T31" s="16" t="s"/>
      <c r="U31" s="41" t="s"/>
      <c r="V31" s="41" t="s"/>
      <c r="W31" s="9" t="s"/>
      <c r="X31" s="9" t="s"/>
      <c r="Y31" s="41" t="s"/>
      <c r="Z31" s="41" t="s"/>
      <c r="AA31" s="42" t="s"/>
      <c r="AB31" s="42" t="s"/>
    </row>
    <row r="32" spans="1:28" customHeight="false">
      <c r="A32" s="16" t="s"/>
      <c r="B32" s="42" t="s"/>
      <c r="C32" s="42" t="s"/>
      <c r="D32" s="42" t="s"/>
      <c r="E32" s="16" t="s"/>
      <c r="F32" s="16" t="s"/>
      <c r="G32" s="16" t="s"/>
      <c r="H32" s="91" t="s"/>
      <c r="I32" s="59" t="s"/>
      <c r="J32" s="37" t="s"/>
      <c r="K32" s="37" t="s"/>
      <c r="L32" s="37" t="s"/>
      <c r="M32" s="41" t="s"/>
      <c r="N32" s="41" t="s"/>
      <c r="O32" s="59" t="s"/>
      <c r="P32" s="42" t="s"/>
      <c r="Q32" s="41" t="s"/>
      <c r="R32" s="41" t="s"/>
      <c r="S32" s="16" t="s"/>
      <c r="T32" s="16" t="s"/>
      <c r="U32" s="41" t="s"/>
      <c r="V32" s="41" t="s"/>
      <c r="W32" s="9" t="s"/>
      <c r="X32" s="9" t="s"/>
      <c r="Y32" s="41" t="s"/>
      <c r="Z32" s="41" t="s"/>
      <c r="AA32" s="42" t="s"/>
      <c r="AB32" s="42" t="s"/>
    </row>
    <row r="33" spans="1:28" customHeight="false">
      <c r="A33" s="16" t="s"/>
      <c r="B33" s="42" t="s"/>
      <c r="C33" s="42" t="s"/>
      <c r="D33" s="42" t="s"/>
      <c r="E33" s="16" t="s"/>
      <c r="F33" s="16" t="s"/>
      <c r="G33" s="16" t="s"/>
      <c r="H33" s="91" t="s"/>
      <c r="I33" s="59" t="s"/>
      <c r="J33" s="37" t="s"/>
      <c r="K33" s="37" t="s"/>
      <c r="L33" s="37" t="s"/>
      <c r="M33" s="41" t="s"/>
      <c r="N33" s="41" t="s"/>
      <c r="O33" s="59" t="s"/>
      <c r="P33" s="42" t="s"/>
      <c r="Q33" s="41" t="s"/>
      <c r="R33" s="41" t="s"/>
      <c r="S33" s="16" t="s"/>
      <c r="T33" s="16" t="s"/>
      <c r="U33" s="41" t="s"/>
      <c r="V33" s="41" t="s"/>
      <c r="W33" s="9" t="s"/>
      <c r="X33" s="9" t="s"/>
      <c r="Y33" s="41" t="s"/>
      <c r="Z33" s="41" t="s"/>
      <c r="AA33" s="42" t="s"/>
      <c r="AB33" s="42" t="s"/>
    </row>
    <row r="34" spans="1:28" customHeight="false">
      <c r="A34" s="16" t="s"/>
      <c r="B34" s="42" t="s"/>
      <c r="C34" s="42" t="s"/>
      <c r="D34" s="42" t="s"/>
      <c r="E34" s="16" t="s"/>
      <c r="F34" s="16" t="s"/>
      <c r="G34" s="16" t="s"/>
      <c r="H34" s="91" t="s"/>
      <c r="I34" s="16" t="s"/>
      <c r="J34" s="80" t="s"/>
      <c r="K34" s="80" t="s"/>
      <c r="L34" s="80" t="s"/>
      <c r="M34" s="41" t="s"/>
      <c r="N34" s="41" t="s"/>
      <c r="O34" s="59" t="s"/>
      <c r="P34" s="42" t="s"/>
      <c r="Q34" s="41" t="s"/>
      <c r="R34" s="41" t="s"/>
      <c r="S34" s="16" t="s"/>
      <c r="T34" s="16" t="s"/>
      <c r="U34" s="41" t="s"/>
      <c r="V34" s="41" t="s"/>
      <c r="W34" s="9" t="s"/>
      <c r="X34" s="9" t="s"/>
      <c r="Y34" s="41" t="s"/>
      <c r="Z34" s="41" t="s"/>
      <c r="AA34" s="42" t="s"/>
      <c r="AB34" s="42" t="s"/>
    </row>
    <row r="35" spans="1:28" customHeight="false">
      <c r="A35" s="16" t="s"/>
      <c r="B35" s="42" t="s"/>
      <c r="C35" s="42" t="s"/>
      <c r="D35" s="42" t="s"/>
      <c r="E35" s="16" t="s"/>
      <c r="F35" s="16" t="s"/>
      <c r="G35" s="16" t="s"/>
      <c r="H35" s="91" t="s"/>
      <c r="I35" s="16" t="s"/>
      <c r="J35" s="80" t="s"/>
      <c r="K35" s="80" t="s"/>
      <c r="L35" s="80" t="s"/>
      <c r="M35" s="41" t="s"/>
      <c r="N35" s="41" t="s"/>
      <c r="O35" s="59" t="s"/>
      <c r="P35" s="42" t="s"/>
      <c r="Q35" s="41" t="s"/>
      <c r="R35" s="41" t="s"/>
      <c r="S35" s="16" t="s"/>
      <c r="T35" s="16" t="s"/>
      <c r="U35" s="41" t="s"/>
      <c r="V35" s="41" t="s"/>
      <c r="W35" s="9" t="s"/>
      <c r="X35" s="9" t="s"/>
      <c r="Y35" s="41" t="s"/>
      <c r="Z35" s="41" t="s"/>
      <c r="AA35" s="42" t="s"/>
      <c r="AB35" s="42" t="s"/>
    </row>
    <row r="36" spans="1:28" customHeight="false">
      <c r="A36" s="16" t="s"/>
      <c r="B36" s="42" t="s"/>
      <c r="C36" s="42" t="s"/>
      <c r="D36" s="42" t="s"/>
      <c r="E36" s="16" t="s"/>
      <c r="F36" s="16" t="s"/>
      <c r="G36" s="16" t="s"/>
      <c r="H36" s="91" t="s"/>
      <c r="I36" s="16" t="s"/>
      <c r="J36" s="80" t="s"/>
      <c r="K36" s="80" t="s"/>
      <c r="L36" s="80" t="s"/>
      <c r="M36" s="41" t="s"/>
      <c r="N36" s="41" t="s"/>
      <c r="O36" s="59" t="s"/>
      <c r="P36" s="42" t="s"/>
      <c r="Q36" s="41" t="s"/>
      <c r="R36" s="41" t="s"/>
      <c r="S36" s="16" t="s"/>
      <c r="T36" s="16" t="s"/>
      <c r="U36" s="41" t="s"/>
      <c r="V36" s="41" t="s"/>
      <c r="W36" s="9" t="s"/>
      <c r="X36" s="9" t="s"/>
      <c r="Y36" s="41" t="s"/>
      <c r="Z36" s="41" t="s"/>
      <c r="AA36" s="42" t="s"/>
      <c r="AB36" s="42" t="s"/>
    </row>
    <row r="37" spans="1:28" customHeight="false">
      <c r="A37" s="16" t="s"/>
      <c r="B37" s="42" t="s"/>
      <c r="C37" s="42" t="s"/>
      <c r="D37" s="42" t="s"/>
      <c r="E37" s="16" t="s"/>
      <c r="F37" s="16" t="s"/>
      <c r="G37" s="16" t="s"/>
      <c r="H37" s="91" t="s"/>
      <c r="I37" s="16" t="s"/>
      <c r="J37" s="80" t="s"/>
      <c r="K37" s="80" t="s"/>
      <c r="L37" s="80" t="s"/>
      <c r="M37" s="41" t="s"/>
      <c r="N37" s="41" t="s"/>
      <c r="O37" s="59" t="s"/>
      <c r="P37" s="42" t="s"/>
      <c r="Q37" s="41" t="s"/>
      <c r="R37" s="41" t="s"/>
      <c r="S37" s="16" t="s"/>
      <c r="T37" s="16" t="s"/>
      <c r="U37" s="41" t="s"/>
      <c r="V37" s="41" t="s"/>
      <c r="W37" s="9" t="s"/>
      <c r="X37" s="9" t="s"/>
      <c r="Y37" s="41" t="s"/>
      <c r="Z37" s="41" t="s"/>
      <c r="AA37" s="42" t="s"/>
      <c r="AB37" s="42" t="s"/>
    </row>
    <row r="38" spans="1:28" customHeight="false">
      <c r="A38" s="16" t="s"/>
      <c r="B38" s="42" t="s"/>
      <c r="C38" s="42" t="s"/>
      <c r="D38" s="42" t="s"/>
      <c r="E38" s="16" t="s"/>
      <c r="F38" s="16" t="s"/>
      <c r="G38" s="16" t="s"/>
      <c r="H38" s="91" t="s"/>
      <c r="I38" s="16" t="s"/>
      <c r="J38" s="80" t="s"/>
      <c r="K38" s="80" t="s"/>
      <c r="L38" s="80" t="s"/>
      <c r="M38" s="41" t="s"/>
      <c r="N38" s="41" t="s"/>
      <c r="O38" s="59" t="s"/>
      <c r="P38" s="42" t="s"/>
      <c r="Q38" s="41" t="s"/>
      <c r="R38" s="41" t="s"/>
      <c r="S38" s="16" t="s"/>
      <c r="T38" s="16" t="s"/>
      <c r="U38" s="41" t="s"/>
      <c r="V38" s="41" t="s"/>
      <c r="W38" s="9" t="s"/>
      <c r="X38" s="9" t="s"/>
      <c r="Y38" s="41" t="s"/>
      <c r="Z38" s="41" t="s"/>
      <c r="AA38" s="42" t="s"/>
      <c r="AB38" s="42" t="s"/>
    </row>
    <row r="39" spans="1:28" customHeight="false">
      <c r="A39" s="16" t="s"/>
      <c r="B39" s="42" t="s"/>
      <c r="C39" s="42" t="s"/>
      <c r="D39" s="42" t="s"/>
      <c r="E39" s="16" t="s"/>
      <c r="F39" s="16" t="s"/>
      <c r="G39" s="16" t="s"/>
      <c r="H39" s="91" t="s"/>
      <c r="I39" s="16" t="s"/>
      <c r="J39" s="80" t="s"/>
      <c r="K39" s="80" t="s"/>
      <c r="L39" s="80" t="s"/>
      <c r="M39" s="41" t="s"/>
      <c r="N39" s="41" t="s"/>
      <c r="O39" s="59" t="s"/>
      <c r="P39" s="42" t="s"/>
      <c r="Q39" s="41" t="s"/>
      <c r="R39" s="41" t="s"/>
      <c r="S39" s="16" t="s"/>
      <c r="T39" s="16" t="s"/>
      <c r="U39" s="41" t="s"/>
      <c r="V39" s="41" t="s"/>
      <c r="W39" s="9" t="s"/>
      <c r="X39" s="9" t="s"/>
      <c r="Y39" s="41" t="s"/>
      <c r="Z39" s="41" t="s"/>
      <c r="AA39" s="42" t="s"/>
      <c r="AB39" s="42" t="s"/>
    </row>
    <row r="40" spans="1:28" customHeight="false">
      <c r="A40" s="16" t="s"/>
      <c r="B40" s="42" t="s"/>
      <c r="C40" s="42" t="s"/>
      <c r="D40" s="42" t="s"/>
      <c r="E40" s="16" t="s"/>
      <c r="F40" s="16" t="s"/>
      <c r="G40" s="16" t="s"/>
      <c r="H40" s="91" t="s"/>
      <c r="I40" s="16" t="s"/>
      <c r="J40" s="80" t="s"/>
      <c r="K40" s="80" t="s"/>
      <c r="L40" s="80" t="s"/>
      <c r="M40" s="41" t="s"/>
      <c r="N40" s="41" t="s"/>
      <c r="O40" s="59" t="s"/>
      <c r="P40" s="42" t="s"/>
      <c r="Q40" s="41" t="s"/>
      <c r="R40" s="41" t="s"/>
      <c r="S40" s="16" t="s"/>
      <c r="T40" s="16" t="s"/>
      <c r="U40" s="41" t="s"/>
      <c r="V40" s="41" t="s"/>
      <c r="W40" s="9" t="s"/>
      <c r="X40" s="9" t="s"/>
      <c r="Y40" s="41" t="s"/>
      <c r="Z40" s="41" t="s"/>
      <c r="AA40" s="42" t="s"/>
      <c r="AB40" s="42" t="s"/>
    </row>
    <row r="41" spans="1:28" customHeight="false">
      <c r="A41" s="16" t="s"/>
      <c r="B41" s="42" t="s"/>
      <c r="C41" s="42" t="s"/>
      <c r="D41" s="250" t="s"/>
      <c r="E41" s="16" t="s"/>
      <c r="F41" s="16" t="s"/>
      <c r="G41" s="16" t="s"/>
      <c r="H41" s="91" t="s"/>
      <c r="I41" s="59" t="s"/>
      <c r="J41" s="37" t="s"/>
      <c r="K41" s="37" t="s"/>
      <c r="L41" s="37" t="s"/>
      <c r="M41" s="41" t="s"/>
      <c r="N41" s="41" t="s"/>
      <c r="O41" s="42" t="s"/>
      <c r="P41" s="42" t="s"/>
      <c r="Q41" s="41" t="s"/>
      <c r="R41" s="41" t="s"/>
      <c r="S41" s="41" t="s"/>
      <c r="T41" s="41" t="s"/>
      <c r="U41" s="41" t="s"/>
      <c r="V41" s="41" t="s"/>
      <c r="W41" s="9" t="s"/>
      <c r="X41" s="9" t="s"/>
      <c r="Y41" s="41" t="s"/>
      <c r="Z41" s="41" t="s"/>
      <c r="AA41" s="42" t="s"/>
      <c r="AB41" s="42" t="s"/>
    </row>
    <row r="42" spans="1:28" customHeight="false">
      <c r="A42" s="16" t="s"/>
      <c r="B42" s="42" t="s"/>
      <c r="C42" s="42" t="s"/>
      <c r="D42" s="42" t="s"/>
      <c r="E42" s="16" t="s"/>
      <c r="F42" s="16" t="s"/>
      <c r="G42" s="16" t="s"/>
      <c r="H42" s="91" t="s"/>
      <c r="I42" s="16" t="s"/>
      <c r="J42" s="80" t="s"/>
      <c r="K42" s="80" t="s"/>
      <c r="L42" s="80" t="s"/>
      <c r="M42" s="41" t="s"/>
      <c r="N42" s="41" t="s"/>
      <c r="O42" s="59" t="s"/>
      <c r="P42" s="42" t="s"/>
      <c r="Q42" s="41" t="s"/>
      <c r="R42" s="41" t="s"/>
      <c r="S42" s="16" t="s"/>
      <c r="T42" s="16" t="s"/>
      <c r="U42" s="41" t="s"/>
      <c r="V42" s="41" t="s"/>
      <c r="W42" s="9" t="s"/>
      <c r="X42" s="9" t="s"/>
      <c r="Y42" s="41" t="s"/>
      <c r="Z42" s="41" t="s"/>
      <c r="AA42" s="42" t="s"/>
      <c r="AB42" s="42" t="s"/>
    </row>
    <row r="43" spans="1:28" customHeight="false">
      <c r="A43" s="16" t="s"/>
      <c r="B43" s="42" t="s"/>
      <c r="C43" s="42" t="s"/>
      <c r="D43" s="42" t="s"/>
      <c r="E43" s="16" t="s"/>
      <c r="F43" s="16" t="s"/>
      <c r="G43" s="16" t="s"/>
      <c r="H43" s="91" t="s"/>
      <c r="I43" s="16" t="s"/>
      <c r="J43" s="80" t="s"/>
      <c r="K43" s="80" t="s"/>
      <c r="L43" s="80" t="s"/>
      <c r="M43" s="41" t="s"/>
      <c r="N43" s="41" t="s"/>
      <c r="O43" s="59" t="s"/>
      <c r="P43" s="42" t="s"/>
      <c r="Q43" s="41" t="s"/>
      <c r="R43" s="41" t="s"/>
      <c r="S43" s="16" t="s"/>
      <c r="T43" s="16" t="s"/>
      <c r="U43" s="41" t="s"/>
      <c r="V43" s="41" t="s"/>
      <c r="W43" s="9" t="s"/>
      <c r="X43" s="9" t="s"/>
      <c r="Y43" s="41" t="s"/>
      <c r="Z43" s="41" t="s"/>
      <c r="AA43" s="42" t="s"/>
      <c r="AB43" s="42" t="s"/>
    </row>
    <row r="44" spans="1:28" customHeight="false">
      <c r="A44" s="16" t="s"/>
      <c r="B44" s="42" t="s"/>
      <c r="C44" s="42" t="s"/>
      <c r="D44" s="250" t="s"/>
      <c r="E44" s="16" t="s"/>
      <c r="F44" s="16" t="s"/>
      <c r="G44" s="16" t="s"/>
      <c r="H44" s="91" t="s"/>
      <c r="I44" s="59" t="s"/>
      <c r="J44" s="37" t="s"/>
      <c r="K44" s="37" t="s"/>
      <c r="L44" s="37" t="s"/>
      <c r="M44" s="41" t="s"/>
      <c r="N44" s="41" t="s"/>
      <c r="O44" s="42" t="s"/>
      <c r="P44" s="42" t="s"/>
      <c r="Q44" s="41" t="s"/>
      <c r="R44" s="41" t="s"/>
      <c r="S44" s="41" t="s"/>
      <c r="T44" s="41" t="s"/>
      <c r="U44" s="41" t="s"/>
      <c r="V44" s="41" t="s"/>
      <c r="W44" s="9" t="s"/>
      <c r="X44" s="9" t="s"/>
      <c r="Y44" s="41" t="s"/>
      <c r="Z44" s="41" t="s"/>
      <c r="AA44" s="42" t="s"/>
      <c r="AB44" s="42" t="s"/>
    </row>
    <row r="45" spans="1:28" customHeight="false">
      <c r="A45" s="16" t="s"/>
      <c r="B45" s="42" t="s"/>
      <c r="C45" s="42" t="s"/>
      <c r="D45" s="250" t="s"/>
      <c r="E45" s="16" t="s"/>
      <c r="F45" s="16" t="s"/>
      <c r="G45" s="16" t="s"/>
      <c r="H45" s="91" t="s"/>
      <c r="I45" s="16" t="s"/>
      <c r="J45" s="80" t="s"/>
      <c r="K45" s="80" t="s"/>
      <c r="L45" s="80" t="s"/>
      <c r="M45" s="41" t="s"/>
      <c r="N45" s="41" t="s"/>
      <c r="O45" s="42" t="s"/>
      <c r="P45" s="42" t="s"/>
      <c r="Q45" s="41" t="s"/>
      <c r="R45" s="41" t="s"/>
      <c r="S45" s="41" t="s"/>
      <c r="T45" s="41" t="s"/>
      <c r="U45" s="41" t="s"/>
      <c r="V45" s="41" t="s"/>
      <c r="W45" s="9" t="s"/>
      <c r="X45" s="9" t="s"/>
      <c r="Y45" s="41" t="s"/>
      <c r="Z45" s="41" t="s"/>
      <c r="AA45" s="42" t="s"/>
      <c r="AB45" s="42" t="s"/>
    </row>
    <row r="46" spans="1:28" customHeight="false">
      <c r="A46" s="16" t="s"/>
      <c r="B46" s="42" t="s"/>
      <c r="C46" s="42" t="s"/>
      <c r="D46" s="41" t="s"/>
      <c r="E46" s="16" t="s"/>
      <c r="F46" s="16" t="s"/>
      <c r="G46" s="16" t="s"/>
      <c r="H46" s="91" t="s"/>
      <c r="I46" s="16" t="s"/>
      <c r="J46" s="80" t="s"/>
      <c r="K46" s="80" t="s"/>
      <c r="L46" s="80" t="s"/>
      <c r="M46" s="41" t="s"/>
      <c r="N46" s="41" t="s"/>
      <c r="O46" s="16" t="s"/>
      <c r="P46" s="42" t="s"/>
      <c r="Q46" s="41" t="s"/>
      <c r="R46" s="41" t="s"/>
      <c r="S46" s="41" t="s"/>
      <c r="T46" s="41" t="s"/>
      <c r="U46" s="41" t="s"/>
      <c r="V46" s="41" t="s"/>
      <c r="W46" s="9" t="s"/>
      <c r="X46" s="9" t="s"/>
      <c r="Y46" s="41" t="s"/>
      <c r="Z46" s="41" t="s"/>
      <c r="AA46" s="42" t="s"/>
      <c r="AB46" s="42" t="s"/>
    </row>
    <row r="47" spans="1:28" customHeight="false">
      <c r="A47" s="16" t="s"/>
      <c r="B47" s="42" t="s"/>
      <c r="C47" s="42" t="s"/>
      <c r="D47" s="250" t="s"/>
      <c r="E47" s="16" t="s"/>
      <c r="F47" s="16" t="s"/>
      <c r="G47" s="16" t="s"/>
      <c r="H47" s="91" t="s"/>
      <c r="I47" s="59" t="s"/>
      <c r="J47" s="37" t="s"/>
      <c r="K47" s="37" t="s"/>
      <c r="L47" s="37" t="s"/>
      <c r="M47" s="41" t="s"/>
      <c r="N47" s="41" t="s"/>
      <c r="O47" s="42" t="s"/>
      <c r="P47" s="42" t="s"/>
      <c r="Q47" s="41" t="s"/>
      <c r="R47" s="41" t="s"/>
      <c r="S47" s="41" t="s"/>
      <c r="T47" s="41" t="s"/>
      <c r="U47" s="41" t="s"/>
      <c r="V47" s="41" t="s"/>
      <c r="W47" s="9" t="s"/>
      <c r="X47" s="9" t="s"/>
      <c r="Y47" s="41" t="s"/>
      <c r="Z47" s="41" t="s"/>
      <c r="AA47" s="42" t="s"/>
      <c r="AB47" s="42" t="s"/>
    </row>
    <row r="48" spans="1:28" customHeight="false">
      <c r="A48" s="16" t="s"/>
      <c r="B48" s="42" t="s"/>
      <c r="C48" s="42" t="s"/>
      <c r="D48" s="250" t="s"/>
      <c r="E48" s="16" t="s"/>
      <c r="F48" s="16" t="s"/>
      <c r="G48" s="16" t="s"/>
      <c r="H48" s="91" t="s"/>
      <c r="I48" s="59" t="s"/>
      <c r="J48" s="37" t="s"/>
      <c r="K48" s="37" t="s"/>
      <c r="L48" s="37" t="s"/>
      <c r="M48" s="41" t="s"/>
      <c r="N48" s="41" t="s"/>
      <c r="O48" s="42" t="s"/>
      <c r="P48" s="42" t="s"/>
      <c r="Q48" s="41" t="s"/>
      <c r="R48" s="41" t="s"/>
      <c r="S48" s="41" t="s"/>
      <c r="T48" s="41" t="s"/>
      <c r="U48" s="41" t="s"/>
      <c r="V48" s="41" t="s"/>
      <c r="W48" s="9" t="s"/>
      <c r="X48" s="9" t="s"/>
      <c r="Y48" s="41" t="s"/>
      <c r="Z48" s="41" t="s"/>
      <c r="AA48" s="42" t="s"/>
      <c r="AB48" s="42" t="s"/>
    </row>
    <row r="49" spans="1:28" customHeight="false">
      <c r="A49" s="16" t="s"/>
      <c r="B49" s="42" t="s"/>
      <c r="C49" s="42" t="s"/>
      <c r="D49" s="16" t="s"/>
      <c r="E49" s="16" t="s"/>
      <c r="F49" s="16" t="s"/>
      <c r="G49" s="16" t="s"/>
      <c r="H49" s="91" t="s"/>
      <c r="I49" s="59" t="s"/>
      <c r="J49" s="733" t="s"/>
      <c r="K49" s="733" t="s"/>
      <c r="L49" s="733" t="s"/>
      <c r="M49" s="42" t="s"/>
      <c r="N49" s="42" t="s"/>
      <c r="O49" s="42" t="s"/>
      <c r="P49" s="42" t="s"/>
      <c r="Q49" s="41" t="s"/>
      <c r="R49" s="41" t="s"/>
      <c r="S49" s="42" t="s"/>
      <c r="T49" s="42" t="s"/>
      <c r="U49" s="42" t="s"/>
      <c r="V49" s="42" t="s"/>
      <c r="W49" s="9" t="s"/>
      <c r="X49" s="9" t="s"/>
      <c r="Y49" s="42" t="s"/>
      <c r="Z49" s="42" t="s"/>
      <c r="AA49" s="42" t="s"/>
      <c r="AB49" s="42" t="s"/>
    </row>
    <row r="50" spans="1:28" customHeight="false">
      <c r="A50" s="16" t="s"/>
      <c r="B50" s="252" t="s"/>
      <c r="C50" s="252" t="s"/>
      <c r="D50" s="253" t="s"/>
      <c r="E50" s="253" t="s"/>
      <c r="F50" s="253" t="s"/>
      <c r="G50" s="254" t="s"/>
      <c r="H50" s="91" t="s"/>
      <c r="I50" s="578" t="s"/>
      <c r="J50" s="734" t="s"/>
      <c r="K50" s="734" t="s"/>
      <c r="L50" s="734" t="s"/>
      <c r="M50" s="9" t="s"/>
      <c r="N50" s="9" t="s"/>
      <c r="O50" s="9" t="s"/>
      <c r="P50" s="91" t="s"/>
      <c r="Q50" s="41" t="s"/>
      <c r="R50" s="41" t="s"/>
      <c r="S50" s="9" t="s"/>
      <c r="T50" s="91" t="s"/>
      <c r="U50" s="9" t="s"/>
      <c r="V50" s="9" t="s"/>
      <c r="W50" s="9" t="s"/>
      <c r="X50" s="9" t="s"/>
      <c r="Y50" s="9" t="s"/>
      <c r="Z50" s="9" t="s"/>
      <c r="AA50" s="9" t="s"/>
      <c r="AB50" s="9" t="s"/>
    </row>
    <row r="51" spans="1:26" customHeight="false">
      <c r="A51" s="121" t="s"/>
      <c r="B51" s="188" t="s"/>
      <c r="C51" s="188" t="s"/>
      <c r="D51" s="121" t="s"/>
      <c r="E51" s="121" t="s"/>
      <c r="F51" s="121" t="s"/>
      <c r="G51" s="121" t="s"/>
      <c r="H51" s="121" t="s"/>
      <c r="I51" s="161" t="s"/>
      <c r="J51" s="187" t="s"/>
      <c r="K51" s="187" t="s"/>
      <c r="L51" s="187" t="s"/>
      <c r="M51" s="161" t="s"/>
      <c r="N51" s="161" t="s"/>
      <c r="O51" s="161" t="s"/>
      <c r="P51" s="161" t="s"/>
      <c r="Q51" s="161" t="s"/>
      <c r="R51" s="161" t="s"/>
      <c r="S51" s="161" t="s"/>
      <c r="T51" s="161" t="s"/>
      <c r="U51" s="161" t="s"/>
      <c r="V51" s="161" t="s"/>
      <c r="W51" s="161" t="s"/>
      <c r="X51" s="161" t="s"/>
      <c r="Y51" s="161" t="s"/>
      <c r="Z51" s="161" t="s"/>
    </row>
    <row r="52" spans="1:26" customHeight="false">
      <c r="A52" s="121" t="s"/>
      <c r="B52" s="188" t="s"/>
      <c r="C52" s="188" t="s"/>
      <c r="D52" s="121" t="s"/>
      <c r="E52" s="121" t="s"/>
      <c r="F52" s="121" t="s"/>
      <c r="G52" s="121" t="s"/>
      <c r="H52" s="121" t="s"/>
      <c r="I52" s="161" t="s"/>
      <c r="J52" s="187" t="s"/>
      <c r="K52" s="187" t="s"/>
      <c r="L52" s="187" t="s"/>
      <c r="M52" s="161" t="s"/>
      <c r="N52" s="161" t="s"/>
      <c r="O52" s="161" t="s"/>
      <c r="P52" s="161" t="s"/>
      <c r="Q52" s="161" t="s"/>
      <c r="R52" s="161" t="s"/>
      <c r="S52" s="161" t="s"/>
      <c r="T52" s="161" t="s"/>
      <c r="U52" s="161" t="s"/>
      <c r="V52" s="161" t="s"/>
      <c r="W52" s="161" t="s"/>
      <c r="X52" s="161" t="s"/>
      <c r="Y52" s="161" t="s"/>
      <c r="Z52" s="161" t="s"/>
    </row>
    <row r="53" spans="1:26" customHeight="false">
      <c r="A53" s="121" t="s"/>
      <c r="B53" s="188" t="s"/>
      <c r="C53" s="188" t="s"/>
      <c r="D53" s="121" t="s"/>
      <c r="E53" s="121" t="s"/>
      <c r="F53" s="121" t="s"/>
      <c r="G53" s="121" t="s"/>
      <c r="H53" s="121" t="s"/>
      <c r="I53" s="161" t="s"/>
      <c r="J53" s="187" t="s"/>
      <c r="K53" s="187" t="s"/>
      <c r="L53" s="187" t="s"/>
      <c r="M53" s="161" t="s"/>
      <c r="N53" s="161" t="s"/>
      <c r="O53" s="161" t="s"/>
      <c r="P53" s="161" t="s"/>
      <c r="Q53" s="161" t="s"/>
      <c r="R53" s="161" t="s"/>
      <c r="S53" s="161" t="s"/>
      <c r="T53" s="161" t="s"/>
      <c r="U53" s="161" t="s"/>
      <c r="V53" s="161" t="s"/>
      <c r="W53" s="161" t="s"/>
      <c r="X53" s="161" t="s"/>
      <c r="Y53" s="161" t="s"/>
      <c r="Z53" s="161" t="s"/>
    </row>
    <row r="54" spans="1:26" customHeight="false">
      <c r="A54" s="121" t="s"/>
      <c r="B54" s="188" t="s"/>
      <c r="C54" s="188" t="s"/>
      <c r="D54" s="121" t="s"/>
      <c r="E54" s="121" t="s"/>
      <c r="F54" s="121" t="s"/>
      <c r="G54" s="121" t="s"/>
      <c r="H54" s="121" t="s"/>
      <c r="I54" s="161" t="s"/>
      <c r="J54" s="187" t="s"/>
      <c r="K54" s="187" t="s"/>
      <c r="L54" s="187" t="s"/>
      <c r="M54" s="161" t="s"/>
      <c r="N54" s="161" t="s"/>
      <c r="O54" s="161" t="s"/>
      <c r="P54" s="161" t="s"/>
      <c r="Q54" s="161" t="s"/>
      <c r="R54" s="161" t="s"/>
      <c r="S54" s="161" t="s"/>
      <c r="T54" s="161" t="s"/>
      <c r="U54" s="161" t="s"/>
      <c r="V54" s="161" t="s"/>
      <c r="W54" s="161" t="s"/>
      <c r="X54" s="161" t="s"/>
      <c r="Y54" s="161" t="s"/>
      <c r="Z54" s="161" t="s"/>
    </row>
    <row r="55" spans="1:26" customHeight="false">
      <c r="A55" s="121" t="s"/>
      <c r="B55" s="188" t="s"/>
      <c r="C55" s="188" t="s"/>
      <c r="D55" s="121" t="s"/>
      <c r="E55" s="121" t="s"/>
      <c r="F55" s="121" t="s"/>
      <c r="G55" s="121" t="s"/>
      <c r="H55" s="121" t="s"/>
      <c r="I55" s="161" t="s"/>
      <c r="J55" s="187" t="s"/>
      <c r="K55" s="187" t="s"/>
      <c r="L55" s="187" t="s"/>
      <c r="M55" s="161" t="s"/>
      <c r="N55" s="161" t="s"/>
      <c r="O55" s="161" t="s"/>
      <c r="P55" s="161" t="s"/>
      <c r="Q55" s="161" t="s"/>
      <c r="R55" s="161" t="s"/>
      <c r="S55" s="161" t="s"/>
      <c r="T55" s="161" t="s"/>
      <c r="U55" s="161" t="s"/>
      <c r="V55" s="161" t="s"/>
      <c r="W55" s="161" t="s"/>
      <c r="X55" s="161" t="s"/>
      <c r="Y55" s="161" t="s"/>
      <c r="Z55" s="161" t="s"/>
    </row>
    <row r="56" spans="1:26" customHeight="false">
      <c r="A56" s="121" t="s"/>
      <c r="B56" s="188" t="s"/>
      <c r="C56" s="188" t="s"/>
      <c r="D56" s="121" t="s"/>
      <c r="E56" s="121" t="s"/>
      <c r="F56" s="121" t="s"/>
      <c r="G56" s="121" t="s"/>
      <c r="H56" s="121" t="s"/>
      <c r="I56" s="161" t="s"/>
      <c r="J56" s="187" t="s"/>
      <c r="K56" s="187" t="s"/>
      <c r="L56" s="187" t="s"/>
      <c r="M56" s="161" t="s"/>
      <c r="N56" s="161" t="s"/>
      <c r="O56" s="161" t="s"/>
      <c r="P56" s="161" t="s"/>
      <c r="Q56" s="161" t="s"/>
      <c r="R56" s="161" t="s"/>
      <c r="S56" s="161" t="s"/>
      <c r="T56" s="161" t="s"/>
      <c r="U56" s="161" t="s"/>
      <c r="V56" s="161" t="s"/>
      <c r="W56" s="161" t="s"/>
      <c r="X56" s="161" t="s"/>
      <c r="Y56" s="161" t="s"/>
      <c r="Z56" s="161" t="s"/>
    </row>
    <row r="57" spans="1:26" customHeight="false">
      <c r="A57" s="121" t="s"/>
      <c r="B57" s="188" t="s"/>
      <c r="C57" s="188" t="s"/>
      <c r="D57" s="121" t="s"/>
      <c r="E57" s="121" t="s"/>
      <c r="F57" s="121" t="s"/>
      <c r="G57" s="121" t="s"/>
      <c r="H57" s="121" t="s"/>
      <c r="I57" s="161" t="s"/>
      <c r="J57" s="187" t="s"/>
      <c r="K57" s="187" t="s"/>
      <c r="L57" s="187" t="s"/>
      <c r="M57" s="161" t="s"/>
      <c r="N57" s="161" t="s"/>
      <c r="O57" s="161" t="s"/>
      <c r="P57" s="161" t="s"/>
      <c r="Q57" s="161" t="s"/>
      <c r="R57" s="161" t="s"/>
      <c r="S57" s="161" t="s"/>
      <c r="T57" s="161" t="s"/>
      <c r="U57" s="161" t="s"/>
      <c r="V57" s="161" t="s"/>
      <c r="W57" s="161" t="s"/>
      <c r="X57" s="161" t="s"/>
      <c r="Y57" s="161" t="s"/>
      <c r="Z57" s="161" t="s"/>
    </row>
    <row r="58" spans="1:26" customHeight="false">
      <c r="A58" s="121" t="s"/>
      <c r="B58" s="188" t="s"/>
      <c r="C58" s="188" t="s"/>
      <c r="D58" s="121" t="s"/>
      <c r="E58" s="121" t="s"/>
      <c r="F58" s="121" t="s"/>
      <c r="G58" s="121" t="s"/>
      <c r="H58" s="121" t="s"/>
      <c r="I58" s="161" t="s"/>
      <c r="J58" s="187" t="s"/>
      <c r="K58" s="187" t="s"/>
      <c r="L58" s="187" t="s"/>
      <c r="M58" s="161" t="s"/>
      <c r="N58" s="161" t="s"/>
      <c r="O58" s="161" t="s"/>
      <c r="P58" s="161" t="s"/>
      <c r="Q58" s="161" t="s"/>
      <c r="R58" s="161" t="s"/>
      <c r="S58" s="161" t="s"/>
      <c r="T58" s="161" t="s"/>
      <c r="U58" s="161" t="s"/>
      <c r="V58" s="161" t="s"/>
      <c r="W58" s="161" t="s"/>
      <c r="X58" s="161" t="s"/>
      <c r="Y58" s="161" t="s"/>
      <c r="Z58" s="161" t="s"/>
    </row>
    <row r="59" spans="1:26" customHeight="false">
      <c r="A59" s="121" t="s"/>
      <c r="B59" s="188" t="s"/>
      <c r="C59" s="188" t="s"/>
      <c r="D59" s="121" t="s"/>
      <c r="E59" s="121" t="s"/>
      <c r="F59" s="121" t="s"/>
      <c r="G59" s="121" t="s"/>
      <c r="H59" s="121" t="s"/>
      <c r="I59" s="161" t="s"/>
      <c r="J59" s="187" t="s"/>
      <c r="K59" s="187" t="s"/>
      <c r="L59" s="187" t="s"/>
      <c r="M59" s="161" t="s"/>
      <c r="N59" s="161" t="s"/>
      <c r="O59" s="161" t="s"/>
      <c r="P59" s="161" t="s"/>
      <c r="Q59" s="161" t="s"/>
      <c r="R59" s="161" t="s"/>
      <c r="S59" s="161" t="s"/>
      <c r="T59" s="161" t="s"/>
      <c r="U59" s="161" t="s"/>
      <c r="V59" s="161" t="s"/>
      <c r="W59" s="161" t="s"/>
      <c r="X59" s="161" t="s"/>
      <c r="Y59" s="161" t="s"/>
      <c r="Z59" s="161" t="s"/>
    </row>
    <row r="60" spans="1:26" customHeight="false">
      <c r="A60" s="121" t="s"/>
      <c r="B60" s="188" t="s"/>
      <c r="C60" s="188" t="s"/>
      <c r="D60" s="121" t="s"/>
      <c r="E60" s="121" t="s"/>
      <c r="F60" s="121" t="s"/>
      <c r="G60" s="121" t="s"/>
      <c r="H60" s="121" t="s"/>
      <c r="I60" s="161" t="s"/>
      <c r="J60" s="187" t="s"/>
      <c r="K60" s="187" t="s"/>
      <c r="L60" s="187" t="s"/>
      <c r="M60" s="161" t="s"/>
      <c r="N60" s="161" t="s"/>
      <c r="O60" s="161" t="s"/>
      <c r="P60" s="161" t="s"/>
      <c r="Q60" s="161" t="s"/>
      <c r="R60" s="161" t="s"/>
      <c r="S60" s="161" t="s"/>
      <c r="T60" s="161" t="s"/>
      <c r="U60" s="161" t="s"/>
      <c r="V60" s="161" t="s"/>
      <c r="W60" s="161" t="s"/>
      <c r="X60" s="161" t="s"/>
      <c r="Y60" s="161" t="s"/>
      <c r="Z60" s="161" t="s"/>
    </row>
    <row r="61" spans="1:26" customHeight="false">
      <c r="A61" s="121" t="s"/>
      <c r="B61" s="188" t="s"/>
      <c r="C61" s="188" t="s"/>
      <c r="D61" s="121" t="s"/>
      <c r="E61" s="121" t="s"/>
      <c r="F61" s="121" t="s"/>
      <c r="G61" s="121" t="s"/>
      <c r="H61" s="121" t="s"/>
      <c r="I61" s="161" t="s"/>
      <c r="J61" s="187" t="s"/>
      <c r="K61" s="187" t="s"/>
      <c r="L61" s="187" t="s"/>
      <c r="M61" s="161" t="s"/>
      <c r="N61" s="161" t="s"/>
      <c r="O61" s="161" t="s"/>
      <c r="P61" s="161" t="s"/>
      <c r="Q61" s="161" t="s"/>
      <c r="R61" s="161" t="s"/>
      <c r="S61" s="161" t="s"/>
      <c r="T61" s="161" t="s"/>
      <c r="U61" s="161" t="s"/>
      <c r="V61" s="161" t="s"/>
      <c r="W61" s="161" t="s"/>
      <c r="X61" s="161" t="s"/>
      <c r="Y61" s="161" t="s"/>
      <c r="Z61" s="161" t="s"/>
    </row>
    <row r="62" spans="1:26" customHeight="false">
      <c r="A62" s="121" t="s"/>
      <c r="B62" s="188" t="s"/>
      <c r="C62" s="188" t="s"/>
      <c r="D62" s="121" t="s"/>
      <c r="E62" s="121" t="s"/>
      <c r="F62" s="121" t="s"/>
      <c r="G62" s="121" t="s"/>
      <c r="H62" s="121" t="s"/>
      <c r="I62" s="161" t="s"/>
      <c r="J62" s="187" t="s"/>
      <c r="K62" s="187" t="s"/>
      <c r="L62" s="187" t="s"/>
      <c r="M62" s="161" t="s"/>
      <c r="N62" s="161" t="s"/>
      <c r="O62" s="161" t="s"/>
      <c r="P62" s="161" t="s"/>
      <c r="Q62" s="161" t="s"/>
      <c r="R62" s="161" t="s"/>
      <c r="S62" s="161" t="s"/>
      <c r="T62" s="161" t="s"/>
      <c r="U62" s="161" t="s"/>
      <c r="V62" s="161" t="s"/>
      <c r="W62" s="161" t="s"/>
      <c r="X62" s="161" t="s"/>
      <c r="Y62" s="161" t="s"/>
      <c r="Z62" s="161" t="s"/>
    </row>
    <row r="63" spans="1:26" customHeight="false">
      <c r="A63" s="121" t="s"/>
      <c r="B63" s="188" t="s"/>
      <c r="C63" s="188" t="s"/>
      <c r="D63" s="121" t="s"/>
      <c r="E63" s="121" t="s"/>
      <c r="F63" s="121" t="s"/>
      <c r="G63" s="121" t="s"/>
      <c r="H63" s="121" t="s"/>
      <c r="I63" s="161" t="s"/>
      <c r="J63" s="187" t="s"/>
      <c r="K63" s="187" t="s"/>
      <c r="L63" s="187" t="s"/>
      <c r="M63" s="161" t="s"/>
      <c r="N63" s="161" t="s"/>
      <c r="O63" s="161" t="s"/>
      <c r="P63" s="161" t="s"/>
      <c r="Q63" s="161" t="s"/>
      <c r="R63" s="161" t="s"/>
      <c r="S63" s="161" t="s"/>
      <c r="T63" s="161" t="s"/>
      <c r="U63" s="161" t="s"/>
      <c r="V63" s="161" t="s"/>
      <c r="W63" s="161" t="s"/>
      <c r="X63" s="161" t="s"/>
      <c r="Y63" s="161" t="s"/>
      <c r="Z63" s="161" t="s"/>
    </row>
    <row r="64" spans="1:26" customHeight="false">
      <c r="A64" s="121" t="s"/>
      <c r="B64" s="188" t="s"/>
      <c r="C64" s="188" t="s"/>
      <c r="D64" s="121" t="s"/>
      <c r="E64" s="121" t="s"/>
      <c r="F64" s="121" t="s"/>
      <c r="G64" s="121" t="s"/>
      <c r="H64" s="121" t="s"/>
      <c r="I64" s="161" t="s"/>
      <c r="J64" s="187" t="s"/>
      <c r="K64" s="187" t="s"/>
      <c r="L64" s="187" t="s"/>
      <c r="M64" s="161" t="s"/>
      <c r="N64" s="161" t="s"/>
      <c r="O64" s="161" t="s"/>
      <c r="P64" s="161" t="s"/>
      <c r="Q64" s="161" t="s"/>
      <c r="R64" s="161" t="s"/>
      <c r="S64" s="161" t="s"/>
      <c r="T64" s="161" t="s"/>
      <c r="U64" s="161" t="s"/>
      <c r="V64" s="161" t="s"/>
      <c r="W64" s="161" t="s"/>
      <c r="X64" s="161" t="s"/>
      <c r="Y64" s="161" t="s"/>
      <c r="Z64" s="161" t="s"/>
    </row>
    <row r="65" spans="1:26" customHeight="false">
      <c r="A65" s="121" t="s"/>
      <c r="B65" s="188" t="s"/>
      <c r="C65" s="188" t="s"/>
      <c r="D65" s="121" t="s"/>
      <c r="E65" s="121" t="s"/>
      <c r="F65" s="121" t="s"/>
      <c r="G65" s="121" t="s"/>
      <c r="H65" s="121" t="s"/>
      <c r="I65" s="161" t="s"/>
      <c r="J65" s="187" t="s"/>
      <c r="K65" s="187" t="s"/>
      <c r="L65" s="187" t="s"/>
      <c r="M65" s="161" t="s"/>
      <c r="N65" s="161" t="s"/>
      <c r="O65" s="161" t="s"/>
      <c r="P65" s="161" t="s"/>
      <c r="Q65" s="161" t="s"/>
      <c r="R65" s="161" t="s"/>
      <c r="S65" s="161" t="s"/>
      <c r="T65" s="161" t="s"/>
      <c r="U65" s="161" t="s"/>
      <c r="V65" s="161" t="s"/>
      <c r="W65" s="161" t="s"/>
      <c r="X65" s="161" t="s"/>
      <c r="Y65" s="161" t="s"/>
      <c r="Z65" s="161" t="s"/>
    </row>
    <row r="66" spans="1:26" customHeight="false">
      <c r="A66" s="121" t="s"/>
      <c r="B66" s="188" t="s"/>
      <c r="C66" s="188" t="s"/>
      <c r="D66" s="121" t="s"/>
      <c r="E66" s="121" t="s"/>
      <c r="F66" s="121" t="s"/>
      <c r="G66" s="121" t="s"/>
      <c r="H66" s="121" t="s"/>
      <c r="I66" s="161" t="s"/>
      <c r="J66" s="187" t="s"/>
      <c r="K66" s="187" t="s"/>
      <c r="L66" s="187" t="s"/>
      <c r="M66" s="161" t="s"/>
      <c r="N66" s="161" t="s"/>
      <c r="O66" s="161" t="s"/>
      <c r="P66" s="161" t="s"/>
      <c r="Q66" s="161" t="s"/>
      <c r="R66" s="161" t="s"/>
      <c r="S66" s="161" t="s"/>
      <c r="T66" s="161" t="s"/>
      <c r="U66" s="161" t="s"/>
      <c r="V66" s="161" t="s"/>
      <c r="W66" s="161" t="s"/>
      <c r="X66" s="161" t="s"/>
      <c r="Y66" s="161" t="s"/>
      <c r="Z66" s="161" t="s"/>
    </row>
    <row r="67" spans="1:26" customHeight="false">
      <c r="A67" s="121" t="s"/>
      <c r="B67" s="188" t="s"/>
      <c r="C67" s="188" t="s"/>
      <c r="D67" s="121" t="s"/>
      <c r="E67" s="121" t="s"/>
      <c r="F67" s="121" t="s"/>
      <c r="G67" s="121" t="s"/>
      <c r="H67" s="121" t="s"/>
      <c r="I67" s="161" t="s"/>
      <c r="J67" s="187" t="s"/>
      <c r="K67" s="187" t="s"/>
      <c r="L67" s="187" t="s"/>
      <c r="M67" s="161" t="s"/>
      <c r="N67" s="161" t="s"/>
      <c r="O67" s="161" t="s"/>
      <c r="P67" s="161" t="s"/>
      <c r="Q67" s="161" t="s"/>
      <c r="R67" s="161" t="s"/>
      <c r="S67" s="161" t="s"/>
      <c r="T67" s="161" t="s"/>
      <c r="U67" s="161" t="s"/>
      <c r="V67" s="161" t="s"/>
      <c r="W67" s="161" t="s"/>
      <c r="X67" s="161" t="s"/>
      <c r="Y67" s="161" t="s"/>
      <c r="Z67" s="161" t="s"/>
    </row>
    <row r="68" spans="1:26" customHeight="false">
      <c r="A68" s="121" t="s"/>
      <c r="B68" s="188" t="s"/>
      <c r="C68" s="188" t="s"/>
      <c r="D68" s="121" t="s"/>
      <c r="E68" s="121" t="s"/>
      <c r="F68" s="121" t="s"/>
      <c r="G68" s="121" t="s"/>
      <c r="H68" s="121" t="s"/>
      <c r="I68" s="161" t="s"/>
      <c r="J68" s="187" t="s"/>
      <c r="K68" s="187" t="s"/>
      <c r="L68" s="187" t="s"/>
      <c r="M68" s="161" t="s"/>
      <c r="N68" s="161" t="s"/>
      <c r="O68" s="161" t="s"/>
      <c r="P68" s="161" t="s"/>
      <c r="Q68" s="161" t="s"/>
      <c r="R68" s="161" t="s"/>
      <c r="S68" s="161" t="s"/>
      <c r="T68" s="161" t="s"/>
      <c r="U68" s="161" t="s"/>
      <c r="V68" s="161" t="s"/>
      <c r="W68" s="161" t="s"/>
      <c r="X68" s="161" t="s"/>
      <c r="Y68" s="161" t="s"/>
      <c r="Z68" s="161" t="s"/>
    </row>
    <row r="69" spans="1:26" customHeight="false">
      <c r="A69" s="121" t="s"/>
      <c r="B69" s="188" t="s"/>
      <c r="C69" s="188" t="s"/>
      <c r="D69" s="121" t="s"/>
      <c r="E69" s="121" t="s"/>
      <c r="F69" s="121" t="s"/>
      <c r="G69" s="121" t="s"/>
      <c r="H69" s="121" t="s"/>
      <c r="I69" s="161" t="s"/>
      <c r="J69" s="187" t="s"/>
      <c r="K69" s="187" t="s"/>
      <c r="L69" s="187" t="s"/>
      <c r="M69" s="161" t="s"/>
      <c r="N69" s="161" t="s"/>
      <c r="O69" s="161" t="s"/>
      <c r="P69" s="161" t="s"/>
      <c r="Q69" s="161" t="s"/>
      <c r="R69" s="161" t="s"/>
      <c r="S69" s="161" t="s"/>
      <c r="T69" s="161" t="s"/>
      <c r="U69" s="161" t="s"/>
      <c r="V69" s="161" t="s"/>
      <c r="W69" s="161" t="s"/>
      <c r="X69" s="161" t="s"/>
      <c r="Y69" s="161" t="s"/>
      <c r="Z69" s="161" t="s"/>
    </row>
    <row r="70" spans="1:26" customHeight="false">
      <c r="A70" s="121" t="s"/>
      <c r="B70" s="188" t="s"/>
      <c r="C70" s="188" t="s"/>
      <c r="D70" s="121" t="s"/>
      <c r="E70" s="121" t="s"/>
      <c r="F70" s="121" t="s"/>
      <c r="G70" s="121" t="s"/>
      <c r="H70" s="121" t="s"/>
      <c r="I70" s="161" t="s"/>
      <c r="J70" s="187" t="s"/>
      <c r="K70" s="187" t="s"/>
      <c r="L70" s="187" t="s"/>
      <c r="M70" s="161" t="s"/>
      <c r="N70" s="161" t="s"/>
      <c r="O70" s="161" t="s"/>
      <c r="P70" s="161" t="s"/>
      <c r="Q70" s="161" t="s"/>
      <c r="R70" s="161" t="s"/>
      <c r="S70" s="161" t="s"/>
      <c r="T70" s="161" t="s"/>
      <c r="U70" s="161" t="s"/>
      <c r="V70" s="161" t="s"/>
      <c r="W70" s="161" t="s"/>
      <c r="X70" s="161" t="s"/>
      <c r="Y70" s="161" t="s"/>
      <c r="Z70" s="161" t="s"/>
    </row>
    <row r="71" spans="1:26" customHeight="false">
      <c r="A71" s="121" t="s"/>
      <c r="B71" s="188" t="s"/>
      <c r="C71" s="188" t="s"/>
      <c r="D71" s="121" t="s"/>
      <c r="E71" s="121" t="s"/>
      <c r="F71" s="121" t="s"/>
      <c r="G71" s="121" t="s"/>
      <c r="H71" s="121" t="s"/>
      <c r="I71" s="161" t="s"/>
      <c r="J71" s="187" t="s"/>
      <c r="K71" s="187" t="s"/>
      <c r="L71" s="187" t="s"/>
      <c r="M71" s="161" t="s"/>
      <c r="N71" s="161" t="s"/>
      <c r="O71" s="161" t="s"/>
      <c r="P71" s="161" t="s"/>
      <c r="Q71" s="161" t="s"/>
      <c r="R71" s="161" t="s"/>
      <c r="S71" s="161" t="s"/>
      <c r="T71" s="161" t="s"/>
      <c r="U71" s="161" t="s"/>
      <c r="V71" s="161" t="s"/>
      <c r="W71" s="161" t="s"/>
      <c r="X71" s="161" t="s"/>
      <c r="Y71" s="161" t="s"/>
      <c r="Z71" s="161" t="s"/>
    </row>
    <row r="72" spans="1:26" customHeight="false">
      <c r="A72" s="121" t="s"/>
      <c r="B72" s="188" t="s"/>
      <c r="C72" s="188" t="s"/>
      <c r="D72" s="121" t="s"/>
      <c r="E72" s="121" t="s"/>
      <c r="F72" s="121" t="s"/>
      <c r="G72" s="121" t="s"/>
      <c r="H72" s="121" t="s"/>
      <c r="I72" s="161" t="s"/>
      <c r="J72" s="187" t="s"/>
      <c r="K72" s="187" t="s"/>
      <c r="L72" s="187" t="s"/>
      <c r="M72" s="161" t="s"/>
      <c r="N72" s="161" t="s"/>
      <c r="O72" s="161" t="s"/>
      <c r="P72" s="161" t="s"/>
      <c r="Q72" s="161" t="s"/>
      <c r="R72" s="161" t="s"/>
      <c r="S72" s="161" t="s"/>
      <c r="T72" s="161" t="s"/>
      <c r="U72" s="161" t="s"/>
      <c r="V72" s="161" t="s"/>
      <c r="W72" s="161" t="s"/>
      <c r="X72" s="161" t="s"/>
      <c r="Y72" s="161" t="s"/>
      <c r="Z72" s="161" t="s"/>
    </row>
    <row r="73" spans="1:26" customHeight="false">
      <c r="A73" s="121" t="s"/>
      <c r="B73" s="188" t="s"/>
      <c r="C73" s="188" t="s"/>
      <c r="D73" s="121" t="s"/>
      <c r="E73" s="121" t="s"/>
      <c r="F73" s="121" t="s"/>
      <c r="G73" s="121" t="s"/>
      <c r="H73" s="121" t="s"/>
      <c r="I73" s="161" t="s"/>
      <c r="J73" s="187" t="s"/>
      <c r="K73" s="187" t="s"/>
      <c r="L73" s="187" t="s"/>
      <c r="M73" s="161" t="s"/>
      <c r="N73" s="161" t="s"/>
      <c r="O73" s="161" t="s"/>
      <c r="P73" s="161" t="s"/>
      <c r="Q73" s="161" t="s"/>
      <c r="R73" s="161" t="s"/>
      <c r="S73" s="161" t="s"/>
      <c r="T73" s="161" t="s"/>
      <c r="U73" s="161" t="s"/>
      <c r="V73" s="161" t="s"/>
      <c r="W73" s="161" t="s"/>
      <c r="X73" s="161" t="s"/>
      <c r="Y73" s="161" t="s"/>
      <c r="Z73" s="161" t="s"/>
    </row>
    <row r="74" spans="1:26" customHeight="false">
      <c r="A74" s="121" t="s"/>
      <c r="B74" s="188" t="s"/>
      <c r="C74" s="188" t="s"/>
      <c r="D74" s="121" t="s"/>
      <c r="E74" s="121" t="s"/>
      <c r="F74" s="121" t="s"/>
      <c r="G74" s="121" t="s"/>
      <c r="H74" s="121" t="s"/>
      <c r="I74" s="161" t="s"/>
      <c r="J74" s="187" t="s"/>
      <c r="K74" s="187" t="s"/>
      <c r="L74" s="187" t="s"/>
      <c r="M74" s="161" t="s"/>
      <c r="N74" s="161" t="s"/>
      <c r="O74" s="161" t="s"/>
      <c r="P74" s="161" t="s"/>
      <c r="Q74" s="161" t="s"/>
      <c r="R74" s="161" t="s"/>
      <c r="S74" s="161" t="s"/>
      <c r="T74" s="161" t="s"/>
      <c r="U74" s="161" t="s"/>
      <c r="V74" s="161" t="s"/>
      <c r="W74" s="161" t="s"/>
      <c r="X74" s="161" t="s"/>
      <c r="Y74" s="161" t="s"/>
      <c r="Z74" s="161" t="s"/>
    </row>
    <row r="75" spans="1:26" customHeight="false">
      <c r="A75" s="121" t="s"/>
      <c r="B75" s="188" t="s"/>
      <c r="C75" s="188" t="s"/>
      <c r="D75" s="121" t="s"/>
      <c r="E75" s="121" t="s"/>
      <c r="F75" s="121" t="s"/>
      <c r="G75" s="121" t="s"/>
      <c r="H75" s="121" t="s"/>
      <c r="I75" s="161" t="s"/>
      <c r="J75" s="187" t="s"/>
      <c r="K75" s="187" t="s"/>
      <c r="L75" s="187" t="s"/>
      <c r="M75" s="161" t="s"/>
      <c r="N75" s="161" t="s"/>
      <c r="O75" s="161" t="s"/>
      <c r="P75" s="161" t="s"/>
      <c r="Q75" s="161" t="s"/>
      <c r="R75" s="161" t="s"/>
      <c r="S75" s="161" t="s"/>
      <c r="T75" s="161" t="s"/>
      <c r="U75" s="161" t="s"/>
      <c r="V75" s="161" t="s"/>
      <c r="W75" s="161" t="s"/>
      <c r="X75" s="161" t="s"/>
      <c r="Y75" s="161" t="s"/>
      <c r="Z75" s="161" t="s"/>
    </row>
    <row r="76" spans="1:26" customHeight="false">
      <c r="A76" s="121" t="s"/>
      <c r="B76" s="188" t="s"/>
      <c r="C76" s="188" t="s"/>
      <c r="D76" s="121" t="s"/>
      <c r="E76" s="121" t="s"/>
      <c r="F76" s="121" t="s"/>
      <c r="G76" s="121" t="s"/>
      <c r="H76" s="121" t="s"/>
      <c r="I76" s="161" t="s"/>
      <c r="J76" s="187" t="s"/>
      <c r="K76" s="187" t="s"/>
      <c r="L76" s="187" t="s"/>
      <c r="M76" s="161" t="s"/>
      <c r="N76" s="161" t="s"/>
      <c r="O76" s="161" t="s"/>
      <c r="P76" s="161" t="s"/>
      <c r="Q76" s="161" t="s"/>
      <c r="R76" s="161" t="s"/>
      <c r="S76" s="161" t="s"/>
      <c r="T76" s="161" t="s"/>
      <c r="U76" s="161" t="s"/>
      <c r="V76" s="161" t="s"/>
      <c r="W76" s="161" t="s"/>
      <c r="X76" s="161" t="s"/>
      <c r="Y76" s="161" t="s"/>
      <c r="Z76" s="161" t="s"/>
    </row>
    <row r="77" spans="1:26" customHeight="false">
      <c r="A77" s="121" t="s"/>
      <c r="B77" s="188" t="s"/>
      <c r="C77" s="188" t="s"/>
      <c r="D77" s="121" t="s"/>
      <c r="E77" s="121" t="s"/>
      <c r="F77" s="121" t="s"/>
      <c r="G77" s="121" t="s"/>
      <c r="H77" s="121" t="s"/>
      <c r="I77" s="161" t="s"/>
      <c r="J77" s="187" t="s"/>
      <c r="K77" s="187" t="s"/>
      <c r="L77" s="187" t="s"/>
      <c r="M77" s="161" t="s"/>
      <c r="N77" s="161" t="s"/>
      <c r="O77" s="161" t="s"/>
      <c r="P77" s="161" t="s"/>
      <c r="Q77" s="161" t="s"/>
      <c r="R77" s="161" t="s"/>
      <c r="S77" s="161" t="s"/>
      <c r="T77" s="161" t="s"/>
      <c r="U77" s="161" t="s"/>
      <c r="V77" s="161" t="s"/>
      <c r="W77" s="161" t="s"/>
      <c r="X77" s="161" t="s"/>
      <c r="Y77" s="161" t="s"/>
      <c r="Z77" s="161" t="s"/>
    </row>
    <row r="78" spans="1:26" customHeight="false">
      <c r="A78" s="121" t="s"/>
      <c r="B78" s="188" t="s"/>
      <c r="C78" s="188" t="s"/>
      <c r="D78" s="121" t="s"/>
      <c r="E78" s="121" t="s"/>
      <c r="F78" s="121" t="s"/>
      <c r="G78" s="121" t="s"/>
      <c r="H78" s="121" t="s"/>
      <c r="I78" s="161" t="s"/>
      <c r="J78" s="187" t="s"/>
      <c r="K78" s="187" t="s"/>
      <c r="L78" s="187" t="s"/>
      <c r="M78" s="161" t="s"/>
      <c r="N78" s="161" t="s"/>
      <c r="O78" s="161" t="s"/>
      <c r="P78" s="161" t="s"/>
      <c r="Q78" s="161" t="s"/>
      <c r="R78" s="161" t="s"/>
      <c r="S78" s="161" t="s"/>
      <c r="T78" s="161" t="s"/>
      <c r="U78" s="161" t="s"/>
      <c r="V78" s="161" t="s"/>
      <c r="W78" s="161" t="s"/>
      <c r="X78" s="161" t="s"/>
      <c r="Y78" s="161" t="s"/>
      <c r="Z78" s="161" t="s"/>
    </row>
    <row r="79" spans="1:26" customHeight="false">
      <c r="A79" s="121" t="s"/>
      <c r="B79" s="188" t="s"/>
      <c r="C79" s="188" t="s"/>
      <c r="D79" s="121" t="s"/>
      <c r="E79" s="121" t="s"/>
      <c r="F79" s="121" t="s"/>
      <c r="G79" s="121" t="s"/>
      <c r="H79" s="121" t="s"/>
      <c r="I79" s="161" t="s"/>
      <c r="J79" s="187" t="s"/>
      <c r="K79" s="187" t="s"/>
      <c r="L79" s="187" t="s"/>
      <c r="M79" s="161" t="s"/>
      <c r="N79" s="161" t="s"/>
      <c r="O79" s="161" t="s"/>
      <c r="P79" s="161" t="s"/>
      <c r="Q79" s="161" t="s"/>
      <c r="R79" s="161" t="s"/>
      <c r="S79" s="161" t="s"/>
      <c r="T79" s="161" t="s"/>
      <c r="U79" s="161" t="s"/>
      <c r="V79" s="161" t="s"/>
      <c r="W79" s="161" t="s"/>
      <c r="X79" s="161" t="s"/>
      <c r="Y79" s="161" t="s"/>
      <c r="Z79" s="161" t="s"/>
    </row>
    <row r="80" spans="1:26" customHeight="false">
      <c r="A80" s="121" t="s"/>
      <c r="B80" s="188" t="s"/>
      <c r="C80" s="188" t="s"/>
      <c r="D80" s="121" t="s"/>
      <c r="E80" s="121" t="s"/>
      <c r="F80" s="121" t="s"/>
      <c r="G80" s="121" t="s"/>
      <c r="H80" s="121" t="s"/>
      <c r="I80" s="161" t="s"/>
      <c r="J80" s="187" t="s"/>
      <c r="K80" s="187" t="s"/>
      <c r="L80" s="187" t="s"/>
      <c r="M80" s="161" t="s"/>
      <c r="N80" s="161" t="s"/>
      <c r="O80" s="161" t="s"/>
      <c r="P80" s="161" t="s"/>
      <c r="Q80" s="161" t="s"/>
      <c r="R80" s="161" t="s"/>
      <c r="S80" s="161" t="s"/>
      <c r="T80" s="161" t="s"/>
      <c r="U80" s="161" t="s"/>
      <c r="V80" s="161" t="s"/>
      <c r="W80" s="161" t="s"/>
      <c r="X80" s="161" t="s"/>
      <c r="Y80" s="161" t="s"/>
      <c r="Z80" s="161" t="s"/>
    </row>
    <row r="81" spans="1:26" customHeight="false">
      <c r="A81" s="121" t="s"/>
      <c r="B81" s="188" t="s"/>
      <c r="C81" s="188" t="s"/>
      <c r="D81" s="121" t="s"/>
      <c r="E81" s="121" t="s"/>
      <c r="F81" s="121" t="s"/>
      <c r="G81" s="121" t="s"/>
      <c r="H81" s="121" t="s"/>
      <c r="I81" s="161" t="s"/>
      <c r="J81" s="187" t="s"/>
      <c r="K81" s="187" t="s"/>
      <c r="L81" s="187" t="s"/>
      <c r="M81" s="161" t="s"/>
      <c r="N81" s="161" t="s"/>
      <c r="O81" s="161" t="s"/>
      <c r="P81" s="161" t="s"/>
      <c r="Q81" s="161" t="s"/>
      <c r="R81" s="161" t="s"/>
      <c r="S81" s="161" t="s"/>
      <c r="T81" s="161" t="s"/>
      <c r="U81" s="161" t="s"/>
      <c r="V81" s="161" t="s"/>
      <c r="W81" s="161" t="s"/>
      <c r="X81" s="161" t="s"/>
      <c r="Y81" s="161" t="s"/>
      <c r="Z81" s="161" t="s"/>
    </row>
    <row r="82" spans="1:26" customHeight="false">
      <c r="A82" s="121" t="s"/>
      <c r="B82" s="188" t="s"/>
      <c r="C82" s="188" t="s"/>
      <c r="D82" s="121" t="s"/>
      <c r="E82" s="121" t="s"/>
      <c r="F82" s="121" t="s"/>
      <c r="G82" s="121" t="s"/>
      <c r="H82" s="121" t="s"/>
      <c r="I82" s="161" t="s"/>
      <c r="J82" s="187" t="s"/>
      <c r="K82" s="187" t="s"/>
      <c r="L82" s="187" t="s"/>
      <c r="M82" s="161" t="s"/>
      <c r="N82" s="161" t="s"/>
      <c r="O82" s="161" t="s"/>
      <c r="P82" s="161" t="s"/>
      <c r="Q82" s="161" t="s"/>
      <c r="R82" s="161" t="s"/>
      <c r="S82" s="161" t="s"/>
      <c r="T82" s="161" t="s"/>
      <c r="U82" s="161" t="s"/>
      <c r="V82" s="161" t="s"/>
      <c r="W82" s="161" t="s"/>
      <c r="X82" s="161" t="s"/>
      <c r="Y82" s="161" t="s"/>
      <c r="Z82" s="161" t="s"/>
    </row>
    <row r="83" spans="1:26" customHeight="false">
      <c r="A83" s="121" t="s"/>
      <c r="B83" s="188" t="s"/>
      <c r="C83" s="188" t="s"/>
      <c r="D83" s="121" t="s"/>
      <c r="E83" s="121" t="s"/>
      <c r="F83" s="121" t="s"/>
      <c r="G83" s="121" t="s"/>
      <c r="H83" s="121" t="s"/>
      <c r="I83" s="161" t="s"/>
      <c r="J83" s="187" t="s"/>
      <c r="K83" s="187" t="s"/>
      <c r="L83" s="187" t="s"/>
      <c r="M83" s="161" t="s"/>
      <c r="N83" s="161" t="s"/>
      <c r="O83" s="161" t="s"/>
      <c r="P83" s="161" t="s"/>
      <c r="Q83" s="161" t="s"/>
      <c r="R83" s="161" t="s"/>
      <c r="S83" s="161" t="s"/>
      <c r="T83" s="161" t="s"/>
      <c r="U83" s="161" t="s"/>
      <c r="V83" s="161" t="s"/>
      <c r="W83" s="161" t="s"/>
      <c r="X83" s="161" t="s"/>
      <c r="Y83" s="161" t="s"/>
      <c r="Z83" s="161" t="s"/>
    </row>
    <row r="84" spans="1:26" customHeight="false">
      <c r="A84" s="121" t="s"/>
      <c r="B84" s="188" t="s"/>
      <c r="C84" s="188" t="s"/>
      <c r="D84" s="121" t="s"/>
      <c r="E84" s="121" t="s"/>
      <c r="F84" s="121" t="s"/>
      <c r="G84" s="121" t="s"/>
      <c r="H84" s="121" t="s"/>
      <c r="I84" s="161" t="s"/>
      <c r="J84" s="187" t="s"/>
      <c r="K84" s="187" t="s"/>
      <c r="L84" s="187" t="s"/>
      <c r="M84" s="161" t="s"/>
      <c r="N84" s="161" t="s"/>
      <c r="O84" s="161" t="s"/>
      <c r="P84" s="161" t="s"/>
      <c r="Q84" s="161" t="s"/>
      <c r="R84" s="161" t="s"/>
      <c r="S84" s="161" t="s"/>
      <c r="T84" s="161" t="s"/>
      <c r="U84" s="161" t="s"/>
      <c r="V84" s="161" t="s"/>
      <c r="W84" s="161" t="s"/>
      <c r="X84" s="161" t="s"/>
      <c r="Y84" s="161" t="s"/>
      <c r="Z84" s="161" t="s"/>
    </row>
    <row r="85" spans="1:26" customHeight="false">
      <c r="A85" s="121" t="s"/>
      <c r="B85" s="188" t="s"/>
      <c r="C85" s="188" t="s"/>
      <c r="D85" s="121" t="s"/>
      <c r="E85" s="121" t="s"/>
      <c r="F85" s="121" t="s"/>
      <c r="G85" s="121" t="s"/>
      <c r="H85" s="121" t="s"/>
      <c r="I85" s="161" t="s"/>
      <c r="J85" s="187" t="s"/>
      <c r="K85" s="187" t="s"/>
      <c r="L85" s="187" t="s"/>
      <c r="M85" s="161" t="s"/>
      <c r="N85" s="161" t="s"/>
      <c r="O85" s="161" t="s"/>
      <c r="P85" s="161" t="s"/>
      <c r="Q85" s="161" t="s"/>
      <c r="R85" s="161" t="s"/>
      <c r="S85" s="161" t="s"/>
      <c r="T85" s="161" t="s"/>
      <c r="U85" s="161" t="s"/>
      <c r="V85" s="161" t="s"/>
      <c r="W85" s="161" t="s"/>
      <c r="X85" s="161" t="s"/>
      <c r="Y85" s="161" t="s"/>
      <c r="Z85" s="161" t="s"/>
    </row>
    <row r="86" spans="1:26" customHeight="false">
      <c r="A86" s="121" t="s"/>
      <c r="B86" s="188" t="s"/>
      <c r="C86" s="188" t="s"/>
      <c r="D86" s="121" t="s"/>
      <c r="E86" s="121" t="s"/>
      <c r="F86" s="121" t="s"/>
      <c r="G86" s="121" t="s"/>
      <c r="H86" s="121" t="s"/>
      <c r="I86" s="161" t="s"/>
      <c r="J86" s="187" t="s"/>
      <c r="K86" s="187" t="s"/>
      <c r="L86" s="187" t="s"/>
      <c r="M86" s="161" t="s"/>
      <c r="N86" s="161" t="s"/>
      <c r="O86" s="161" t="s"/>
      <c r="P86" s="161" t="s"/>
      <c r="Q86" s="161" t="s"/>
      <c r="R86" s="161" t="s"/>
      <c r="S86" s="161" t="s"/>
      <c r="T86" s="161" t="s"/>
      <c r="U86" s="161" t="s"/>
      <c r="V86" s="161" t="s"/>
      <c r="W86" s="161" t="s"/>
      <c r="X86" s="161" t="s"/>
      <c r="Y86" s="161" t="s"/>
      <c r="Z86" s="161" t="s"/>
    </row>
    <row r="87" spans="1:26" customHeight="false">
      <c r="A87" s="121" t="s"/>
      <c r="B87" s="188" t="s"/>
      <c r="C87" s="188" t="s"/>
      <c r="D87" s="121" t="s"/>
      <c r="E87" s="121" t="s"/>
      <c r="F87" s="121" t="s"/>
      <c r="G87" s="121" t="s"/>
      <c r="H87" s="121" t="s"/>
      <c r="I87" s="161" t="s"/>
      <c r="J87" s="187" t="s"/>
      <c r="K87" s="187" t="s"/>
      <c r="L87" s="187" t="s"/>
      <c r="M87" s="161" t="s"/>
      <c r="N87" s="161" t="s"/>
      <c r="O87" s="161" t="s"/>
      <c r="P87" s="161" t="s"/>
      <c r="Q87" s="161" t="s"/>
      <c r="R87" s="161" t="s"/>
      <c r="S87" s="161" t="s"/>
      <c r="T87" s="161" t="s"/>
      <c r="U87" s="161" t="s"/>
      <c r="V87" s="161" t="s"/>
      <c r="W87" s="161" t="s"/>
      <c r="X87" s="161" t="s"/>
      <c r="Y87" s="161" t="s"/>
      <c r="Z87" s="161" t="s"/>
    </row>
    <row r="88" spans="1:26" customHeight="false">
      <c r="A88" s="121" t="s"/>
      <c r="B88" s="188" t="s"/>
      <c r="C88" s="188" t="s"/>
      <c r="D88" s="121" t="s"/>
      <c r="E88" s="121" t="s"/>
      <c r="F88" s="121" t="s"/>
      <c r="G88" s="121" t="s"/>
      <c r="H88" s="121" t="s"/>
      <c r="I88" s="161" t="s"/>
      <c r="J88" s="187" t="s"/>
      <c r="K88" s="187" t="s"/>
      <c r="L88" s="187" t="s"/>
      <c r="M88" s="161" t="s"/>
      <c r="N88" s="161" t="s"/>
      <c r="O88" s="161" t="s"/>
      <c r="P88" s="161" t="s"/>
      <c r="Q88" s="161" t="s"/>
      <c r="R88" s="161" t="s"/>
      <c r="S88" s="161" t="s"/>
      <c r="T88" s="161" t="s"/>
      <c r="U88" s="161" t="s"/>
      <c r="V88" s="161" t="s"/>
      <c r="W88" s="161" t="s"/>
      <c r="X88" s="161" t="s"/>
      <c r="Y88" s="161" t="s"/>
      <c r="Z88" s="161" t="s"/>
    </row>
    <row r="89" spans="1:26" customHeight="false">
      <c r="A89" s="121" t="s"/>
      <c r="B89" s="188" t="s"/>
      <c r="C89" s="188" t="s"/>
      <c r="D89" s="121" t="s"/>
      <c r="E89" s="121" t="s"/>
      <c r="F89" s="121" t="s"/>
      <c r="G89" s="121" t="s"/>
      <c r="H89" s="121" t="s"/>
      <c r="I89" s="161" t="s"/>
      <c r="J89" s="187" t="s"/>
      <c r="K89" s="187" t="s"/>
      <c r="L89" s="187" t="s"/>
      <c r="M89" s="161" t="s"/>
      <c r="N89" s="161" t="s"/>
      <c r="O89" s="161" t="s"/>
      <c r="P89" s="161" t="s"/>
      <c r="Q89" s="161" t="s"/>
      <c r="R89" s="161" t="s"/>
      <c r="S89" s="161" t="s"/>
      <c r="T89" s="161" t="s"/>
      <c r="U89" s="161" t="s"/>
      <c r="V89" s="161" t="s"/>
      <c r="W89" s="161" t="s"/>
      <c r="X89" s="161" t="s"/>
      <c r="Y89" s="161" t="s"/>
      <c r="Z89" s="161" t="s"/>
    </row>
    <row r="90" spans="1:26" customHeight="false">
      <c r="A90" s="121" t="s"/>
      <c r="B90" s="188" t="s"/>
      <c r="C90" s="188" t="s"/>
      <c r="D90" s="121" t="s"/>
      <c r="E90" s="121" t="s"/>
      <c r="F90" s="121" t="s"/>
      <c r="G90" s="121" t="s"/>
      <c r="H90" s="121" t="s"/>
      <c r="I90" s="161" t="s"/>
      <c r="J90" s="187" t="s"/>
      <c r="K90" s="187" t="s"/>
      <c r="L90" s="187" t="s"/>
      <c r="M90" s="161" t="s"/>
      <c r="N90" s="161" t="s"/>
      <c r="O90" s="161" t="s"/>
      <c r="P90" s="161" t="s"/>
      <c r="Q90" s="161" t="s"/>
      <c r="R90" s="161" t="s"/>
      <c r="S90" s="161" t="s"/>
      <c r="T90" s="161" t="s"/>
      <c r="U90" s="161" t="s"/>
      <c r="V90" s="161" t="s"/>
      <c r="W90" s="161" t="s"/>
      <c r="X90" s="161" t="s"/>
      <c r="Y90" s="161" t="s"/>
      <c r="Z90" s="161" t="s"/>
    </row>
    <row r="91" spans="1:26" customHeight="false">
      <c r="A91" s="121" t="s"/>
      <c r="B91" s="188" t="s"/>
      <c r="C91" s="188" t="s"/>
      <c r="D91" s="121" t="s"/>
      <c r="E91" s="121" t="s"/>
      <c r="F91" s="121" t="s"/>
      <c r="G91" s="121" t="s"/>
      <c r="H91" s="121" t="s"/>
      <c r="I91" s="161" t="s"/>
      <c r="J91" s="187" t="s"/>
      <c r="K91" s="187" t="s"/>
      <c r="L91" s="187" t="s"/>
      <c r="M91" s="161" t="s"/>
      <c r="N91" s="161" t="s"/>
      <c r="O91" s="161" t="s"/>
      <c r="P91" s="161" t="s"/>
      <c r="Q91" s="161" t="s"/>
      <c r="R91" s="161" t="s"/>
      <c r="S91" s="161" t="s"/>
      <c r="T91" s="161" t="s"/>
      <c r="U91" s="161" t="s"/>
      <c r="V91" s="161" t="s"/>
      <c r="W91" s="161" t="s"/>
      <c r="X91" s="161" t="s"/>
      <c r="Y91" s="161" t="s"/>
      <c r="Z91" s="161" t="s"/>
    </row>
    <row r="92" spans="1:26" customHeight="false">
      <c r="A92" s="121" t="s"/>
      <c r="B92" s="188" t="s"/>
      <c r="C92" s="188" t="s"/>
      <c r="D92" s="121" t="s"/>
      <c r="E92" s="121" t="s"/>
      <c r="F92" s="121" t="s"/>
      <c r="G92" s="121" t="s"/>
      <c r="H92" s="121" t="s"/>
      <c r="I92" s="161" t="s"/>
      <c r="J92" s="187" t="s"/>
      <c r="K92" s="187" t="s"/>
      <c r="L92" s="187" t="s"/>
      <c r="M92" s="161" t="s"/>
      <c r="N92" s="161" t="s"/>
      <c r="O92" s="161" t="s"/>
      <c r="P92" s="161" t="s"/>
      <c r="Q92" s="161" t="s"/>
      <c r="R92" s="161" t="s"/>
      <c r="S92" s="161" t="s"/>
      <c r="T92" s="161" t="s"/>
      <c r="U92" s="161" t="s"/>
      <c r="V92" s="161" t="s"/>
      <c r="W92" s="161" t="s"/>
      <c r="X92" s="161" t="s"/>
      <c r="Y92" s="161" t="s"/>
      <c r="Z92" s="161" t="s"/>
    </row>
    <row r="93" spans="1:26" customHeight="false">
      <c r="A93" s="121" t="s"/>
      <c r="B93" s="188" t="s"/>
      <c r="C93" s="188" t="s"/>
      <c r="D93" s="121" t="s"/>
      <c r="E93" s="121" t="s"/>
      <c r="F93" s="121" t="s"/>
      <c r="G93" s="121" t="s"/>
      <c r="H93" s="121" t="s"/>
      <c r="I93" s="161" t="s"/>
      <c r="J93" s="187" t="s"/>
      <c r="K93" s="187" t="s"/>
      <c r="L93" s="187" t="s"/>
      <c r="M93" s="161" t="s"/>
      <c r="N93" s="161" t="s"/>
      <c r="O93" s="161" t="s"/>
      <c r="P93" s="161" t="s"/>
      <c r="Q93" s="161" t="s"/>
      <c r="R93" s="161" t="s"/>
      <c r="S93" s="161" t="s"/>
      <c r="T93" s="161" t="s"/>
      <c r="U93" s="161" t="s"/>
      <c r="V93" s="161" t="s"/>
      <c r="W93" s="161" t="s"/>
      <c r="X93" s="161" t="s"/>
      <c r="Y93" s="161" t="s"/>
      <c r="Z93" s="161" t="s"/>
    </row>
    <row r="94" spans="1:26" customHeight="false">
      <c r="A94" s="121" t="s"/>
      <c r="B94" s="188" t="s"/>
      <c r="C94" s="188" t="s"/>
      <c r="D94" s="121" t="s"/>
      <c r="E94" s="121" t="s"/>
      <c r="F94" s="121" t="s"/>
      <c r="G94" s="121" t="s"/>
      <c r="H94" s="121" t="s"/>
      <c r="I94" s="161" t="s"/>
      <c r="J94" s="187" t="s"/>
      <c r="K94" s="187" t="s"/>
      <c r="L94" s="187" t="s"/>
      <c r="M94" s="161" t="s"/>
      <c r="N94" s="161" t="s"/>
      <c r="O94" s="161" t="s"/>
      <c r="P94" s="161" t="s"/>
      <c r="Q94" s="161" t="s"/>
      <c r="R94" s="161" t="s"/>
      <c r="S94" s="161" t="s"/>
      <c r="T94" s="161" t="s"/>
      <c r="U94" s="161" t="s"/>
      <c r="V94" s="161" t="s"/>
      <c r="W94" s="161" t="s"/>
      <c r="X94" s="161" t="s"/>
      <c r="Y94" s="161" t="s"/>
      <c r="Z94" s="161" t="s"/>
    </row>
    <row r="95" spans="1:26" customHeight="false">
      <c r="A95" s="121" t="s"/>
      <c r="B95" s="188" t="s"/>
      <c r="C95" s="188" t="s"/>
      <c r="D95" s="121" t="s"/>
      <c r="E95" s="121" t="s"/>
      <c r="F95" s="121" t="s"/>
      <c r="G95" s="121" t="s"/>
      <c r="H95" s="121" t="s"/>
      <c r="I95" s="161" t="s"/>
      <c r="J95" s="187" t="s"/>
      <c r="K95" s="187" t="s"/>
      <c r="L95" s="187" t="s"/>
      <c r="M95" s="161" t="s"/>
      <c r="N95" s="161" t="s"/>
      <c r="O95" s="161" t="s"/>
      <c r="P95" s="161" t="s"/>
      <c r="Q95" s="161" t="s"/>
      <c r="R95" s="161" t="s"/>
      <c r="S95" s="161" t="s"/>
      <c r="T95" s="161" t="s"/>
      <c r="U95" s="161" t="s"/>
      <c r="V95" s="161" t="s"/>
      <c r="W95" s="161" t="s"/>
      <c r="X95" s="161" t="s"/>
      <c r="Y95" s="161" t="s"/>
      <c r="Z95" s="161" t="s"/>
    </row>
    <row r="96" spans="1:26" customHeight="false">
      <c r="A96" s="121" t="s"/>
      <c r="B96" s="188" t="s"/>
      <c r="C96" s="188" t="s"/>
      <c r="D96" s="121" t="s"/>
      <c r="E96" s="121" t="s"/>
      <c r="F96" s="121" t="s"/>
      <c r="G96" s="121" t="s"/>
      <c r="H96" s="121" t="s"/>
      <c r="I96" s="161" t="s"/>
      <c r="J96" s="187" t="s"/>
      <c r="K96" s="187" t="s"/>
      <c r="L96" s="187" t="s"/>
      <c r="M96" s="161" t="s"/>
      <c r="N96" s="161" t="s"/>
      <c r="O96" s="161" t="s"/>
      <c r="P96" s="161" t="s"/>
      <c r="Q96" s="161" t="s"/>
      <c r="R96" s="161" t="s"/>
      <c r="S96" s="161" t="s"/>
      <c r="T96" s="161" t="s"/>
      <c r="U96" s="161" t="s"/>
      <c r="V96" s="161" t="s"/>
      <c r="W96" s="161" t="s"/>
      <c r="X96" s="161" t="s"/>
      <c r="Y96" s="161" t="s"/>
      <c r="Z96" s="161" t="s"/>
    </row>
    <row r="97" spans="1:26" customHeight="false">
      <c r="A97" s="121" t="s"/>
      <c r="B97" s="188" t="s"/>
      <c r="C97" s="188" t="s"/>
      <c r="D97" s="121" t="s"/>
      <c r="E97" s="121" t="s"/>
      <c r="F97" s="121" t="s"/>
      <c r="G97" s="121" t="s"/>
      <c r="H97" s="121" t="s"/>
      <c r="I97" s="161" t="s"/>
      <c r="J97" s="187" t="s"/>
      <c r="K97" s="187" t="s"/>
      <c r="L97" s="187" t="s"/>
      <c r="M97" s="161" t="s"/>
      <c r="N97" s="161" t="s"/>
      <c r="O97" s="161" t="s"/>
      <c r="P97" s="161" t="s"/>
      <c r="Q97" s="161" t="s"/>
      <c r="R97" s="161" t="s"/>
      <c r="S97" s="161" t="s"/>
      <c r="T97" s="161" t="s"/>
      <c r="U97" s="161" t="s"/>
      <c r="V97" s="161" t="s"/>
      <c r="W97" s="161" t="s"/>
      <c r="X97" s="161" t="s"/>
      <c r="Y97" s="161" t="s"/>
      <c r="Z97" s="161" t="s"/>
    </row>
    <row r="98" spans="1:26" customHeight="false">
      <c r="A98" s="121" t="s"/>
      <c r="B98" s="188" t="s"/>
      <c r="C98" s="188" t="s"/>
      <c r="D98" s="121" t="s"/>
      <c r="E98" s="121" t="s"/>
      <c r="F98" s="121" t="s"/>
      <c r="G98" s="121" t="s"/>
      <c r="H98" s="121" t="s"/>
      <c r="I98" s="161" t="s"/>
      <c r="J98" s="187" t="s"/>
      <c r="K98" s="187" t="s"/>
      <c r="L98" s="187" t="s"/>
      <c r="M98" s="161" t="s"/>
      <c r="N98" s="161" t="s"/>
      <c r="O98" s="161" t="s"/>
      <c r="P98" s="161" t="s"/>
      <c r="Q98" s="161" t="s"/>
      <c r="R98" s="161" t="s"/>
      <c r="S98" s="161" t="s"/>
      <c r="T98" s="161" t="s"/>
      <c r="U98" s="161" t="s"/>
      <c r="V98" s="161" t="s"/>
      <c r="W98" s="161" t="s"/>
      <c r="X98" s="161" t="s"/>
      <c r="Y98" s="161" t="s"/>
      <c r="Z98" s="161" t="s"/>
    </row>
    <row r="99" spans="1:26" customHeight="false">
      <c r="A99" s="121" t="s"/>
      <c r="B99" s="188" t="s"/>
      <c r="C99" s="188" t="s"/>
      <c r="D99" s="121" t="s"/>
      <c r="E99" s="121" t="s"/>
      <c r="F99" s="121" t="s"/>
      <c r="G99" s="121" t="s"/>
      <c r="H99" s="121" t="s"/>
      <c r="I99" s="161" t="s"/>
      <c r="J99" s="187" t="s"/>
      <c r="K99" s="187" t="s"/>
      <c r="L99" s="187" t="s"/>
      <c r="M99" s="161" t="s"/>
      <c r="N99" s="161" t="s"/>
      <c r="O99" s="161" t="s"/>
      <c r="P99" s="161" t="s"/>
      <c r="Q99" s="161" t="s"/>
      <c r="R99" s="161" t="s"/>
      <c r="S99" s="161" t="s"/>
      <c r="T99" s="161" t="s"/>
      <c r="U99" s="161" t="s"/>
      <c r="V99" s="161" t="s"/>
      <c r="W99" s="161" t="s"/>
      <c r="X99" s="161" t="s"/>
      <c r="Y99" s="161" t="s"/>
      <c r="Z99" s="161" t="s"/>
    </row>
    <row r="100" spans="1:26" customHeight="false">
      <c r="A100" s="121" t="s"/>
      <c r="B100" s="188" t="s"/>
      <c r="C100" s="188" t="s"/>
      <c r="D100" s="121" t="s"/>
      <c r="E100" s="121" t="s"/>
      <c r="F100" s="121" t="s"/>
      <c r="G100" s="121" t="s"/>
      <c r="H100" s="121" t="s"/>
      <c r="I100" s="161" t="s"/>
      <c r="J100" s="187" t="s"/>
      <c r="K100" s="187" t="s"/>
      <c r="L100" s="187" t="s"/>
      <c r="M100" s="161" t="s"/>
      <c r="N100" s="161" t="s"/>
      <c r="O100" s="161" t="s"/>
      <c r="P100" s="161" t="s"/>
      <c r="Q100" s="161" t="s"/>
      <c r="R100" s="161" t="s"/>
      <c r="S100" s="161" t="s"/>
      <c r="T100" s="161" t="s"/>
      <c r="U100" s="161" t="s"/>
      <c r="V100" s="161" t="s"/>
      <c r="W100" s="161" t="s"/>
      <c r="X100" s="161" t="s"/>
      <c r="Y100" s="161" t="s"/>
      <c r="Z100" s="161" t="s"/>
    </row>
    <row r="101" spans="1:26" customHeight="false">
      <c r="A101" s="121" t="s"/>
      <c r="B101" s="188" t="s"/>
      <c r="C101" s="188" t="s"/>
      <c r="D101" s="121" t="s"/>
      <c r="E101" s="121" t="s"/>
      <c r="F101" s="121" t="s"/>
      <c r="G101" s="121" t="s"/>
      <c r="H101" s="121" t="s"/>
      <c r="I101" s="161" t="s"/>
      <c r="J101" s="187" t="s"/>
      <c r="K101" s="187" t="s"/>
      <c r="L101" s="187" t="s"/>
      <c r="M101" s="161" t="s"/>
      <c r="N101" s="161" t="s"/>
      <c r="O101" s="161" t="s"/>
      <c r="P101" s="161" t="s"/>
      <c r="Q101" s="161" t="s"/>
      <c r="R101" s="161" t="s"/>
      <c r="S101" s="161" t="s"/>
      <c r="T101" s="161" t="s"/>
      <c r="U101" s="161" t="s"/>
      <c r="V101" s="161" t="s"/>
      <c r="W101" s="161" t="s"/>
      <c r="X101" s="161" t="s"/>
      <c r="Y101" s="161" t="s"/>
      <c r="Z101" s="161" t="s"/>
    </row>
    <row r="102" spans="1:26" customHeight="false">
      <c r="A102" s="121" t="s"/>
      <c r="B102" s="188" t="s"/>
      <c r="C102" s="188" t="s"/>
      <c r="D102" s="121" t="s"/>
      <c r="E102" s="121" t="s"/>
      <c r="F102" s="121" t="s"/>
      <c r="G102" s="121" t="s"/>
      <c r="H102" s="121" t="s"/>
      <c r="I102" s="161" t="s"/>
      <c r="J102" s="187" t="s"/>
      <c r="K102" s="187" t="s"/>
      <c r="L102" s="187" t="s"/>
      <c r="M102" s="161" t="s"/>
      <c r="N102" s="161" t="s"/>
      <c r="O102" s="161" t="s"/>
      <c r="P102" s="161" t="s"/>
      <c r="Q102" s="161" t="s"/>
      <c r="R102" s="161" t="s"/>
      <c r="S102" s="161" t="s"/>
      <c r="T102" s="161" t="s"/>
      <c r="U102" s="161" t="s"/>
      <c r="V102" s="161" t="s"/>
      <c r="W102" s="161" t="s"/>
      <c r="X102" s="161" t="s"/>
      <c r="Y102" s="161" t="s"/>
      <c r="Z102" s="161" t="s"/>
    </row>
    <row r="103" spans="1:26" customHeight="false">
      <c r="A103" s="121" t="s"/>
      <c r="B103" s="188" t="s"/>
      <c r="C103" s="188" t="s"/>
      <c r="D103" s="121" t="s"/>
      <c r="E103" s="121" t="s"/>
      <c r="F103" s="121" t="s"/>
      <c r="G103" s="121" t="s"/>
      <c r="H103" s="121" t="s"/>
      <c r="I103" s="161" t="s"/>
      <c r="J103" s="187" t="s"/>
      <c r="K103" s="187" t="s"/>
      <c r="L103" s="187" t="s"/>
      <c r="M103" s="161" t="s"/>
      <c r="N103" s="161" t="s"/>
      <c r="O103" s="161" t="s"/>
      <c r="P103" s="161" t="s"/>
      <c r="Q103" s="161" t="s"/>
      <c r="R103" s="161" t="s"/>
      <c r="S103" s="161" t="s"/>
      <c r="T103" s="161" t="s"/>
      <c r="U103" s="161" t="s"/>
      <c r="V103" s="161" t="s"/>
      <c r="W103" s="161" t="s"/>
      <c r="X103" s="161" t="s"/>
      <c r="Y103" s="161" t="s"/>
      <c r="Z103" s="161" t="s"/>
    </row>
    <row r="104" spans="1:26" customHeight="false">
      <c r="A104" s="121" t="s"/>
      <c r="B104" s="188" t="s"/>
      <c r="C104" s="188" t="s"/>
      <c r="D104" s="121" t="s"/>
      <c r="E104" s="121" t="s"/>
      <c r="F104" s="121" t="s"/>
      <c r="G104" s="121" t="s"/>
      <c r="H104" s="121" t="s"/>
      <c r="I104" s="161" t="s"/>
      <c r="J104" s="187" t="s"/>
      <c r="K104" s="187" t="s"/>
      <c r="L104" s="187" t="s"/>
      <c r="M104" s="161" t="s"/>
      <c r="N104" s="161" t="s"/>
      <c r="O104" s="161" t="s"/>
      <c r="P104" s="161" t="s"/>
      <c r="Q104" s="161" t="s"/>
      <c r="R104" s="161" t="s"/>
      <c r="S104" s="161" t="s"/>
      <c r="T104" s="161" t="s"/>
      <c r="U104" s="161" t="s"/>
      <c r="V104" s="161" t="s"/>
      <c r="W104" s="161" t="s"/>
      <c r="X104" s="161" t="s"/>
      <c r="Y104" s="161" t="s"/>
      <c r="Z104" s="161" t="s"/>
    </row>
    <row r="105" spans="1:26" customHeight="false">
      <c r="A105" s="121" t="s"/>
      <c r="B105" s="188" t="s"/>
      <c r="C105" s="188" t="s"/>
      <c r="D105" s="121" t="s"/>
      <c r="E105" s="121" t="s"/>
      <c r="F105" s="121" t="s"/>
      <c r="G105" s="121" t="s"/>
      <c r="H105" s="121" t="s"/>
      <c r="I105" s="161" t="s"/>
      <c r="J105" s="187" t="s"/>
      <c r="K105" s="187" t="s"/>
      <c r="L105" s="187" t="s"/>
      <c r="M105" s="161" t="s"/>
      <c r="N105" s="161" t="s"/>
      <c r="O105" s="161" t="s"/>
      <c r="P105" s="161" t="s"/>
      <c r="Q105" s="161" t="s"/>
      <c r="R105" s="161" t="s"/>
      <c r="S105" s="161" t="s"/>
      <c r="T105" s="161" t="s"/>
      <c r="U105" s="161" t="s"/>
      <c r="V105" s="161" t="s"/>
      <c r="W105" s="161" t="s"/>
      <c r="X105" s="161" t="s"/>
      <c r="Y105" s="161" t="s"/>
      <c r="Z105" s="161" t="s"/>
    </row>
    <row r="106" spans="1:26" customHeight="false">
      <c r="A106" s="121" t="s"/>
      <c r="B106" s="188" t="s"/>
      <c r="C106" s="188" t="s"/>
      <c r="D106" s="121" t="s"/>
      <c r="E106" s="121" t="s"/>
      <c r="F106" s="121" t="s"/>
      <c r="G106" s="121" t="s"/>
      <c r="H106" s="121" t="s"/>
      <c r="I106" s="161" t="s"/>
      <c r="J106" s="187" t="s"/>
      <c r="K106" s="187" t="s"/>
      <c r="L106" s="187" t="s"/>
      <c r="M106" s="161" t="s"/>
      <c r="N106" s="161" t="s"/>
      <c r="O106" s="161" t="s"/>
      <c r="P106" s="161" t="s"/>
      <c r="Q106" s="161" t="s"/>
      <c r="R106" s="161" t="s"/>
      <c r="S106" s="161" t="s"/>
      <c r="T106" s="161" t="s"/>
      <c r="U106" s="161" t="s"/>
      <c r="V106" s="161" t="s"/>
      <c r="W106" s="161" t="s"/>
      <c r="X106" s="161" t="s"/>
      <c r="Y106" s="161" t="s"/>
      <c r="Z106" s="161" t="s"/>
    </row>
    <row r="107" spans="1:26" customHeight="false">
      <c r="A107" s="121" t="s"/>
      <c r="B107" s="188" t="s"/>
      <c r="C107" s="188" t="s"/>
      <c r="D107" s="121" t="s"/>
      <c r="E107" s="121" t="s"/>
      <c r="F107" s="121" t="s"/>
      <c r="G107" s="121" t="s"/>
      <c r="H107" s="121" t="s"/>
      <c r="I107" s="161" t="s"/>
      <c r="J107" s="187" t="s"/>
      <c r="K107" s="187" t="s"/>
      <c r="L107" s="187" t="s"/>
      <c r="M107" s="161" t="s"/>
      <c r="N107" s="161" t="s"/>
      <c r="O107" s="161" t="s"/>
      <c r="P107" s="161" t="s"/>
      <c r="Q107" s="161" t="s"/>
      <c r="R107" s="161" t="s"/>
      <c r="S107" s="161" t="s"/>
      <c r="T107" s="161" t="s"/>
      <c r="U107" s="161" t="s"/>
      <c r="V107" s="161" t="s"/>
      <c r="W107" s="161" t="s"/>
      <c r="X107" s="161" t="s"/>
      <c r="Y107" s="161" t="s"/>
      <c r="Z107" s="161" t="s"/>
    </row>
    <row r="108" spans="1:26" customHeight="false">
      <c r="A108" s="121" t="s"/>
      <c r="B108" s="188" t="s"/>
      <c r="C108" s="188" t="s"/>
      <c r="D108" s="121" t="s"/>
      <c r="E108" s="121" t="s"/>
      <c r="F108" s="121" t="s"/>
      <c r="G108" s="121" t="s"/>
      <c r="H108" s="121" t="s"/>
      <c r="I108" s="161" t="s"/>
      <c r="J108" s="187" t="s"/>
      <c r="K108" s="187" t="s"/>
      <c r="L108" s="187" t="s"/>
      <c r="M108" s="161" t="s"/>
      <c r="N108" s="161" t="s"/>
      <c r="O108" s="161" t="s"/>
      <c r="P108" s="161" t="s"/>
      <c r="Q108" s="161" t="s"/>
      <c r="R108" s="161" t="s"/>
      <c r="S108" s="161" t="s"/>
      <c r="T108" s="161" t="s"/>
      <c r="U108" s="161" t="s"/>
      <c r="V108" s="161" t="s"/>
      <c r="W108" s="161" t="s"/>
      <c r="X108" s="161" t="s"/>
      <c r="Y108" s="161" t="s"/>
      <c r="Z108" s="161" t="s"/>
    </row>
    <row r="109" spans="1:26" customHeight="false">
      <c r="A109" s="121" t="s"/>
      <c r="B109" s="188" t="s"/>
      <c r="C109" s="188" t="s"/>
      <c r="D109" s="121" t="s"/>
      <c r="E109" s="121" t="s"/>
      <c r="F109" s="121" t="s"/>
      <c r="G109" s="121" t="s"/>
      <c r="H109" s="121" t="s"/>
      <c r="I109" s="161" t="s"/>
      <c r="J109" s="187" t="s"/>
      <c r="K109" s="187" t="s"/>
      <c r="L109" s="187" t="s"/>
      <c r="M109" s="161" t="s"/>
      <c r="N109" s="161" t="s"/>
      <c r="O109" s="161" t="s"/>
      <c r="P109" s="161" t="s"/>
      <c r="Q109" s="161" t="s"/>
      <c r="R109" s="161" t="s"/>
      <c r="S109" s="161" t="s"/>
      <c r="T109" s="161" t="s"/>
      <c r="U109" s="161" t="s"/>
      <c r="V109" s="161" t="s"/>
      <c r="W109" s="161" t="s"/>
      <c r="X109" s="161" t="s"/>
      <c r="Y109" s="161" t="s"/>
      <c r="Z109" s="161" t="s"/>
    </row>
    <row r="110" spans="1:26" customHeight="false">
      <c r="A110" s="121" t="s"/>
      <c r="B110" s="188" t="s"/>
      <c r="C110" s="188" t="s"/>
      <c r="D110" s="121" t="s"/>
      <c r="E110" s="121" t="s"/>
      <c r="F110" s="121" t="s"/>
      <c r="G110" s="121" t="s"/>
      <c r="H110" s="121" t="s"/>
      <c r="I110" s="161" t="s"/>
      <c r="J110" s="187" t="s"/>
      <c r="K110" s="187" t="s"/>
      <c r="L110" s="187" t="s"/>
      <c r="M110" s="161" t="s"/>
      <c r="N110" s="161" t="s"/>
      <c r="O110" s="161" t="s"/>
      <c r="P110" s="161" t="s"/>
      <c r="Q110" s="161" t="s"/>
      <c r="R110" s="161" t="s"/>
      <c r="S110" s="161" t="s"/>
      <c r="T110" s="161" t="s"/>
      <c r="U110" s="161" t="s"/>
      <c r="V110" s="161" t="s"/>
      <c r="W110" s="161" t="s"/>
      <c r="X110" s="161" t="s"/>
      <c r="Y110" s="161" t="s"/>
      <c r="Z110" s="161" t="s"/>
    </row>
    <row r="111" spans="1:26" customHeight="false">
      <c r="A111" s="121" t="s"/>
      <c r="B111" s="188" t="s"/>
      <c r="C111" s="188" t="s"/>
      <c r="D111" s="121" t="s"/>
      <c r="E111" s="121" t="s"/>
      <c r="F111" s="121" t="s"/>
      <c r="G111" s="121" t="s"/>
      <c r="H111" s="121" t="s"/>
      <c r="I111" s="161" t="s"/>
      <c r="J111" s="187" t="s"/>
      <c r="K111" s="187" t="s"/>
      <c r="L111" s="187" t="s"/>
      <c r="M111" s="161" t="s"/>
      <c r="N111" s="161" t="s"/>
      <c r="O111" s="161" t="s"/>
      <c r="P111" s="161" t="s"/>
      <c r="Q111" s="161" t="s"/>
      <c r="R111" s="161" t="s"/>
      <c r="S111" s="161" t="s"/>
      <c r="T111" s="161" t="s"/>
      <c r="U111" s="161" t="s"/>
      <c r="V111" s="161" t="s"/>
      <c r="W111" s="161" t="s"/>
      <c r="X111" s="161" t="s"/>
      <c r="Y111" s="161" t="s"/>
      <c r="Z111" s="161" t="s"/>
    </row>
    <row r="112" spans="1:26" customHeight="false">
      <c r="A112" s="121" t="s"/>
      <c r="B112" s="188" t="s"/>
      <c r="C112" s="188" t="s"/>
      <c r="D112" s="121" t="s"/>
      <c r="E112" s="121" t="s"/>
      <c r="F112" s="121" t="s"/>
      <c r="G112" s="121" t="s"/>
      <c r="H112" s="121" t="s"/>
      <c r="I112" s="161" t="s"/>
      <c r="J112" s="187" t="s"/>
      <c r="K112" s="187" t="s"/>
      <c r="L112" s="187" t="s"/>
      <c r="M112" s="161" t="s"/>
      <c r="N112" s="161" t="s"/>
      <c r="O112" s="161" t="s"/>
      <c r="P112" s="161" t="s"/>
      <c r="Q112" s="161" t="s"/>
      <c r="R112" s="161" t="s"/>
      <c r="S112" s="161" t="s"/>
      <c r="T112" s="161" t="s"/>
      <c r="U112" s="161" t="s"/>
      <c r="V112" s="161" t="s"/>
      <c r="W112" s="161" t="s"/>
      <c r="X112" s="161" t="s"/>
      <c r="Y112" s="161" t="s"/>
      <c r="Z112" s="161" t="s"/>
    </row>
    <row r="113" spans="1:26" customHeight="false">
      <c r="A113" s="121" t="s"/>
      <c r="B113" s="188" t="s"/>
      <c r="C113" s="188" t="s"/>
      <c r="D113" s="121" t="s"/>
      <c r="E113" s="121" t="s"/>
      <c r="F113" s="121" t="s"/>
      <c r="G113" s="121" t="s"/>
      <c r="H113" s="121" t="s"/>
      <c r="I113" s="161" t="s"/>
      <c r="J113" s="187" t="s"/>
      <c r="K113" s="187" t="s"/>
      <c r="L113" s="187" t="s"/>
      <c r="M113" s="161" t="s"/>
      <c r="N113" s="161" t="s"/>
      <c r="O113" s="161" t="s"/>
      <c r="P113" s="161" t="s"/>
      <c r="Q113" s="161" t="s"/>
      <c r="R113" s="161" t="s"/>
      <c r="S113" s="161" t="s"/>
      <c r="T113" s="161" t="s"/>
      <c r="U113" s="161" t="s"/>
      <c r="V113" s="161" t="s"/>
      <c r="W113" s="161" t="s"/>
      <c r="X113" s="161" t="s"/>
      <c r="Y113" s="161" t="s"/>
      <c r="Z113" s="161" t="s"/>
    </row>
    <row r="114" spans="1:26" customHeight="false">
      <c r="A114" s="121" t="s"/>
      <c r="B114" s="188" t="s"/>
      <c r="C114" s="188" t="s"/>
      <c r="D114" s="121" t="s"/>
      <c r="E114" s="121" t="s"/>
      <c r="F114" s="121" t="s"/>
      <c r="G114" s="121" t="s"/>
      <c r="H114" s="121" t="s"/>
      <c r="I114" s="161" t="s"/>
      <c r="J114" s="187" t="s"/>
      <c r="K114" s="187" t="s"/>
      <c r="L114" s="187" t="s"/>
      <c r="M114" s="161" t="s"/>
      <c r="N114" s="161" t="s"/>
      <c r="O114" s="161" t="s"/>
      <c r="P114" s="161" t="s"/>
      <c r="Q114" s="161" t="s"/>
      <c r="R114" s="161" t="s"/>
      <c r="S114" s="161" t="s"/>
      <c r="T114" s="161" t="s"/>
      <c r="U114" s="161" t="s"/>
      <c r="V114" s="161" t="s"/>
      <c r="W114" s="161" t="s"/>
      <c r="X114" s="161" t="s"/>
      <c r="Y114" s="161" t="s"/>
      <c r="Z114" s="161" t="s"/>
    </row>
    <row r="115" spans="1:26" customHeight="false">
      <c r="A115" s="121" t="s"/>
      <c r="B115" s="188" t="s"/>
      <c r="C115" s="188" t="s"/>
      <c r="D115" s="121" t="s"/>
      <c r="E115" s="121" t="s"/>
      <c r="F115" s="121" t="s"/>
      <c r="G115" s="121" t="s"/>
      <c r="H115" s="121" t="s"/>
      <c r="I115" s="161" t="s"/>
      <c r="J115" s="187" t="s"/>
      <c r="K115" s="187" t="s"/>
      <c r="L115" s="187" t="s"/>
      <c r="M115" s="161" t="s"/>
      <c r="N115" s="161" t="s"/>
      <c r="O115" s="161" t="s"/>
      <c r="P115" s="161" t="s"/>
      <c r="Q115" s="161" t="s"/>
      <c r="R115" s="161" t="s"/>
      <c r="S115" s="161" t="s"/>
      <c r="T115" s="161" t="s"/>
      <c r="U115" s="161" t="s"/>
      <c r="V115" s="161" t="s"/>
      <c r="W115" s="161" t="s"/>
      <c r="X115" s="161" t="s"/>
      <c r="Y115" s="161" t="s"/>
      <c r="Z115" s="161" t="s"/>
    </row>
    <row r="116" spans="1:26" customHeight="false">
      <c r="A116" s="121" t="s"/>
      <c r="B116" s="188" t="s"/>
      <c r="C116" s="188" t="s"/>
      <c r="D116" s="121" t="s"/>
      <c r="E116" s="121" t="s"/>
      <c r="F116" s="121" t="s"/>
      <c r="G116" s="121" t="s"/>
      <c r="H116" s="121" t="s"/>
      <c r="I116" s="161" t="s"/>
      <c r="J116" s="187" t="s"/>
      <c r="K116" s="187" t="s"/>
      <c r="L116" s="187" t="s"/>
      <c r="M116" s="161" t="s"/>
      <c r="N116" s="161" t="s"/>
      <c r="O116" s="161" t="s"/>
      <c r="P116" s="161" t="s"/>
      <c r="Q116" s="161" t="s"/>
      <c r="R116" s="161" t="s"/>
      <c r="S116" s="161" t="s"/>
      <c r="T116" s="161" t="s"/>
      <c r="U116" s="161" t="s"/>
      <c r="V116" s="161" t="s"/>
      <c r="W116" s="161" t="s"/>
      <c r="X116" s="161" t="s"/>
      <c r="Y116" s="161" t="s"/>
      <c r="Z116" s="161" t="s"/>
    </row>
    <row r="117" spans="1:26" customHeight="false">
      <c r="A117" s="121" t="s"/>
      <c r="B117" s="188" t="s"/>
      <c r="C117" s="188" t="s"/>
      <c r="D117" s="121" t="s"/>
      <c r="E117" s="121" t="s"/>
      <c r="F117" s="121" t="s"/>
      <c r="G117" s="121" t="s"/>
      <c r="H117" s="121" t="s"/>
      <c r="I117" s="161" t="s"/>
      <c r="J117" s="187" t="s"/>
      <c r="K117" s="187" t="s"/>
      <c r="L117" s="187" t="s"/>
      <c r="M117" s="161" t="s"/>
      <c r="N117" s="161" t="s"/>
      <c r="O117" s="161" t="s"/>
      <c r="P117" s="161" t="s"/>
      <c r="Q117" s="161" t="s"/>
      <c r="R117" s="161" t="s"/>
      <c r="S117" s="161" t="s"/>
      <c r="T117" s="161" t="s"/>
      <c r="U117" s="161" t="s"/>
      <c r="V117" s="161" t="s"/>
      <c r="W117" s="161" t="s"/>
      <c r="X117" s="161" t="s"/>
      <c r="Y117" s="161" t="s"/>
      <c r="Z117" s="161" t="s"/>
    </row>
    <row r="118" spans="1:26" customHeight="false">
      <c r="A118" s="121" t="s"/>
      <c r="B118" s="188" t="s"/>
      <c r="C118" s="188" t="s"/>
      <c r="D118" s="121" t="s"/>
      <c r="E118" s="121" t="s"/>
      <c r="F118" s="121" t="s"/>
      <c r="G118" s="121" t="s"/>
      <c r="H118" s="121" t="s"/>
      <c r="I118" s="161" t="s"/>
      <c r="J118" s="187" t="s"/>
      <c r="K118" s="187" t="s"/>
      <c r="L118" s="187" t="s"/>
      <c r="M118" s="161" t="s"/>
      <c r="N118" s="161" t="s"/>
      <c r="O118" s="161" t="s"/>
      <c r="P118" s="161" t="s"/>
      <c r="Q118" s="161" t="s"/>
      <c r="R118" s="161" t="s"/>
      <c r="S118" s="161" t="s"/>
      <c r="T118" s="161" t="s"/>
      <c r="U118" s="161" t="s"/>
      <c r="V118" s="161" t="s"/>
      <c r="W118" s="161" t="s"/>
      <c r="X118" s="161" t="s"/>
      <c r="Y118" s="161" t="s"/>
      <c r="Z118" s="161" t="s"/>
    </row>
    <row r="119" spans="1:26" customHeight="false">
      <c r="A119" s="121" t="s"/>
      <c r="B119" s="188" t="s"/>
      <c r="C119" s="188" t="s"/>
      <c r="D119" s="121" t="s"/>
      <c r="E119" s="121" t="s"/>
      <c r="F119" s="121" t="s"/>
      <c r="G119" s="121" t="s"/>
      <c r="H119" s="121" t="s"/>
      <c r="I119" s="161" t="s"/>
      <c r="J119" s="187" t="s"/>
      <c r="K119" s="187" t="s"/>
      <c r="L119" s="187" t="s"/>
      <c r="M119" s="161" t="s"/>
      <c r="N119" s="161" t="s"/>
      <c r="O119" s="161" t="s"/>
      <c r="P119" s="161" t="s"/>
      <c r="Q119" s="161" t="s"/>
      <c r="R119" s="161" t="s"/>
      <c r="S119" s="161" t="s"/>
      <c r="T119" s="161" t="s"/>
      <c r="U119" s="161" t="s"/>
      <c r="V119" s="161" t="s"/>
      <c r="W119" s="161" t="s"/>
      <c r="X119" s="161" t="s"/>
      <c r="Y119" s="161" t="s"/>
      <c r="Z119" s="161" t="s"/>
    </row>
    <row r="120" spans="1:26" customHeight="false">
      <c r="A120" s="121" t="s"/>
      <c r="B120" s="188" t="s"/>
      <c r="C120" s="188" t="s"/>
      <c r="D120" s="121" t="s"/>
      <c r="E120" s="121" t="s"/>
      <c r="F120" s="121" t="s"/>
      <c r="G120" s="121" t="s"/>
      <c r="H120" s="121" t="s"/>
      <c r="I120" s="161" t="s"/>
      <c r="J120" s="187" t="s"/>
      <c r="K120" s="187" t="s"/>
      <c r="L120" s="187" t="s"/>
      <c r="M120" s="161" t="s"/>
      <c r="N120" s="161" t="s"/>
      <c r="O120" s="161" t="s"/>
      <c r="P120" s="161" t="s"/>
      <c r="Q120" s="161" t="s"/>
      <c r="R120" s="161" t="s"/>
      <c r="S120" s="161" t="s"/>
      <c r="T120" s="161" t="s"/>
      <c r="U120" s="161" t="s"/>
      <c r="V120" s="161" t="s"/>
      <c r="W120" s="161" t="s"/>
      <c r="X120" s="161" t="s"/>
      <c r="Y120" s="161" t="s"/>
      <c r="Z120" s="161" t="s"/>
    </row>
    <row r="121" spans="1:26" customHeight="false">
      <c r="A121" s="121" t="s"/>
      <c r="B121" s="188" t="s"/>
      <c r="C121" s="188" t="s"/>
      <c r="D121" s="121" t="s"/>
      <c r="E121" s="121" t="s"/>
      <c r="F121" s="121" t="s"/>
      <c r="G121" s="121" t="s"/>
      <c r="H121" s="121" t="s"/>
      <c r="I121" s="161" t="s"/>
      <c r="J121" s="187" t="s"/>
      <c r="K121" s="187" t="s"/>
      <c r="L121" s="187" t="s"/>
      <c r="M121" s="161" t="s"/>
      <c r="N121" s="161" t="s"/>
      <c r="O121" s="161" t="s"/>
      <c r="P121" s="161" t="s"/>
      <c r="Q121" s="161" t="s"/>
      <c r="R121" s="161" t="s"/>
      <c r="S121" s="161" t="s"/>
      <c r="T121" s="161" t="s"/>
      <c r="U121" s="161" t="s"/>
      <c r="V121" s="161" t="s"/>
      <c r="W121" s="161" t="s"/>
      <c r="X121" s="161" t="s"/>
      <c r="Y121" s="161" t="s"/>
      <c r="Z121" s="161" t="s"/>
    </row>
    <row r="122" spans="1:26" customHeight="false">
      <c r="A122" s="121" t="s"/>
      <c r="B122" s="188" t="s"/>
      <c r="C122" s="188" t="s"/>
      <c r="D122" s="121" t="s"/>
      <c r="E122" s="121" t="s"/>
      <c r="F122" s="121" t="s"/>
      <c r="G122" s="121" t="s"/>
      <c r="H122" s="121" t="s"/>
      <c r="I122" s="161" t="s"/>
      <c r="J122" s="187" t="s"/>
      <c r="K122" s="187" t="s"/>
      <c r="L122" s="187" t="s"/>
      <c r="M122" s="161" t="s"/>
      <c r="N122" s="161" t="s"/>
      <c r="O122" s="161" t="s"/>
      <c r="P122" s="161" t="s"/>
      <c r="Q122" s="161" t="s"/>
      <c r="R122" s="161" t="s"/>
      <c r="S122" s="161" t="s"/>
      <c r="T122" s="161" t="s"/>
      <c r="U122" s="161" t="s"/>
      <c r="V122" s="161" t="s"/>
      <c r="W122" s="161" t="s"/>
      <c r="X122" s="161" t="s"/>
      <c r="Y122" s="161" t="s"/>
      <c r="Z122" s="161" t="s"/>
    </row>
    <row r="123" spans="1:26" customHeight="false">
      <c r="A123" s="121" t="s"/>
      <c r="B123" s="188" t="s"/>
      <c r="C123" s="188" t="s"/>
      <c r="D123" s="121" t="s"/>
      <c r="E123" s="121" t="s"/>
      <c r="F123" s="121" t="s"/>
      <c r="G123" s="121" t="s"/>
      <c r="H123" s="121" t="s"/>
      <c r="I123" s="161" t="s"/>
      <c r="J123" s="187" t="s"/>
      <c r="K123" s="187" t="s"/>
      <c r="L123" s="187" t="s"/>
      <c r="M123" s="161" t="s"/>
      <c r="N123" s="161" t="s"/>
      <c r="O123" s="161" t="s"/>
      <c r="P123" s="161" t="s"/>
      <c r="Q123" s="161" t="s"/>
      <c r="R123" s="161" t="s"/>
      <c r="S123" s="161" t="s"/>
      <c r="T123" s="161" t="s"/>
      <c r="U123" s="161" t="s"/>
      <c r="V123" s="161" t="s"/>
      <c r="W123" s="161" t="s"/>
      <c r="X123" s="161" t="s"/>
      <c r="Y123" s="161" t="s"/>
      <c r="Z123" s="161" t="s"/>
    </row>
    <row r="124" spans="1:26" customHeight="false">
      <c r="A124" s="121" t="s"/>
      <c r="B124" s="188" t="s"/>
      <c r="C124" s="188" t="s"/>
      <c r="D124" s="121" t="s"/>
      <c r="E124" s="121" t="s"/>
      <c r="F124" s="121" t="s"/>
      <c r="G124" s="121" t="s"/>
      <c r="H124" s="121" t="s"/>
      <c r="I124" s="161" t="s"/>
      <c r="J124" s="187" t="s"/>
      <c r="K124" s="187" t="s"/>
      <c r="L124" s="187" t="s"/>
      <c r="M124" s="161" t="s"/>
      <c r="N124" s="161" t="s"/>
      <c r="O124" s="161" t="s"/>
      <c r="P124" s="161" t="s"/>
      <c r="Q124" s="161" t="s"/>
      <c r="R124" s="161" t="s"/>
      <c r="S124" s="161" t="s"/>
      <c r="T124" s="161" t="s"/>
      <c r="U124" s="161" t="s"/>
      <c r="V124" s="161" t="s"/>
      <c r="W124" s="161" t="s"/>
      <c r="X124" s="161" t="s"/>
      <c r="Y124" s="161" t="s"/>
      <c r="Z124" s="161" t="s"/>
    </row>
    <row r="125" spans="1:26" customHeight="false">
      <c r="A125" s="121" t="s"/>
      <c r="B125" s="188" t="s"/>
      <c r="C125" s="188" t="s"/>
      <c r="D125" s="121" t="s"/>
      <c r="E125" s="121" t="s"/>
      <c r="F125" s="121" t="s"/>
      <c r="G125" s="121" t="s"/>
      <c r="H125" s="121" t="s"/>
      <c r="I125" s="161" t="s"/>
      <c r="J125" s="187" t="s"/>
      <c r="K125" s="187" t="s"/>
      <c r="L125" s="187" t="s"/>
      <c r="M125" s="161" t="s"/>
      <c r="N125" s="161" t="s"/>
      <c r="O125" s="161" t="s"/>
      <c r="P125" s="161" t="s"/>
      <c r="Q125" s="161" t="s"/>
      <c r="R125" s="161" t="s"/>
      <c r="S125" s="161" t="s"/>
      <c r="T125" s="161" t="s"/>
      <c r="U125" s="161" t="s"/>
      <c r="V125" s="161" t="s"/>
      <c r="W125" s="161" t="s"/>
      <c r="X125" s="161" t="s"/>
      <c r="Y125" s="161" t="s"/>
      <c r="Z125" s="161" t="s"/>
    </row>
    <row r="126" spans="1:26" customHeight="false">
      <c r="A126" s="121" t="s"/>
      <c r="B126" s="188" t="s"/>
      <c r="C126" s="188" t="s"/>
      <c r="D126" s="121" t="s"/>
      <c r="E126" s="121" t="s"/>
      <c r="F126" s="121" t="s"/>
      <c r="G126" s="121" t="s"/>
      <c r="H126" s="121" t="s"/>
      <c r="I126" s="161" t="s"/>
      <c r="J126" s="187" t="s"/>
      <c r="K126" s="187" t="s"/>
      <c r="L126" s="187" t="s"/>
      <c r="M126" s="161" t="s"/>
      <c r="N126" s="161" t="s"/>
      <c r="O126" s="161" t="s"/>
      <c r="P126" s="161" t="s"/>
      <c r="Q126" s="161" t="s"/>
      <c r="R126" s="161" t="s"/>
      <c r="S126" s="161" t="s"/>
      <c r="T126" s="161" t="s"/>
      <c r="U126" s="161" t="s"/>
      <c r="V126" s="161" t="s"/>
      <c r="W126" s="161" t="s"/>
      <c r="X126" s="161" t="s"/>
      <c r="Y126" s="161" t="s"/>
      <c r="Z126" s="161" t="s"/>
    </row>
    <row r="127" spans="1:26" customHeight="false">
      <c r="A127" s="121" t="s"/>
      <c r="B127" s="188" t="s"/>
      <c r="C127" s="188" t="s"/>
      <c r="D127" s="121" t="s"/>
      <c r="E127" s="121" t="s"/>
      <c r="F127" s="121" t="s"/>
      <c r="G127" s="121" t="s"/>
      <c r="H127" s="121" t="s"/>
      <c r="I127" s="161" t="s"/>
      <c r="J127" s="187" t="s"/>
      <c r="K127" s="187" t="s"/>
      <c r="L127" s="187" t="s"/>
      <c r="M127" s="161" t="s"/>
      <c r="N127" s="161" t="s"/>
      <c r="O127" s="161" t="s"/>
      <c r="P127" s="161" t="s"/>
      <c r="Q127" s="161" t="s"/>
      <c r="R127" s="161" t="s"/>
      <c r="S127" s="161" t="s"/>
      <c r="T127" s="161" t="s"/>
      <c r="U127" s="161" t="s"/>
      <c r="V127" s="161" t="s"/>
      <c r="W127" s="161" t="s"/>
      <c r="X127" s="161" t="s"/>
      <c r="Y127" s="161" t="s"/>
      <c r="Z127" s="161" t="s"/>
    </row>
    <row r="128" spans="1:26" customHeight="false">
      <c r="A128" s="121" t="s"/>
      <c r="B128" s="188" t="s"/>
      <c r="C128" s="188" t="s"/>
      <c r="D128" s="121" t="s"/>
      <c r="E128" s="121" t="s"/>
      <c r="F128" s="121" t="s"/>
      <c r="G128" s="121" t="s"/>
      <c r="H128" s="121" t="s"/>
      <c r="I128" s="161" t="s"/>
      <c r="J128" s="187" t="s"/>
      <c r="K128" s="187" t="s"/>
      <c r="L128" s="187" t="s"/>
      <c r="M128" s="161" t="s"/>
      <c r="N128" s="161" t="s"/>
      <c r="O128" s="161" t="s"/>
      <c r="P128" s="161" t="s"/>
      <c r="Q128" s="161" t="s"/>
      <c r="R128" s="161" t="s"/>
      <c r="S128" s="161" t="s"/>
      <c r="T128" s="161" t="s"/>
      <c r="U128" s="161" t="s"/>
      <c r="V128" s="161" t="s"/>
      <c r="W128" s="161" t="s"/>
      <c r="X128" s="161" t="s"/>
      <c r="Y128" s="161" t="s"/>
      <c r="Z128" s="161" t="s"/>
    </row>
    <row r="129" spans="1:26" customHeight="false">
      <c r="A129" s="121" t="s"/>
      <c r="B129" s="188" t="s"/>
      <c r="C129" s="188" t="s"/>
      <c r="D129" s="121" t="s"/>
      <c r="E129" s="121" t="s"/>
      <c r="F129" s="121" t="s"/>
      <c r="G129" s="121" t="s"/>
      <c r="H129" s="121" t="s"/>
      <c r="I129" s="161" t="s"/>
      <c r="J129" s="187" t="s"/>
      <c r="K129" s="187" t="s"/>
      <c r="L129" s="187" t="s"/>
      <c r="M129" s="161" t="s"/>
      <c r="N129" s="161" t="s"/>
      <c r="O129" s="161" t="s"/>
      <c r="P129" s="161" t="s"/>
      <c r="Q129" s="161" t="s"/>
      <c r="R129" s="161" t="s"/>
      <c r="S129" s="161" t="s"/>
      <c r="T129" s="161" t="s"/>
      <c r="U129" s="161" t="s"/>
      <c r="V129" s="161" t="s"/>
      <c r="W129" s="161" t="s"/>
      <c r="X129" s="161" t="s"/>
      <c r="Y129" s="161" t="s"/>
      <c r="Z129" s="161" t="s"/>
    </row>
    <row r="130" spans="1:26" customHeight="false">
      <c r="A130" s="121" t="s"/>
      <c r="B130" s="188" t="s"/>
      <c r="C130" s="188" t="s"/>
      <c r="D130" s="121" t="s"/>
      <c r="E130" s="121" t="s"/>
      <c r="F130" s="121" t="s"/>
      <c r="G130" s="121" t="s"/>
      <c r="H130" s="121" t="s"/>
      <c r="I130" s="161" t="s"/>
      <c r="J130" s="187" t="s"/>
      <c r="K130" s="187" t="s"/>
      <c r="L130" s="187" t="s"/>
      <c r="M130" s="161" t="s"/>
      <c r="N130" s="161" t="s"/>
      <c r="O130" s="161" t="s"/>
      <c r="P130" s="161" t="s"/>
      <c r="Q130" s="161" t="s"/>
      <c r="R130" s="161" t="s"/>
      <c r="S130" s="161" t="s"/>
      <c r="T130" s="161" t="s"/>
      <c r="U130" s="161" t="s"/>
      <c r="V130" s="161" t="s"/>
      <c r="W130" s="161" t="s"/>
      <c r="X130" s="161" t="s"/>
      <c r="Y130" s="161" t="s"/>
      <c r="Z130" s="161" t="s"/>
    </row>
    <row r="131" spans="1:26" customHeight="false">
      <c r="A131" s="121" t="s"/>
      <c r="B131" s="188" t="s"/>
      <c r="C131" s="188" t="s"/>
      <c r="D131" s="121" t="s"/>
      <c r="E131" s="121" t="s"/>
      <c r="F131" s="121" t="s"/>
      <c r="G131" s="121" t="s"/>
      <c r="H131" s="121" t="s"/>
      <c r="I131" s="161" t="s"/>
      <c r="J131" s="187" t="s"/>
      <c r="K131" s="187" t="s"/>
      <c r="L131" s="187" t="s"/>
      <c r="M131" s="161" t="s"/>
      <c r="N131" s="161" t="s"/>
      <c r="O131" s="161" t="s"/>
      <c r="P131" s="161" t="s"/>
      <c r="Q131" s="161" t="s"/>
      <c r="R131" s="161" t="s"/>
      <c r="S131" s="161" t="s"/>
      <c r="T131" s="161" t="s"/>
      <c r="U131" s="161" t="s"/>
      <c r="V131" s="161" t="s"/>
      <c r="W131" s="161" t="s"/>
      <c r="X131" s="161" t="s"/>
      <c r="Y131" s="161" t="s"/>
      <c r="Z131" s="161" t="s"/>
    </row>
    <row r="132" spans="1:26" customHeight="false">
      <c r="A132" s="121" t="s"/>
      <c r="B132" s="188" t="s"/>
      <c r="C132" s="188" t="s"/>
      <c r="D132" s="121" t="s"/>
      <c r="E132" s="121" t="s"/>
      <c r="F132" s="121" t="s"/>
      <c r="G132" s="121" t="s"/>
      <c r="H132" s="121" t="s"/>
      <c r="I132" s="161" t="s"/>
      <c r="J132" s="187" t="s"/>
      <c r="K132" s="187" t="s"/>
      <c r="L132" s="187" t="s"/>
      <c r="M132" s="161" t="s"/>
      <c r="N132" s="161" t="s"/>
      <c r="O132" s="161" t="s"/>
      <c r="P132" s="161" t="s"/>
      <c r="Q132" s="161" t="s"/>
      <c r="R132" s="161" t="s"/>
      <c r="S132" s="161" t="s"/>
      <c r="T132" s="161" t="s"/>
      <c r="U132" s="161" t="s"/>
      <c r="V132" s="161" t="s"/>
      <c r="W132" s="161" t="s"/>
      <c r="X132" s="161" t="s"/>
      <c r="Y132" s="161" t="s"/>
      <c r="Z132" s="161" t="s"/>
    </row>
    <row r="133" spans="1:26" customHeight="false">
      <c r="A133" s="121" t="s"/>
      <c r="B133" s="188" t="s"/>
      <c r="C133" s="188" t="s"/>
      <c r="D133" s="121" t="s"/>
      <c r="E133" s="121" t="s"/>
      <c r="F133" s="121" t="s"/>
      <c r="G133" s="121" t="s"/>
      <c r="H133" s="121" t="s"/>
      <c r="I133" s="161" t="s"/>
      <c r="J133" s="187" t="s"/>
      <c r="K133" s="187" t="s"/>
      <c r="L133" s="187" t="s"/>
      <c r="M133" s="161" t="s"/>
      <c r="N133" s="161" t="s"/>
      <c r="O133" s="161" t="s"/>
      <c r="P133" s="161" t="s"/>
      <c r="Q133" s="161" t="s"/>
      <c r="R133" s="161" t="s"/>
      <c r="S133" s="161" t="s"/>
      <c r="T133" s="161" t="s"/>
      <c r="U133" s="161" t="s"/>
      <c r="V133" s="161" t="s"/>
      <c r="W133" s="161" t="s"/>
      <c r="X133" s="161" t="s"/>
      <c r="Y133" s="161" t="s"/>
      <c r="Z133" s="161" t="s"/>
    </row>
    <row r="134" spans="1:26" customHeight="false">
      <c r="A134" s="121" t="s"/>
      <c r="B134" s="188" t="s"/>
      <c r="C134" s="188" t="s"/>
      <c r="D134" s="121" t="s"/>
      <c r="E134" s="121" t="s"/>
      <c r="F134" s="121" t="s"/>
      <c r="G134" s="121" t="s"/>
      <c r="H134" s="121" t="s"/>
      <c r="I134" s="161" t="s"/>
      <c r="J134" s="187" t="s"/>
      <c r="K134" s="187" t="s"/>
      <c r="L134" s="187" t="s"/>
      <c r="M134" s="161" t="s"/>
      <c r="N134" s="161" t="s"/>
      <c r="O134" s="161" t="s"/>
      <c r="P134" s="161" t="s"/>
      <c r="Q134" s="161" t="s"/>
      <c r="R134" s="161" t="s"/>
      <c r="S134" s="161" t="s"/>
      <c r="T134" s="161" t="s"/>
      <c r="U134" s="161" t="s"/>
      <c r="V134" s="161" t="s"/>
      <c r="W134" s="161" t="s"/>
      <c r="X134" s="161" t="s"/>
      <c r="Y134" s="161" t="s"/>
      <c r="Z134" s="161" t="s"/>
    </row>
    <row r="135" spans="1:26" customHeight="false">
      <c r="A135" s="121" t="s"/>
      <c r="B135" s="188" t="s"/>
      <c r="C135" s="188" t="s"/>
      <c r="D135" s="121" t="s"/>
      <c r="E135" s="121" t="s"/>
      <c r="F135" s="121" t="s"/>
      <c r="G135" s="121" t="s"/>
      <c r="H135" s="121" t="s"/>
      <c r="I135" s="161" t="s"/>
      <c r="J135" s="187" t="s"/>
      <c r="K135" s="187" t="s"/>
      <c r="L135" s="187" t="s"/>
      <c r="M135" s="161" t="s"/>
      <c r="N135" s="161" t="s"/>
      <c r="O135" s="161" t="s"/>
      <c r="P135" s="161" t="s"/>
      <c r="Q135" s="161" t="s"/>
      <c r="R135" s="161" t="s"/>
      <c r="S135" s="161" t="s"/>
      <c r="T135" s="161" t="s"/>
      <c r="U135" s="161" t="s"/>
      <c r="V135" s="161" t="s"/>
      <c r="W135" s="161" t="s"/>
      <c r="X135" s="161" t="s"/>
      <c r="Y135" s="161" t="s"/>
      <c r="Z135" s="161" t="s"/>
    </row>
    <row r="136" spans="1:26" customHeight="false">
      <c r="A136" s="121" t="s"/>
      <c r="B136" s="188" t="s"/>
      <c r="C136" s="188" t="s"/>
      <c r="D136" s="121" t="s"/>
      <c r="E136" s="121" t="s"/>
      <c r="F136" s="121" t="s"/>
      <c r="G136" s="121" t="s"/>
      <c r="H136" s="121" t="s"/>
      <c r="I136" s="161" t="s"/>
      <c r="J136" s="187" t="s"/>
      <c r="K136" s="187" t="s"/>
      <c r="L136" s="187" t="s"/>
      <c r="M136" s="161" t="s"/>
      <c r="N136" s="161" t="s"/>
      <c r="O136" s="161" t="s"/>
      <c r="P136" s="161" t="s"/>
      <c r="Q136" s="161" t="s"/>
      <c r="R136" s="161" t="s"/>
      <c r="S136" s="161" t="s"/>
      <c r="T136" s="161" t="s"/>
      <c r="U136" s="161" t="s"/>
      <c r="V136" s="161" t="s"/>
      <c r="W136" s="161" t="s"/>
      <c r="X136" s="161" t="s"/>
      <c r="Y136" s="161" t="s"/>
      <c r="Z136" s="161" t="s"/>
    </row>
    <row r="137" spans="1:26" customHeight="false">
      <c r="A137" s="121" t="s"/>
      <c r="B137" s="188" t="s"/>
      <c r="C137" s="188" t="s"/>
      <c r="D137" s="121" t="s"/>
      <c r="E137" s="121" t="s"/>
      <c r="F137" s="121" t="s"/>
      <c r="G137" s="121" t="s"/>
      <c r="H137" s="121" t="s"/>
      <c r="I137" s="161" t="s"/>
      <c r="J137" s="187" t="s"/>
      <c r="K137" s="187" t="s"/>
      <c r="L137" s="187" t="s"/>
      <c r="M137" s="161" t="s"/>
      <c r="N137" s="161" t="s"/>
      <c r="O137" s="161" t="s"/>
      <c r="P137" s="161" t="s"/>
      <c r="Q137" s="161" t="s"/>
      <c r="R137" s="161" t="s"/>
      <c r="S137" s="161" t="s"/>
      <c r="T137" s="161" t="s"/>
      <c r="U137" s="161" t="s"/>
      <c r="V137" s="161" t="s"/>
      <c r="W137" s="161" t="s"/>
      <c r="X137" s="161" t="s"/>
      <c r="Y137" s="161" t="s"/>
      <c r="Z137" s="161" t="s"/>
    </row>
    <row r="138" spans="1:26" customHeight="false">
      <c r="A138" s="121" t="s"/>
      <c r="B138" s="188" t="s"/>
      <c r="C138" s="188" t="s"/>
      <c r="D138" s="121" t="s"/>
      <c r="E138" s="121" t="s"/>
      <c r="F138" s="121" t="s"/>
      <c r="G138" s="121" t="s"/>
      <c r="H138" s="121" t="s"/>
      <c r="I138" s="161" t="s"/>
      <c r="J138" s="187" t="s"/>
      <c r="K138" s="187" t="s"/>
      <c r="L138" s="187" t="s"/>
      <c r="M138" s="161" t="s"/>
      <c r="N138" s="161" t="s"/>
      <c r="O138" s="161" t="s"/>
      <c r="P138" s="161" t="s"/>
      <c r="Q138" s="161" t="s"/>
      <c r="R138" s="161" t="s"/>
      <c r="S138" s="161" t="s"/>
      <c r="T138" s="161" t="s"/>
      <c r="U138" s="161" t="s"/>
      <c r="V138" s="161" t="s"/>
      <c r="W138" s="161" t="s"/>
      <c r="X138" s="161" t="s"/>
      <c r="Y138" s="161" t="s"/>
      <c r="Z138" s="161" t="s"/>
    </row>
    <row r="139" spans="1:26" customHeight="false">
      <c r="A139" s="121" t="s"/>
      <c r="B139" s="188" t="s"/>
      <c r="C139" s="188" t="s"/>
      <c r="D139" s="121" t="s"/>
      <c r="E139" s="121" t="s"/>
      <c r="F139" s="121" t="s"/>
      <c r="G139" s="121" t="s"/>
      <c r="H139" s="121" t="s"/>
      <c r="I139" s="161" t="s"/>
      <c r="J139" s="187" t="s"/>
      <c r="K139" s="187" t="s"/>
      <c r="L139" s="187" t="s"/>
      <c r="M139" s="161" t="s"/>
      <c r="N139" s="161" t="s"/>
      <c r="O139" s="161" t="s"/>
      <c r="P139" s="161" t="s"/>
      <c r="Q139" s="161" t="s"/>
      <c r="R139" s="161" t="s"/>
      <c r="S139" s="161" t="s"/>
      <c r="T139" s="161" t="s"/>
      <c r="U139" s="161" t="s"/>
      <c r="V139" s="161" t="s"/>
      <c r="W139" s="161" t="s"/>
      <c r="X139" s="161" t="s"/>
      <c r="Y139" s="161" t="s"/>
      <c r="Z139" s="161" t="s"/>
    </row>
    <row r="140" spans="1:26" customHeight="false">
      <c r="A140" s="121" t="s"/>
      <c r="B140" s="188" t="s"/>
      <c r="C140" s="188" t="s"/>
      <c r="D140" s="121" t="s"/>
      <c r="E140" s="121" t="s"/>
      <c r="F140" s="121" t="s"/>
      <c r="G140" s="121" t="s"/>
      <c r="H140" s="121" t="s"/>
      <c r="I140" s="161" t="s"/>
      <c r="J140" s="187" t="s"/>
      <c r="K140" s="187" t="s"/>
      <c r="L140" s="187" t="s"/>
      <c r="M140" s="161" t="s"/>
      <c r="N140" s="161" t="s"/>
      <c r="O140" s="161" t="s"/>
      <c r="P140" s="161" t="s"/>
      <c r="Q140" s="161" t="s"/>
      <c r="R140" s="161" t="s"/>
      <c r="S140" s="161" t="s"/>
      <c r="T140" s="161" t="s"/>
      <c r="U140" s="161" t="s"/>
      <c r="V140" s="161" t="s"/>
      <c r="W140" s="161" t="s"/>
      <c r="X140" s="161" t="s"/>
      <c r="Y140" s="161" t="s"/>
      <c r="Z140" s="161" t="s"/>
    </row>
    <row r="141" spans="1:26" customHeight="false">
      <c r="A141" s="121" t="s"/>
      <c r="B141" s="188" t="s"/>
      <c r="C141" s="188" t="s"/>
      <c r="D141" s="121" t="s"/>
      <c r="E141" s="121" t="s"/>
      <c r="F141" s="121" t="s"/>
      <c r="G141" s="121" t="s"/>
      <c r="H141" s="121" t="s"/>
      <c r="I141" s="161" t="s"/>
      <c r="J141" s="187" t="s"/>
      <c r="K141" s="187" t="s"/>
      <c r="L141" s="187" t="s"/>
      <c r="M141" s="161" t="s"/>
      <c r="N141" s="161" t="s"/>
      <c r="O141" s="161" t="s"/>
      <c r="P141" s="161" t="s"/>
      <c r="Q141" s="161" t="s"/>
      <c r="R141" s="161" t="s"/>
      <c r="S141" s="161" t="s"/>
      <c r="T141" s="161" t="s"/>
      <c r="U141" s="161" t="s"/>
      <c r="V141" s="161" t="s"/>
      <c r="W141" s="161" t="s"/>
      <c r="X141" s="161" t="s"/>
      <c r="Y141" s="161" t="s"/>
      <c r="Z141" s="161" t="s"/>
    </row>
    <row r="142" spans="1:26" customHeight="false">
      <c r="A142" s="121" t="s"/>
      <c r="B142" s="188" t="s"/>
      <c r="C142" s="188" t="s"/>
      <c r="D142" s="121" t="s"/>
      <c r="E142" s="121" t="s"/>
      <c r="F142" s="121" t="s"/>
      <c r="G142" s="121" t="s"/>
      <c r="H142" s="121" t="s"/>
      <c r="I142" s="161" t="s"/>
      <c r="J142" s="187" t="s"/>
      <c r="K142" s="187" t="s"/>
      <c r="L142" s="187" t="s"/>
      <c r="M142" s="161" t="s"/>
      <c r="N142" s="161" t="s"/>
      <c r="O142" s="161" t="s"/>
      <c r="P142" s="161" t="s"/>
      <c r="Q142" s="161" t="s"/>
      <c r="R142" s="161" t="s"/>
      <c r="S142" s="161" t="s"/>
      <c r="T142" s="161" t="s"/>
      <c r="U142" s="161" t="s"/>
      <c r="V142" s="161" t="s"/>
      <c r="W142" s="161" t="s"/>
      <c r="X142" s="161" t="s"/>
      <c r="Y142" s="161" t="s"/>
      <c r="Z142" s="161" t="s"/>
    </row>
    <row r="143" spans="1:26" customHeight="false">
      <c r="A143" s="121" t="s"/>
      <c r="B143" s="188" t="s"/>
      <c r="C143" s="188" t="s"/>
      <c r="D143" s="121" t="s"/>
      <c r="E143" s="121" t="s"/>
      <c r="F143" s="121" t="s"/>
      <c r="G143" s="121" t="s"/>
      <c r="H143" s="121" t="s"/>
      <c r="I143" s="161" t="s"/>
      <c r="J143" s="187" t="s"/>
      <c r="K143" s="187" t="s"/>
      <c r="L143" s="187" t="s"/>
      <c r="M143" s="161" t="s"/>
      <c r="N143" s="161" t="s"/>
      <c r="O143" s="161" t="s"/>
      <c r="P143" s="161" t="s"/>
      <c r="Q143" s="161" t="s"/>
      <c r="R143" s="161" t="s"/>
      <c r="S143" s="161" t="s"/>
      <c r="T143" s="161" t="s"/>
      <c r="U143" s="161" t="s"/>
      <c r="V143" s="161" t="s"/>
      <c r="W143" s="161" t="s"/>
      <c r="X143" s="161" t="s"/>
      <c r="Y143" s="161" t="s"/>
      <c r="Z143" s="161" t="s"/>
    </row>
    <row r="144" spans="1:26" customHeight="false">
      <c r="A144" s="121" t="s"/>
      <c r="B144" s="188" t="s"/>
      <c r="C144" s="188" t="s"/>
      <c r="D144" s="121" t="s"/>
      <c r="E144" s="121" t="s"/>
      <c r="F144" s="121" t="s"/>
      <c r="G144" s="121" t="s"/>
      <c r="H144" s="121" t="s"/>
      <c r="I144" s="161" t="s"/>
      <c r="J144" s="187" t="s"/>
      <c r="K144" s="187" t="s"/>
      <c r="L144" s="187" t="s"/>
      <c r="M144" s="161" t="s"/>
      <c r="N144" s="161" t="s"/>
      <c r="O144" s="161" t="s"/>
      <c r="P144" s="161" t="s"/>
      <c r="Q144" s="161" t="s"/>
      <c r="R144" s="161" t="s"/>
      <c r="S144" s="161" t="s"/>
      <c r="T144" s="161" t="s"/>
      <c r="U144" s="161" t="s"/>
      <c r="V144" s="161" t="s"/>
      <c r="W144" s="161" t="s"/>
      <c r="X144" s="161" t="s"/>
      <c r="Y144" s="161" t="s"/>
      <c r="Z144" s="161" t="s"/>
    </row>
    <row r="145" spans="1:26" customHeight="false">
      <c r="A145" s="121" t="s"/>
      <c r="B145" s="188" t="s"/>
      <c r="C145" s="188" t="s"/>
      <c r="D145" s="121" t="s"/>
      <c r="E145" s="121" t="s"/>
      <c r="F145" s="121" t="s"/>
      <c r="G145" s="121" t="s"/>
      <c r="H145" s="121" t="s"/>
      <c r="I145" s="161" t="s"/>
      <c r="J145" s="187" t="s"/>
      <c r="K145" s="187" t="s"/>
      <c r="L145" s="187" t="s"/>
      <c r="M145" s="161" t="s"/>
      <c r="N145" s="161" t="s"/>
      <c r="O145" s="161" t="s"/>
      <c r="P145" s="161" t="s"/>
      <c r="Q145" s="161" t="s"/>
      <c r="R145" s="161" t="s"/>
      <c r="S145" s="161" t="s"/>
      <c r="T145" s="161" t="s"/>
      <c r="U145" s="161" t="s"/>
      <c r="V145" s="161" t="s"/>
      <c r="W145" s="161" t="s"/>
      <c r="X145" s="161" t="s"/>
      <c r="Y145" s="161" t="s"/>
      <c r="Z145" s="161" t="s"/>
    </row>
    <row r="146" spans="1:26" customHeight="false">
      <c r="A146" s="121" t="s"/>
      <c r="B146" s="188" t="s"/>
      <c r="C146" s="188" t="s"/>
      <c r="D146" s="121" t="s"/>
      <c r="E146" s="121" t="s"/>
      <c r="F146" s="121" t="s"/>
      <c r="G146" s="121" t="s"/>
      <c r="H146" s="121" t="s"/>
      <c r="I146" s="161" t="s"/>
      <c r="J146" s="187" t="s"/>
      <c r="K146" s="187" t="s"/>
      <c r="L146" s="187" t="s"/>
      <c r="M146" s="161" t="s"/>
      <c r="N146" s="161" t="s"/>
      <c r="O146" s="161" t="s"/>
      <c r="P146" s="161" t="s"/>
      <c r="Q146" s="161" t="s"/>
      <c r="R146" s="161" t="s"/>
      <c r="S146" s="161" t="s"/>
      <c r="T146" s="161" t="s"/>
      <c r="U146" s="161" t="s"/>
      <c r="V146" s="161" t="s"/>
      <c r="W146" s="161" t="s"/>
      <c r="X146" s="161" t="s"/>
      <c r="Y146" s="161" t="s"/>
      <c r="Z146" s="161" t="s"/>
    </row>
    <row r="147" spans="1:26" customHeight="false">
      <c r="A147" s="121" t="s"/>
      <c r="B147" s="188" t="s"/>
      <c r="C147" s="188" t="s"/>
      <c r="D147" s="121" t="s"/>
      <c r="E147" s="121" t="s"/>
      <c r="F147" s="121" t="s"/>
      <c r="G147" s="121" t="s"/>
      <c r="H147" s="121" t="s"/>
      <c r="I147" s="161" t="s"/>
      <c r="J147" s="187" t="s"/>
      <c r="K147" s="187" t="s"/>
      <c r="L147" s="187" t="s"/>
      <c r="M147" s="161" t="s"/>
      <c r="N147" s="161" t="s"/>
      <c r="O147" s="161" t="s"/>
      <c r="P147" s="161" t="s"/>
      <c r="Q147" s="161" t="s"/>
      <c r="R147" s="161" t="s"/>
      <c r="S147" s="161" t="s"/>
      <c r="T147" s="161" t="s"/>
      <c r="U147" s="161" t="s"/>
      <c r="V147" s="161" t="s"/>
      <c r="W147" s="161" t="s"/>
      <c r="X147" s="161" t="s"/>
      <c r="Y147" s="161" t="s"/>
      <c r="Z147" s="161" t="s"/>
    </row>
    <row r="148" spans="1:26" customHeight="false">
      <c r="A148" s="121" t="s"/>
      <c r="B148" s="188" t="s"/>
      <c r="C148" s="188" t="s"/>
      <c r="D148" s="121" t="s"/>
      <c r="E148" s="121" t="s"/>
      <c r="F148" s="121" t="s"/>
      <c r="G148" s="121" t="s"/>
      <c r="H148" s="121" t="s"/>
      <c r="I148" s="161" t="s"/>
      <c r="J148" s="187" t="s"/>
      <c r="K148" s="187" t="s"/>
      <c r="L148" s="187" t="s"/>
      <c r="M148" s="161" t="s"/>
      <c r="N148" s="161" t="s"/>
      <c r="O148" s="161" t="s"/>
      <c r="P148" s="161" t="s"/>
      <c r="Q148" s="161" t="s"/>
      <c r="R148" s="161" t="s"/>
      <c r="S148" s="161" t="s"/>
      <c r="T148" s="161" t="s"/>
      <c r="U148" s="161" t="s"/>
      <c r="V148" s="161" t="s"/>
      <c r="W148" s="161" t="s"/>
      <c r="X148" s="161" t="s"/>
      <c r="Y148" s="161" t="s"/>
      <c r="Z148" s="161" t="s"/>
    </row>
    <row r="149" spans="1:26" customHeight="false">
      <c r="A149" s="121" t="s"/>
      <c r="B149" s="188" t="s"/>
      <c r="C149" s="188" t="s"/>
      <c r="D149" s="121" t="s"/>
      <c r="E149" s="121" t="s"/>
      <c r="F149" s="121" t="s"/>
      <c r="G149" s="121" t="s"/>
      <c r="H149" s="121" t="s"/>
      <c r="I149" s="161" t="s"/>
      <c r="J149" s="187" t="s"/>
      <c r="K149" s="187" t="s"/>
      <c r="L149" s="187" t="s"/>
      <c r="M149" s="161" t="s"/>
      <c r="N149" s="161" t="s"/>
      <c r="O149" s="161" t="s"/>
      <c r="P149" s="161" t="s"/>
      <c r="Q149" s="161" t="s"/>
      <c r="R149" s="161" t="s"/>
      <c r="S149" s="161" t="s"/>
      <c r="T149" s="161" t="s"/>
      <c r="U149" s="161" t="s"/>
      <c r="V149" s="161" t="s"/>
      <c r="W149" s="161" t="s"/>
      <c r="X149" s="161" t="s"/>
      <c r="Y149" s="161" t="s"/>
      <c r="Z149" s="161" t="s"/>
    </row>
    <row r="150" spans="1:26" customHeight="false">
      <c r="A150" s="121" t="s"/>
      <c r="B150" s="188" t="s"/>
      <c r="C150" s="188" t="s"/>
      <c r="D150" s="121" t="s"/>
      <c r="E150" s="121" t="s"/>
      <c r="F150" s="121" t="s"/>
      <c r="G150" s="121" t="s"/>
      <c r="H150" s="121" t="s"/>
      <c r="I150" s="161" t="s"/>
      <c r="J150" s="187" t="s"/>
      <c r="K150" s="187" t="s"/>
      <c r="L150" s="187" t="s"/>
      <c r="M150" s="161" t="s"/>
      <c r="N150" s="161" t="s"/>
      <c r="O150" s="161" t="s"/>
      <c r="P150" s="161" t="s"/>
      <c r="Q150" s="161" t="s"/>
      <c r="R150" s="161" t="s"/>
      <c r="S150" s="161" t="s"/>
      <c r="T150" s="161" t="s"/>
      <c r="U150" s="161" t="s"/>
      <c r="V150" s="161" t="s"/>
      <c r="W150" s="161" t="s"/>
      <c r="X150" s="161" t="s"/>
      <c r="Y150" s="161" t="s"/>
      <c r="Z150" s="161" t="s"/>
    </row>
    <row r="151" spans="1:26" customHeight="false">
      <c r="A151" s="121" t="s"/>
      <c r="B151" s="188" t="s"/>
      <c r="C151" s="188" t="s"/>
      <c r="D151" s="121" t="s"/>
      <c r="E151" s="121" t="s"/>
      <c r="F151" s="121" t="s"/>
      <c r="G151" s="121" t="s"/>
      <c r="H151" s="121" t="s"/>
      <c r="I151" s="161" t="s"/>
      <c r="J151" s="187" t="s"/>
      <c r="K151" s="187" t="s"/>
      <c r="L151" s="187" t="s"/>
      <c r="M151" s="161" t="s"/>
      <c r="N151" s="161" t="s"/>
      <c r="O151" s="161" t="s"/>
      <c r="P151" s="161" t="s"/>
      <c r="Q151" s="161" t="s"/>
      <c r="R151" s="161" t="s"/>
      <c r="S151" s="161" t="s"/>
      <c r="T151" s="161" t="s"/>
      <c r="U151" s="161" t="s"/>
      <c r="V151" s="161" t="s"/>
      <c r="W151" s="161" t="s"/>
      <c r="X151" s="161" t="s"/>
      <c r="Y151" s="161" t="s"/>
      <c r="Z151" s="161" t="s"/>
    </row>
    <row r="152" spans="1:26" customHeight="false">
      <c r="A152" s="121" t="s"/>
      <c r="B152" s="188" t="s"/>
      <c r="C152" s="188" t="s"/>
      <c r="D152" s="121" t="s"/>
      <c r="E152" s="121" t="s"/>
      <c r="F152" s="121" t="s"/>
      <c r="G152" s="121" t="s"/>
      <c r="H152" s="121" t="s"/>
      <c r="I152" s="161" t="s"/>
      <c r="J152" s="187" t="s"/>
      <c r="K152" s="187" t="s"/>
      <c r="L152" s="187" t="s"/>
      <c r="M152" s="161" t="s"/>
      <c r="N152" s="161" t="s"/>
      <c r="O152" s="161" t="s"/>
      <c r="P152" s="161" t="s"/>
      <c r="Q152" s="161" t="s"/>
      <c r="R152" s="161" t="s"/>
      <c r="S152" s="161" t="s"/>
      <c r="T152" s="161" t="s"/>
      <c r="U152" s="161" t="s"/>
      <c r="V152" s="161" t="s"/>
      <c r="W152" s="161" t="s"/>
      <c r="X152" s="161" t="s"/>
      <c r="Y152" s="161" t="s"/>
      <c r="Z152" s="161" t="s"/>
    </row>
    <row r="153" spans="1:26" customHeight="false">
      <c r="A153" s="121" t="s"/>
      <c r="B153" s="188" t="s"/>
      <c r="C153" s="188" t="s"/>
      <c r="D153" s="121" t="s"/>
      <c r="E153" s="121" t="s"/>
      <c r="F153" s="121" t="s"/>
      <c r="G153" s="121" t="s"/>
      <c r="H153" s="121" t="s"/>
      <c r="I153" s="161" t="s"/>
      <c r="J153" s="187" t="s"/>
      <c r="K153" s="187" t="s"/>
      <c r="L153" s="187" t="s"/>
      <c r="M153" s="161" t="s"/>
      <c r="N153" s="161" t="s"/>
      <c r="O153" s="161" t="s"/>
      <c r="P153" s="161" t="s"/>
      <c r="Q153" s="161" t="s"/>
      <c r="R153" s="161" t="s"/>
      <c r="S153" s="161" t="s"/>
      <c r="T153" s="161" t="s"/>
      <c r="U153" s="161" t="s"/>
      <c r="V153" s="161" t="s"/>
      <c r="W153" s="161" t="s"/>
      <c r="X153" s="161" t="s"/>
      <c r="Y153" s="161" t="s"/>
      <c r="Z153" s="161" t="s"/>
    </row>
    <row r="154" spans="1:26" customHeight="false">
      <c r="A154" s="121" t="s"/>
      <c r="B154" s="188" t="s"/>
      <c r="C154" s="188" t="s"/>
      <c r="D154" s="121" t="s"/>
      <c r="E154" s="121" t="s"/>
      <c r="F154" s="121" t="s"/>
      <c r="G154" s="121" t="s"/>
      <c r="H154" s="121" t="s"/>
      <c r="I154" s="161" t="s"/>
      <c r="J154" s="187" t="s"/>
      <c r="K154" s="187" t="s"/>
      <c r="L154" s="187" t="s"/>
      <c r="M154" s="161" t="s"/>
      <c r="N154" s="161" t="s"/>
      <c r="O154" s="161" t="s"/>
      <c r="P154" s="161" t="s"/>
      <c r="Q154" s="161" t="s"/>
      <c r="R154" s="161" t="s"/>
      <c r="S154" s="161" t="s"/>
      <c r="T154" s="161" t="s"/>
      <c r="U154" s="161" t="s"/>
      <c r="V154" s="161" t="s"/>
      <c r="W154" s="161" t="s"/>
      <c r="X154" s="161" t="s"/>
      <c r="Y154" s="161" t="s"/>
      <c r="Z154" s="161" t="s"/>
    </row>
    <row r="155" spans="1:26" customHeight="false">
      <c r="A155" s="121" t="s"/>
      <c r="B155" s="188" t="s"/>
      <c r="C155" s="188" t="s"/>
      <c r="D155" s="121" t="s"/>
      <c r="E155" s="121" t="s"/>
      <c r="F155" s="121" t="s"/>
      <c r="G155" s="121" t="s"/>
      <c r="H155" s="121" t="s"/>
      <c r="I155" s="161" t="s"/>
      <c r="J155" s="187" t="s"/>
      <c r="K155" s="187" t="s"/>
      <c r="L155" s="187" t="s"/>
      <c r="M155" s="161" t="s"/>
      <c r="N155" s="161" t="s"/>
      <c r="O155" s="161" t="s"/>
      <c r="P155" s="161" t="s"/>
      <c r="Q155" s="161" t="s"/>
      <c r="R155" s="161" t="s"/>
      <c r="S155" s="161" t="s"/>
      <c r="T155" s="161" t="s"/>
      <c r="U155" s="161" t="s"/>
      <c r="V155" s="161" t="s"/>
      <c r="W155" s="161" t="s"/>
      <c r="X155" s="161" t="s"/>
      <c r="Y155" s="161" t="s"/>
      <c r="Z155" s="161" t="s"/>
    </row>
    <row r="156" spans="1:26" customHeight="false">
      <c r="A156" s="121" t="s"/>
      <c r="B156" s="188" t="s"/>
      <c r="C156" s="188" t="s"/>
      <c r="D156" s="121" t="s"/>
      <c r="E156" s="121" t="s"/>
      <c r="F156" s="121" t="s"/>
      <c r="G156" s="121" t="s"/>
      <c r="H156" s="121" t="s"/>
      <c r="I156" s="161" t="s"/>
      <c r="J156" s="187" t="s"/>
      <c r="K156" s="187" t="s"/>
      <c r="L156" s="187" t="s"/>
      <c r="M156" s="161" t="s"/>
      <c r="N156" s="161" t="s"/>
      <c r="O156" s="161" t="s"/>
      <c r="P156" s="161" t="s"/>
      <c r="Q156" s="161" t="s"/>
      <c r="R156" s="161" t="s"/>
      <c r="S156" s="161" t="s"/>
      <c r="T156" s="161" t="s"/>
      <c r="U156" s="161" t="s"/>
      <c r="V156" s="161" t="s"/>
      <c r="W156" s="161" t="s"/>
      <c r="X156" s="161" t="s"/>
      <c r="Y156" s="161" t="s"/>
      <c r="Z156" s="161" t="s"/>
    </row>
    <row r="157" spans="1:26" customHeight="false">
      <c r="A157" s="121" t="s"/>
      <c r="B157" s="188" t="s"/>
      <c r="C157" s="188" t="s"/>
      <c r="D157" s="121" t="s"/>
      <c r="E157" s="121" t="s"/>
      <c r="F157" s="121" t="s"/>
      <c r="G157" s="121" t="s"/>
      <c r="H157" s="121" t="s"/>
      <c r="I157" s="161" t="s"/>
      <c r="J157" s="187" t="s"/>
      <c r="K157" s="187" t="s"/>
      <c r="L157" s="187" t="s"/>
      <c r="M157" s="161" t="s"/>
      <c r="N157" s="161" t="s"/>
      <c r="O157" s="161" t="s"/>
      <c r="P157" s="161" t="s"/>
      <c r="Q157" s="161" t="s"/>
      <c r="R157" s="161" t="s"/>
      <c r="S157" s="161" t="s"/>
      <c r="T157" s="161" t="s"/>
      <c r="U157" s="161" t="s"/>
      <c r="V157" s="161" t="s"/>
      <c r="W157" s="161" t="s"/>
      <c r="X157" s="161" t="s"/>
      <c r="Y157" s="161" t="s"/>
      <c r="Z157" s="161" t="s"/>
    </row>
    <row r="158" spans="1:26" customHeight="false">
      <c r="A158" s="121" t="s"/>
      <c r="B158" s="188" t="s"/>
      <c r="C158" s="188" t="s"/>
      <c r="D158" s="121" t="s"/>
      <c r="E158" s="121" t="s"/>
      <c r="F158" s="121" t="s"/>
      <c r="G158" s="121" t="s"/>
      <c r="H158" s="121" t="s"/>
      <c r="I158" s="161" t="s"/>
      <c r="J158" s="187" t="s"/>
      <c r="K158" s="187" t="s"/>
      <c r="L158" s="187" t="s"/>
      <c r="M158" s="161" t="s"/>
      <c r="N158" s="161" t="s"/>
      <c r="O158" s="161" t="s"/>
      <c r="P158" s="161" t="s"/>
      <c r="Q158" s="161" t="s"/>
      <c r="R158" s="161" t="s"/>
      <c r="S158" s="161" t="s"/>
      <c r="T158" s="161" t="s"/>
      <c r="U158" s="161" t="s"/>
      <c r="V158" s="161" t="s"/>
      <c r="W158" s="161" t="s"/>
      <c r="X158" s="161" t="s"/>
      <c r="Y158" s="161" t="s"/>
      <c r="Z158" s="161" t="s"/>
    </row>
    <row r="159" spans="1:26" customHeight="false">
      <c r="A159" s="121" t="s"/>
      <c r="B159" s="188" t="s"/>
      <c r="C159" s="188" t="s"/>
      <c r="D159" s="121" t="s"/>
      <c r="E159" s="121" t="s"/>
      <c r="F159" s="121" t="s"/>
      <c r="G159" s="121" t="s"/>
      <c r="H159" s="121" t="s"/>
      <c r="I159" s="161" t="s"/>
      <c r="J159" s="187" t="s"/>
      <c r="K159" s="187" t="s"/>
      <c r="L159" s="187" t="s"/>
      <c r="M159" s="161" t="s"/>
      <c r="N159" s="161" t="s"/>
      <c r="O159" s="161" t="s"/>
      <c r="P159" s="161" t="s"/>
      <c r="Q159" s="161" t="s"/>
      <c r="R159" s="161" t="s"/>
      <c r="S159" s="161" t="s"/>
      <c r="T159" s="161" t="s"/>
      <c r="U159" s="161" t="s"/>
      <c r="V159" s="161" t="s"/>
      <c r="W159" s="161" t="s"/>
      <c r="X159" s="161" t="s"/>
      <c r="Y159" s="161" t="s"/>
      <c r="Z159" s="161" t="s"/>
    </row>
    <row r="160" spans="1:26" customHeight="false">
      <c r="A160" s="121" t="s"/>
      <c r="B160" s="188" t="s"/>
      <c r="C160" s="188" t="s"/>
      <c r="D160" s="121" t="s"/>
      <c r="E160" s="121" t="s"/>
      <c r="F160" s="121" t="s"/>
      <c r="G160" s="121" t="s"/>
      <c r="H160" s="121" t="s"/>
      <c r="I160" s="161" t="s"/>
      <c r="J160" s="187" t="s"/>
      <c r="K160" s="187" t="s"/>
      <c r="L160" s="187" t="s"/>
      <c r="M160" s="161" t="s"/>
      <c r="N160" s="161" t="s"/>
      <c r="O160" s="161" t="s"/>
      <c r="P160" s="161" t="s"/>
      <c r="Q160" s="161" t="s"/>
      <c r="R160" s="161" t="s"/>
      <c r="S160" s="161" t="s"/>
      <c r="T160" s="161" t="s"/>
      <c r="U160" s="161" t="s"/>
      <c r="V160" s="161" t="s"/>
      <c r="W160" s="161" t="s"/>
      <c r="X160" s="161" t="s"/>
      <c r="Y160" s="161" t="s"/>
      <c r="Z160" s="161" t="s"/>
    </row>
    <row r="161" spans="1:26" customHeight="false">
      <c r="A161" s="121" t="s"/>
      <c r="B161" s="188" t="s"/>
      <c r="C161" s="188" t="s"/>
      <c r="D161" s="121" t="s"/>
      <c r="E161" s="121" t="s"/>
      <c r="F161" s="121" t="s"/>
      <c r="G161" s="121" t="s"/>
      <c r="H161" s="121" t="s"/>
      <c r="I161" s="161" t="s"/>
      <c r="J161" s="187" t="s"/>
      <c r="K161" s="187" t="s"/>
      <c r="L161" s="187" t="s"/>
      <c r="M161" s="161" t="s"/>
      <c r="N161" s="161" t="s"/>
      <c r="O161" s="161" t="s"/>
      <c r="P161" s="161" t="s"/>
      <c r="Q161" s="161" t="s"/>
      <c r="R161" s="161" t="s"/>
      <c r="S161" s="161" t="s"/>
      <c r="T161" s="161" t="s"/>
      <c r="U161" s="161" t="s"/>
      <c r="V161" s="161" t="s"/>
      <c r="W161" s="161" t="s"/>
      <c r="X161" s="161" t="s"/>
      <c r="Y161" s="161" t="s"/>
      <c r="Z161" s="161" t="s"/>
    </row>
    <row r="162" spans="1:26" customHeight="false">
      <c r="A162" s="121" t="s"/>
      <c r="B162" s="188" t="s"/>
      <c r="C162" s="188" t="s"/>
      <c r="D162" s="121" t="s"/>
      <c r="E162" s="121" t="s"/>
      <c r="F162" s="121" t="s"/>
      <c r="G162" s="121" t="s"/>
      <c r="H162" s="121" t="s"/>
      <c r="I162" s="161" t="s"/>
      <c r="J162" s="187" t="s"/>
      <c r="K162" s="187" t="s"/>
      <c r="L162" s="187" t="s"/>
      <c r="M162" s="161" t="s"/>
      <c r="N162" s="161" t="s"/>
      <c r="O162" s="161" t="s"/>
      <c r="P162" s="161" t="s"/>
      <c r="Q162" s="161" t="s"/>
      <c r="R162" s="161" t="s"/>
      <c r="S162" s="161" t="s"/>
      <c r="T162" s="161" t="s"/>
      <c r="U162" s="161" t="s"/>
      <c r="V162" s="161" t="s"/>
      <c r="W162" s="161" t="s"/>
      <c r="X162" s="161" t="s"/>
      <c r="Y162" s="161" t="s"/>
      <c r="Z162" s="161" t="s"/>
    </row>
    <row r="163" spans="1:26" customHeight="false">
      <c r="A163" s="121" t="s"/>
      <c r="B163" s="188" t="s"/>
      <c r="C163" s="188" t="s"/>
      <c r="D163" s="121" t="s"/>
      <c r="E163" s="121" t="s"/>
      <c r="F163" s="121" t="s"/>
      <c r="G163" s="121" t="s"/>
      <c r="H163" s="121" t="s"/>
      <c r="I163" s="161" t="s"/>
      <c r="J163" s="187" t="s"/>
      <c r="K163" s="187" t="s"/>
      <c r="L163" s="187" t="s"/>
      <c r="M163" s="161" t="s"/>
      <c r="N163" s="161" t="s"/>
      <c r="O163" s="161" t="s"/>
      <c r="P163" s="161" t="s"/>
      <c r="Q163" s="161" t="s"/>
      <c r="R163" s="161" t="s"/>
      <c r="S163" s="161" t="s"/>
      <c r="T163" s="161" t="s"/>
      <c r="U163" s="161" t="s"/>
      <c r="V163" s="161" t="s"/>
      <c r="W163" s="161" t="s"/>
      <c r="X163" s="161" t="s"/>
      <c r="Y163" s="161" t="s"/>
      <c r="Z163" s="161" t="s"/>
    </row>
    <row r="164" spans="1:26" customHeight="false">
      <c r="A164" s="121" t="s"/>
      <c r="B164" s="188" t="s"/>
      <c r="C164" s="188" t="s"/>
      <c r="D164" s="121" t="s"/>
      <c r="E164" s="121" t="s"/>
      <c r="F164" s="121" t="s"/>
      <c r="G164" s="121" t="s"/>
      <c r="H164" s="121" t="s"/>
      <c r="I164" s="161" t="s"/>
      <c r="J164" s="187" t="s"/>
      <c r="K164" s="187" t="s"/>
      <c r="L164" s="187" t="s"/>
      <c r="M164" s="161" t="s"/>
      <c r="N164" s="161" t="s"/>
      <c r="O164" s="161" t="s"/>
      <c r="P164" s="161" t="s"/>
      <c r="Q164" s="161" t="s"/>
      <c r="R164" s="161" t="s"/>
      <c r="S164" s="161" t="s"/>
      <c r="T164" s="161" t="s"/>
      <c r="U164" s="161" t="s"/>
      <c r="V164" s="161" t="s"/>
      <c r="W164" s="161" t="s"/>
      <c r="X164" s="161" t="s"/>
      <c r="Y164" s="161" t="s"/>
      <c r="Z164" s="161" t="s"/>
    </row>
    <row r="165" spans="1:26" customHeight="false">
      <c r="A165" s="121" t="s"/>
      <c r="B165" s="188" t="s"/>
      <c r="C165" s="188" t="s"/>
      <c r="D165" s="121" t="s"/>
      <c r="E165" s="121" t="s"/>
      <c r="F165" s="121" t="s"/>
      <c r="G165" s="121" t="s"/>
      <c r="H165" s="121" t="s"/>
      <c r="I165" s="161" t="s"/>
      <c r="J165" s="187" t="s"/>
      <c r="K165" s="187" t="s"/>
      <c r="L165" s="187" t="s"/>
      <c r="M165" s="161" t="s"/>
      <c r="N165" s="161" t="s"/>
      <c r="O165" s="161" t="s"/>
      <c r="P165" s="161" t="s"/>
      <c r="Q165" s="161" t="s"/>
      <c r="R165" s="161" t="s"/>
      <c r="S165" s="161" t="s"/>
      <c r="T165" s="161" t="s"/>
      <c r="U165" s="161" t="s"/>
      <c r="V165" s="161" t="s"/>
      <c r="W165" s="161" t="s"/>
      <c r="X165" s="161" t="s"/>
      <c r="Y165" s="161" t="s"/>
      <c r="Z165" s="161" t="s"/>
    </row>
    <row r="166" spans="1:26" customHeight="false">
      <c r="A166" s="121" t="s"/>
      <c r="B166" s="188" t="s"/>
      <c r="C166" s="188" t="s"/>
      <c r="D166" s="121" t="s"/>
      <c r="E166" s="121" t="s"/>
      <c r="F166" s="121" t="s"/>
      <c r="G166" s="121" t="s"/>
      <c r="H166" s="121" t="s"/>
      <c r="I166" s="161" t="s"/>
      <c r="J166" s="187" t="s"/>
      <c r="K166" s="187" t="s"/>
      <c r="L166" s="187" t="s"/>
      <c r="M166" s="161" t="s"/>
      <c r="N166" s="161" t="s"/>
      <c r="O166" s="161" t="s"/>
      <c r="P166" s="161" t="s"/>
      <c r="Q166" s="161" t="s"/>
      <c r="R166" s="161" t="s"/>
      <c r="S166" s="161" t="s"/>
      <c r="T166" s="161" t="s"/>
      <c r="U166" s="161" t="s"/>
      <c r="V166" s="161" t="s"/>
      <c r="W166" s="161" t="s"/>
      <c r="X166" s="161" t="s"/>
      <c r="Y166" s="161" t="s"/>
      <c r="Z166" s="161" t="s"/>
    </row>
    <row r="167" spans="1:26" customHeight="false">
      <c r="A167" s="121" t="s"/>
      <c r="B167" s="188" t="s"/>
      <c r="C167" s="188" t="s"/>
      <c r="D167" s="121" t="s"/>
      <c r="E167" s="121" t="s"/>
      <c r="F167" s="121" t="s"/>
      <c r="G167" s="121" t="s"/>
      <c r="H167" s="121" t="s"/>
      <c r="I167" s="161" t="s"/>
      <c r="J167" s="187" t="s"/>
      <c r="K167" s="187" t="s"/>
      <c r="L167" s="187" t="s"/>
      <c r="M167" s="161" t="s"/>
      <c r="N167" s="161" t="s"/>
      <c r="O167" s="161" t="s"/>
      <c r="P167" s="161" t="s"/>
      <c r="Q167" s="161" t="s"/>
      <c r="R167" s="161" t="s"/>
      <c r="S167" s="161" t="s"/>
      <c r="T167" s="161" t="s"/>
      <c r="U167" s="161" t="s"/>
      <c r="V167" s="161" t="s"/>
      <c r="W167" s="161" t="s"/>
      <c r="X167" s="161" t="s"/>
      <c r="Y167" s="161" t="s"/>
      <c r="Z167" s="161" t="s"/>
    </row>
    <row r="168" spans="1:26" customHeight="false">
      <c r="A168" s="121" t="s"/>
      <c r="B168" s="188" t="s"/>
      <c r="C168" s="188" t="s"/>
      <c r="D168" s="121" t="s"/>
      <c r="E168" s="121" t="s"/>
      <c r="F168" s="121" t="s"/>
      <c r="G168" s="121" t="s"/>
      <c r="H168" s="121" t="s"/>
      <c r="I168" s="161" t="s"/>
      <c r="J168" s="187" t="s"/>
      <c r="K168" s="187" t="s"/>
      <c r="L168" s="187" t="s"/>
      <c r="M168" s="161" t="s"/>
      <c r="N168" s="161" t="s"/>
      <c r="O168" s="161" t="s"/>
      <c r="P168" s="161" t="s"/>
      <c r="Q168" s="161" t="s"/>
      <c r="R168" s="161" t="s"/>
      <c r="S168" s="161" t="s"/>
      <c r="T168" s="161" t="s"/>
      <c r="U168" s="161" t="s"/>
      <c r="V168" s="161" t="s"/>
      <c r="W168" s="161" t="s"/>
      <c r="X168" s="161" t="s"/>
      <c r="Y168" s="161" t="s"/>
      <c r="Z168" s="161" t="s"/>
    </row>
    <row r="169" spans="1:26" customHeight="false">
      <c r="A169" s="121" t="s"/>
      <c r="B169" s="188" t="s"/>
      <c r="C169" s="188" t="s"/>
      <c r="D169" s="121" t="s"/>
      <c r="E169" s="121" t="s"/>
      <c r="F169" s="121" t="s"/>
      <c r="G169" s="121" t="s"/>
      <c r="H169" s="121" t="s"/>
      <c r="I169" s="161" t="s"/>
      <c r="J169" s="187" t="s"/>
      <c r="K169" s="187" t="s"/>
      <c r="L169" s="187" t="s"/>
      <c r="M169" s="161" t="s"/>
      <c r="N169" s="161" t="s"/>
      <c r="O169" s="161" t="s"/>
      <c r="P169" s="161" t="s"/>
      <c r="Q169" s="161" t="s"/>
      <c r="R169" s="161" t="s"/>
      <c r="S169" s="161" t="s"/>
      <c r="T169" s="161" t="s"/>
      <c r="U169" s="161" t="s"/>
      <c r="V169" s="161" t="s"/>
      <c r="W169" s="161" t="s"/>
      <c r="X169" s="161" t="s"/>
      <c r="Y169" s="161" t="s"/>
      <c r="Z169" s="161" t="s"/>
    </row>
    <row r="170" spans="1:26" customHeight="false">
      <c r="A170" s="121" t="s"/>
      <c r="B170" s="188" t="s"/>
      <c r="C170" s="188" t="s"/>
      <c r="D170" s="121" t="s"/>
      <c r="E170" s="121" t="s"/>
      <c r="F170" s="121" t="s"/>
      <c r="G170" s="121" t="s"/>
      <c r="H170" s="121" t="s"/>
      <c r="I170" s="161" t="s"/>
      <c r="J170" s="187" t="s"/>
      <c r="K170" s="187" t="s"/>
      <c r="L170" s="187" t="s"/>
      <c r="M170" s="161" t="s"/>
      <c r="N170" s="161" t="s"/>
      <c r="O170" s="161" t="s"/>
      <c r="P170" s="161" t="s"/>
      <c r="Q170" s="161" t="s"/>
      <c r="R170" s="161" t="s"/>
      <c r="S170" s="161" t="s"/>
      <c r="T170" s="161" t="s"/>
      <c r="U170" s="161" t="s"/>
      <c r="V170" s="161" t="s"/>
      <c r="W170" s="161" t="s"/>
      <c r="X170" s="161" t="s"/>
      <c r="Y170" s="161" t="s"/>
      <c r="Z170" s="161" t="s"/>
    </row>
    <row r="171" spans="1:26" customHeight="false">
      <c r="A171" s="121" t="s"/>
      <c r="B171" s="188" t="s"/>
      <c r="C171" s="188" t="s"/>
      <c r="D171" s="121" t="s"/>
      <c r="E171" s="121" t="s"/>
      <c r="F171" s="121" t="s"/>
      <c r="G171" s="121" t="s"/>
      <c r="H171" s="121" t="s"/>
      <c r="I171" s="161" t="s"/>
      <c r="J171" s="187" t="s"/>
      <c r="K171" s="187" t="s"/>
      <c r="L171" s="187" t="s"/>
      <c r="M171" s="161" t="s"/>
      <c r="N171" s="161" t="s"/>
      <c r="O171" s="161" t="s"/>
      <c r="P171" s="161" t="s"/>
      <c r="Q171" s="161" t="s"/>
      <c r="R171" s="161" t="s"/>
      <c r="S171" s="161" t="s"/>
      <c r="T171" s="161" t="s"/>
      <c r="U171" s="161" t="s"/>
      <c r="V171" s="161" t="s"/>
      <c r="W171" s="161" t="s"/>
      <c r="X171" s="161" t="s"/>
      <c r="Y171" s="161" t="s"/>
      <c r="Z171" s="161" t="s"/>
    </row>
    <row r="172" spans="1:26" customHeight="false">
      <c r="A172" s="121" t="s"/>
      <c r="B172" s="188" t="s"/>
      <c r="C172" s="188" t="s"/>
      <c r="D172" s="121" t="s"/>
      <c r="E172" s="121" t="s"/>
      <c r="F172" s="121" t="s"/>
      <c r="G172" s="121" t="s"/>
      <c r="H172" s="121" t="s"/>
      <c r="I172" s="161" t="s"/>
      <c r="J172" s="187" t="s"/>
      <c r="K172" s="187" t="s"/>
      <c r="L172" s="187" t="s"/>
      <c r="M172" s="161" t="s"/>
      <c r="N172" s="161" t="s"/>
      <c r="O172" s="161" t="s"/>
      <c r="P172" s="161" t="s"/>
      <c r="Q172" s="161" t="s"/>
      <c r="R172" s="161" t="s"/>
      <c r="S172" s="161" t="s"/>
      <c r="T172" s="161" t="s"/>
      <c r="U172" s="161" t="s"/>
      <c r="V172" s="161" t="s"/>
      <c r="W172" s="161" t="s"/>
      <c r="X172" s="161" t="s"/>
      <c r="Y172" s="161" t="s"/>
      <c r="Z172" s="161" t="s"/>
    </row>
    <row r="173" spans="1:26" customHeight="false">
      <c r="A173" s="121" t="s"/>
      <c r="B173" s="188" t="s"/>
      <c r="C173" s="188" t="s"/>
      <c r="D173" s="121" t="s"/>
      <c r="E173" s="121" t="s"/>
      <c r="F173" s="121" t="s"/>
      <c r="G173" s="121" t="s"/>
      <c r="H173" s="121" t="s"/>
      <c r="I173" s="161" t="s"/>
      <c r="J173" s="187" t="s"/>
      <c r="K173" s="187" t="s"/>
      <c r="L173" s="187" t="s"/>
      <c r="M173" s="161" t="s"/>
      <c r="N173" s="161" t="s"/>
      <c r="O173" s="161" t="s"/>
      <c r="P173" s="161" t="s"/>
      <c r="Q173" s="161" t="s"/>
      <c r="R173" s="161" t="s"/>
      <c r="S173" s="161" t="s"/>
      <c r="T173" s="161" t="s"/>
      <c r="U173" s="161" t="s"/>
      <c r="V173" s="161" t="s"/>
      <c r="W173" s="161" t="s"/>
      <c r="X173" s="161" t="s"/>
      <c r="Y173" s="161" t="s"/>
      <c r="Z173" s="161" t="s"/>
    </row>
    <row r="174" spans="1:26" customHeight="false">
      <c r="A174" s="121" t="s"/>
      <c r="B174" s="188" t="s"/>
      <c r="C174" s="188" t="s"/>
      <c r="D174" s="121" t="s"/>
      <c r="E174" s="121" t="s"/>
      <c r="F174" s="121" t="s"/>
      <c r="G174" s="121" t="s"/>
      <c r="H174" s="121" t="s"/>
      <c r="I174" s="161" t="s"/>
      <c r="J174" s="187" t="s"/>
      <c r="K174" s="187" t="s"/>
      <c r="L174" s="187" t="s"/>
      <c r="M174" s="161" t="s"/>
      <c r="N174" s="161" t="s"/>
      <c r="O174" s="161" t="s"/>
      <c r="P174" s="161" t="s"/>
      <c r="Q174" s="161" t="s"/>
      <c r="R174" s="161" t="s"/>
      <c r="S174" s="161" t="s"/>
      <c r="T174" s="161" t="s"/>
      <c r="U174" s="161" t="s"/>
      <c r="V174" s="161" t="s"/>
      <c r="W174" s="161" t="s"/>
      <c r="X174" s="161" t="s"/>
      <c r="Y174" s="161" t="s"/>
      <c r="Z174" s="161" t="s"/>
    </row>
    <row r="175" spans="1:26" customHeight="false">
      <c r="A175" s="121" t="s"/>
      <c r="B175" s="188" t="s"/>
      <c r="C175" s="188" t="s"/>
      <c r="D175" s="121" t="s"/>
      <c r="E175" s="121" t="s"/>
      <c r="F175" s="121" t="s"/>
      <c r="G175" s="121" t="s"/>
      <c r="H175" s="121" t="s"/>
      <c r="I175" s="161" t="s"/>
      <c r="J175" s="187" t="s"/>
      <c r="K175" s="187" t="s"/>
      <c r="L175" s="187" t="s"/>
      <c r="M175" s="161" t="s"/>
      <c r="N175" s="161" t="s"/>
      <c r="O175" s="161" t="s"/>
      <c r="P175" s="161" t="s"/>
      <c r="Q175" s="161" t="s"/>
      <c r="R175" s="161" t="s"/>
      <c r="S175" s="161" t="s"/>
      <c r="T175" s="161" t="s"/>
      <c r="U175" s="161" t="s"/>
      <c r="V175" s="161" t="s"/>
      <c r="W175" s="161" t="s"/>
      <c r="X175" s="161" t="s"/>
      <c r="Y175" s="161" t="s"/>
      <c r="Z175" s="161" t="s"/>
    </row>
    <row r="176" spans="1:26" customHeight="false">
      <c r="A176" s="121" t="s"/>
      <c r="B176" s="188" t="s"/>
      <c r="C176" s="188" t="s"/>
      <c r="D176" s="121" t="s"/>
      <c r="E176" s="121" t="s"/>
      <c r="F176" s="121" t="s"/>
      <c r="G176" s="121" t="s"/>
      <c r="H176" s="121" t="s"/>
      <c r="I176" s="161" t="s"/>
      <c r="J176" s="187" t="s"/>
      <c r="K176" s="187" t="s"/>
      <c r="L176" s="187" t="s"/>
      <c r="M176" s="161" t="s"/>
      <c r="N176" s="161" t="s"/>
      <c r="O176" s="161" t="s"/>
      <c r="P176" s="161" t="s"/>
      <c r="Q176" s="161" t="s"/>
      <c r="R176" s="161" t="s"/>
      <c r="S176" s="161" t="s"/>
      <c r="T176" s="161" t="s"/>
      <c r="U176" s="161" t="s"/>
      <c r="V176" s="161" t="s"/>
      <c r="W176" s="161" t="s"/>
      <c r="X176" s="161" t="s"/>
      <c r="Y176" s="161" t="s"/>
      <c r="Z176" s="161" t="s"/>
    </row>
    <row r="177" spans="1:26" customHeight="false">
      <c r="A177" s="121" t="s"/>
      <c r="B177" s="188" t="s"/>
      <c r="C177" s="188" t="s"/>
      <c r="D177" s="121" t="s"/>
      <c r="E177" s="121" t="s"/>
      <c r="F177" s="121" t="s"/>
      <c r="G177" s="121" t="s"/>
      <c r="H177" s="121" t="s"/>
      <c r="I177" s="161" t="s"/>
      <c r="J177" s="187" t="s"/>
      <c r="K177" s="187" t="s"/>
      <c r="L177" s="187" t="s"/>
      <c r="M177" s="161" t="s"/>
      <c r="N177" s="161" t="s"/>
      <c r="O177" s="161" t="s"/>
      <c r="P177" s="161" t="s"/>
      <c r="Q177" s="161" t="s"/>
      <c r="R177" s="161" t="s"/>
      <c r="S177" s="161" t="s"/>
      <c r="T177" s="161" t="s"/>
      <c r="U177" s="161" t="s"/>
      <c r="V177" s="161" t="s"/>
      <c r="W177" s="161" t="s"/>
      <c r="X177" s="161" t="s"/>
      <c r="Y177" s="161" t="s"/>
      <c r="Z177" s="161" t="s"/>
    </row>
    <row r="178" spans="1:26" customHeight="false">
      <c r="A178" s="121" t="s"/>
      <c r="B178" s="188" t="s"/>
      <c r="C178" s="188" t="s"/>
      <c r="D178" s="121" t="s"/>
      <c r="E178" s="121" t="s"/>
      <c r="F178" s="121" t="s"/>
      <c r="G178" s="121" t="s"/>
      <c r="H178" s="121" t="s"/>
      <c r="I178" s="161" t="s"/>
      <c r="J178" s="187" t="s"/>
      <c r="K178" s="187" t="s"/>
      <c r="L178" s="187" t="s"/>
      <c r="M178" s="161" t="s"/>
      <c r="N178" s="161" t="s"/>
      <c r="O178" s="161" t="s"/>
      <c r="P178" s="161" t="s"/>
      <c r="Q178" s="161" t="s"/>
      <c r="R178" s="161" t="s"/>
      <c r="S178" s="161" t="s"/>
      <c r="T178" s="161" t="s"/>
      <c r="U178" s="161" t="s"/>
      <c r="V178" s="161" t="s"/>
      <c r="W178" s="161" t="s"/>
      <c r="X178" s="161" t="s"/>
      <c r="Y178" s="161" t="s"/>
      <c r="Z178" s="161" t="s"/>
    </row>
    <row r="179" spans="1:26" customHeight="false">
      <c r="A179" s="121" t="s"/>
      <c r="B179" s="188" t="s"/>
      <c r="C179" s="188" t="s"/>
      <c r="D179" s="121" t="s"/>
      <c r="E179" s="121" t="s"/>
      <c r="F179" s="121" t="s"/>
      <c r="G179" s="121" t="s"/>
      <c r="H179" s="121" t="s"/>
      <c r="I179" s="161" t="s"/>
      <c r="J179" s="187" t="s"/>
      <c r="K179" s="187" t="s"/>
      <c r="L179" s="187" t="s"/>
      <c r="M179" s="161" t="s"/>
      <c r="N179" s="161" t="s"/>
      <c r="O179" s="161" t="s"/>
      <c r="P179" s="161" t="s"/>
      <c r="Q179" s="161" t="s"/>
      <c r="R179" s="161" t="s"/>
      <c r="S179" s="161" t="s"/>
      <c r="T179" s="161" t="s"/>
      <c r="U179" s="161" t="s"/>
      <c r="V179" s="161" t="s"/>
      <c r="W179" s="161" t="s"/>
      <c r="X179" s="161" t="s"/>
      <c r="Y179" s="161" t="s"/>
      <c r="Z179" s="161" t="s"/>
    </row>
    <row r="180" spans="1:26" customHeight="false">
      <c r="A180" s="121" t="s"/>
      <c r="B180" s="188" t="s"/>
      <c r="C180" s="188" t="s"/>
      <c r="D180" s="121" t="s"/>
      <c r="E180" s="121" t="s"/>
      <c r="F180" s="121" t="s"/>
      <c r="G180" s="121" t="s"/>
      <c r="H180" s="121" t="s"/>
      <c r="I180" s="161" t="s"/>
      <c r="J180" s="187" t="s"/>
      <c r="K180" s="187" t="s"/>
      <c r="L180" s="187" t="s"/>
      <c r="M180" s="161" t="s"/>
      <c r="N180" s="161" t="s"/>
      <c r="O180" s="161" t="s"/>
      <c r="P180" s="161" t="s"/>
      <c r="Q180" s="161" t="s"/>
      <c r="R180" s="161" t="s"/>
      <c r="S180" s="161" t="s"/>
      <c r="T180" s="161" t="s"/>
      <c r="U180" s="161" t="s"/>
      <c r="V180" s="161" t="s"/>
      <c r="W180" s="161" t="s"/>
      <c r="X180" s="161" t="s"/>
      <c r="Y180" s="161" t="s"/>
      <c r="Z180" s="161" t="s"/>
    </row>
    <row r="181" spans="1:26" customHeight="false">
      <c r="A181" s="121" t="s"/>
      <c r="B181" s="188" t="s"/>
      <c r="C181" s="188" t="s"/>
      <c r="D181" s="121" t="s"/>
      <c r="E181" s="121" t="s"/>
      <c r="F181" s="121" t="s"/>
      <c r="G181" s="121" t="s"/>
      <c r="H181" s="121" t="s"/>
      <c r="I181" s="161" t="s"/>
      <c r="J181" s="187" t="s"/>
      <c r="K181" s="187" t="s"/>
      <c r="L181" s="187" t="s"/>
      <c r="M181" s="161" t="s"/>
      <c r="N181" s="161" t="s"/>
      <c r="O181" s="161" t="s"/>
      <c r="P181" s="161" t="s"/>
      <c r="Q181" s="161" t="s"/>
      <c r="R181" s="161" t="s"/>
      <c r="S181" s="161" t="s"/>
      <c r="T181" s="161" t="s"/>
      <c r="U181" s="161" t="s"/>
      <c r="V181" s="161" t="s"/>
      <c r="W181" s="161" t="s"/>
      <c r="X181" s="161" t="s"/>
      <c r="Y181" s="161" t="s"/>
      <c r="Z181" s="161" t="s"/>
    </row>
    <row r="182" spans="1:26" customHeight="false">
      <c r="A182" s="121" t="s"/>
      <c r="B182" s="188" t="s"/>
      <c r="C182" s="188" t="s"/>
      <c r="D182" s="121" t="s"/>
      <c r="E182" s="121" t="s"/>
      <c r="F182" s="121" t="s"/>
      <c r="G182" s="121" t="s"/>
      <c r="H182" s="121" t="s"/>
      <c r="I182" s="161" t="s"/>
      <c r="J182" s="187" t="s"/>
      <c r="K182" s="187" t="s"/>
      <c r="L182" s="187" t="s"/>
      <c r="M182" s="161" t="s"/>
      <c r="N182" s="161" t="s"/>
      <c r="O182" s="161" t="s"/>
      <c r="P182" s="161" t="s"/>
      <c r="Q182" s="161" t="s"/>
      <c r="R182" s="161" t="s"/>
      <c r="S182" s="161" t="s"/>
      <c r="T182" s="161" t="s"/>
      <c r="U182" s="161" t="s"/>
      <c r="V182" s="161" t="s"/>
      <c r="W182" s="161" t="s"/>
      <c r="X182" s="161" t="s"/>
      <c r="Y182" s="161" t="s"/>
      <c r="Z182" s="161" t="s"/>
    </row>
    <row r="183" spans="1:26" customHeight="false">
      <c r="A183" s="121" t="s"/>
      <c r="B183" s="188" t="s"/>
      <c r="C183" s="188" t="s"/>
      <c r="D183" s="121" t="s"/>
      <c r="E183" s="121" t="s"/>
      <c r="F183" s="121" t="s"/>
      <c r="G183" s="121" t="s"/>
      <c r="H183" s="121" t="s"/>
      <c r="I183" s="161" t="s"/>
      <c r="J183" s="187" t="s"/>
      <c r="K183" s="187" t="s"/>
      <c r="L183" s="187" t="s"/>
      <c r="M183" s="161" t="s"/>
      <c r="N183" s="161" t="s"/>
      <c r="O183" s="161" t="s"/>
      <c r="P183" s="161" t="s"/>
      <c r="Q183" s="161" t="s"/>
      <c r="R183" s="161" t="s"/>
      <c r="S183" s="161" t="s"/>
      <c r="T183" s="161" t="s"/>
      <c r="U183" s="161" t="s"/>
      <c r="V183" s="161" t="s"/>
      <c r="W183" s="161" t="s"/>
      <c r="X183" s="161" t="s"/>
      <c r="Y183" s="161" t="s"/>
      <c r="Z183" s="161" t="s"/>
    </row>
    <row r="184" spans="1:26" customHeight="false">
      <c r="A184" s="121" t="s"/>
      <c r="B184" s="188" t="s"/>
      <c r="C184" s="188" t="s"/>
      <c r="D184" s="121" t="s"/>
      <c r="E184" s="121" t="s"/>
      <c r="F184" s="121" t="s"/>
      <c r="G184" s="121" t="s"/>
      <c r="H184" s="121" t="s"/>
      <c r="I184" s="161" t="s"/>
      <c r="J184" s="187" t="s"/>
      <c r="K184" s="187" t="s"/>
      <c r="L184" s="187" t="s"/>
      <c r="M184" s="161" t="s"/>
      <c r="N184" s="161" t="s"/>
      <c r="O184" s="161" t="s"/>
      <c r="P184" s="161" t="s"/>
      <c r="Q184" s="161" t="s"/>
      <c r="R184" s="161" t="s"/>
      <c r="S184" s="161" t="s"/>
      <c r="T184" s="161" t="s"/>
      <c r="U184" s="161" t="s"/>
      <c r="V184" s="161" t="s"/>
      <c r="W184" s="161" t="s"/>
      <c r="X184" s="161" t="s"/>
      <c r="Y184" s="161" t="s"/>
      <c r="Z184" s="161" t="s"/>
    </row>
    <row r="185" spans="1:26" customHeight="false">
      <c r="A185" s="121" t="s"/>
      <c r="B185" s="188" t="s"/>
      <c r="C185" s="188" t="s"/>
      <c r="D185" s="121" t="s"/>
      <c r="E185" s="121" t="s"/>
      <c r="F185" s="121" t="s"/>
      <c r="G185" s="121" t="s"/>
      <c r="H185" s="121" t="s"/>
      <c r="I185" s="161" t="s"/>
      <c r="J185" s="187" t="s"/>
      <c r="K185" s="187" t="s"/>
      <c r="L185" s="187" t="s"/>
      <c r="M185" s="161" t="s"/>
      <c r="N185" s="161" t="s"/>
      <c r="O185" s="161" t="s"/>
      <c r="P185" s="161" t="s"/>
      <c r="Q185" s="161" t="s"/>
      <c r="R185" s="161" t="s"/>
      <c r="S185" s="161" t="s"/>
      <c r="T185" s="161" t="s"/>
      <c r="U185" s="161" t="s"/>
      <c r="V185" s="161" t="s"/>
      <c r="W185" s="161" t="s"/>
      <c r="X185" s="161" t="s"/>
      <c r="Y185" s="161" t="s"/>
      <c r="Z185" s="161" t="s"/>
    </row>
    <row r="186" spans="1:26" customHeight="false">
      <c r="A186" s="121" t="s"/>
      <c r="B186" s="188" t="s"/>
      <c r="C186" s="188" t="s"/>
      <c r="D186" s="121" t="s"/>
      <c r="E186" s="121" t="s"/>
      <c r="F186" s="121" t="s"/>
      <c r="G186" s="121" t="s"/>
      <c r="H186" s="121" t="s"/>
      <c r="I186" s="161" t="s"/>
      <c r="J186" s="187" t="s"/>
      <c r="K186" s="187" t="s"/>
      <c r="L186" s="187" t="s"/>
      <c r="M186" s="161" t="s"/>
      <c r="N186" s="161" t="s"/>
      <c r="O186" s="161" t="s"/>
      <c r="P186" s="161" t="s"/>
      <c r="Q186" s="161" t="s"/>
      <c r="R186" s="161" t="s"/>
      <c r="S186" s="161" t="s"/>
      <c r="T186" s="161" t="s"/>
      <c r="U186" s="161" t="s"/>
      <c r="V186" s="161" t="s"/>
      <c r="W186" s="161" t="s"/>
      <c r="X186" s="161" t="s"/>
      <c r="Y186" s="161" t="s"/>
      <c r="Z186" s="161" t="s"/>
    </row>
    <row r="187" spans="1:26" customHeight="false">
      <c r="A187" s="121" t="s"/>
      <c r="B187" s="188" t="s"/>
      <c r="C187" s="188" t="s"/>
      <c r="D187" s="121" t="s"/>
      <c r="E187" s="121" t="s"/>
      <c r="F187" s="121" t="s"/>
      <c r="G187" s="121" t="s"/>
      <c r="H187" s="121" t="s"/>
      <c r="I187" s="161" t="s"/>
      <c r="J187" s="187" t="s"/>
      <c r="K187" s="187" t="s"/>
      <c r="L187" s="187" t="s"/>
      <c r="M187" s="161" t="s"/>
      <c r="N187" s="161" t="s"/>
      <c r="O187" s="161" t="s"/>
      <c r="P187" s="161" t="s"/>
      <c r="Q187" s="161" t="s"/>
      <c r="R187" s="161" t="s"/>
      <c r="S187" s="161" t="s"/>
      <c r="T187" s="161" t="s"/>
      <c r="U187" s="161" t="s"/>
      <c r="V187" s="161" t="s"/>
      <c r="W187" s="161" t="s"/>
      <c r="X187" s="161" t="s"/>
      <c r="Y187" s="161" t="s"/>
      <c r="Z187" s="161" t="s"/>
    </row>
    <row r="188" spans="1:26" customHeight="false">
      <c r="A188" s="121" t="s"/>
      <c r="B188" s="188" t="s"/>
      <c r="C188" s="188" t="s"/>
      <c r="D188" s="121" t="s"/>
      <c r="E188" s="121" t="s"/>
      <c r="F188" s="121" t="s"/>
      <c r="G188" s="121" t="s"/>
      <c r="H188" s="121" t="s"/>
      <c r="I188" s="161" t="s"/>
      <c r="J188" s="187" t="s"/>
      <c r="K188" s="187" t="s"/>
      <c r="L188" s="187" t="s"/>
      <c r="M188" s="161" t="s"/>
      <c r="N188" s="161" t="s"/>
      <c r="O188" s="161" t="s"/>
      <c r="P188" s="161" t="s"/>
      <c r="Q188" s="161" t="s"/>
      <c r="R188" s="161" t="s"/>
      <c r="S188" s="161" t="s"/>
      <c r="T188" s="161" t="s"/>
      <c r="U188" s="161" t="s"/>
      <c r="V188" s="161" t="s"/>
      <c r="W188" s="161" t="s"/>
      <c r="X188" s="161" t="s"/>
      <c r="Y188" s="161" t="s"/>
      <c r="Z188" s="161" t="s"/>
    </row>
    <row r="189" spans="1:26" customHeight="false">
      <c r="A189" s="121" t="s"/>
      <c r="B189" s="188" t="s"/>
      <c r="C189" s="188" t="s"/>
      <c r="D189" s="121" t="s"/>
      <c r="E189" s="121" t="s"/>
      <c r="F189" s="121" t="s"/>
      <c r="G189" s="121" t="s"/>
      <c r="H189" s="121" t="s"/>
      <c r="I189" s="161" t="s"/>
      <c r="J189" s="187" t="s"/>
      <c r="K189" s="187" t="s"/>
      <c r="L189" s="187" t="s"/>
      <c r="M189" s="161" t="s"/>
      <c r="N189" s="161" t="s"/>
      <c r="O189" s="161" t="s"/>
      <c r="P189" s="161" t="s"/>
      <c r="Q189" s="161" t="s"/>
      <c r="R189" s="161" t="s"/>
      <c r="S189" s="161" t="s"/>
      <c r="T189" s="161" t="s"/>
      <c r="U189" s="161" t="s"/>
      <c r="V189" s="161" t="s"/>
      <c r="W189" s="161" t="s"/>
      <c r="X189" s="161" t="s"/>
      <c r="Y189" s="161" t="s"/>
      <c r="Z189" s="161" t="s"/>
    </row>
    <row r="190" spans="1:26" customHeight="false">
      <c r="A190" s="121" t="s"/>
      <c r="B190" s="188" t="s"/>
      <c r="C190" s="188" t="s"/>
      <c r="D190" s="121" t="s"/>
      <c r="E190" s="121" t="s"/>
      <c r="F190" s="121" t="s"/>
      <c r="G190" s="121" t="s"/>
      <c r="H190" s="121" t="s"/>
      <c r="I190" s="161" t="s"/>
      <c r="J190" s="187" t="s"/>
      <c r="K190" s="187" t="s"/>
      <c r="L190" s="187" t="s"/>
      <c r="M190" s="161" t="s"/>
      <c r="N190" s="161" t="s"/>
      <c r="O190" s="161" t="s"/>
      <c r="P190" s="161" t="s"/>
      <c r="Q190" s="161" t="s"/>
      <c r="R190" s="161" t="s"/>
      <c r="S190" s="161" t="s"/>
      <c r="T190" s="161" t="s"/>
      <c r="U190" s="161" t="s"/>
      <c r="V190" s="161" t="s"/>
      <c r="W190" s="161" t="s"/>
      <c r="X190" s="161" t="s"/>
      <c r="Y190" s="161" t="s"/>
      <c r="Z190" s="161" t="s"/>
    </row>
    <row r="191" spans="1:26" customHeight="false">
      <c r="A191" s="121" t="s"/>
      <c r="B191" s="188" t="s"/>
      <c r="C191" s="188" t="s"/>
      <c r="D191" s="121" t="s"/>
      <c r="E191" s="121" t="s"/>
      <c r="F191" s="121" t="s"/>
      <c r="G191" s="121" t="s"/>
      <c r="H191" s="121" t="s"/>
      <c r="I191" s="161" t="s"/>
      <c r="J191" s="187" t="s"/>
      <c r="K191" s="187" t="s"/>
      <c r="L191" s="187" t="s"/>
      <c r="M191" s="161" t="s"/>
      <c r="N191" s="161" t="s"/>
      <c r="O191" s="161" t="s"/>
      <c r="P191" s="161" t="s"/>
      <c r="Q191" s="161" t="s"/>
      <c r="R191" s="161" t="s"/>
      <c r="S191" s="161" t="s"/>
      <c r="T191" s="161" t="s"/>
      <c r="U191" s="161" t="s"/>
      <c r="V191" s="161" t="s"/>
      <c r="W191" s="161" t="s"/>
      <c r="X191" s="161" t="s"/>
      <c r="Y191" s="161" t="s"/>
      <c r="Z191" s="161" t="s"/>
    </row>
    <row r="192" spans="1:26" customHeight="false">
      <c r="A192" s="121" t="s"/>
      <c r="B192" s="188" t="s"/>
      <c r="C192" s="188" t="s"/>
      <c r="D192" s="121" t="s"/>
      <c r="E192" s="121" t="s"/>
      <c r="F192" s="121" t="s"/>
      <c r="G192" s="121" t="s"/>
      <c r="H192" s="121" t="s"/>
      <c r="I192" s="161" t="s"/>
      <c r="J192" s="187" t="s"/>
      <c r="K192" s="187" t="s"/>
      <c r="L192" s="187" t="s"/>
      <c r="M192" s="161" t="s"/>
      <c r="N192" s="161" t="s"/>
      <c r="O192" s="161" t="s"/>
      <c r="P192" s="161" t="s"/>
      <c r="Q192" s="161" t="s"/>
      <c r="R192" s="161" t="s"/>
      <c r="S192" s="161" t="s"/>
      <c r="T192" s="161" t="s"/>
      <c r="U192" s="161" t="s"/>
      <c r="V192" s="161" t="s"/>
      <c r="W192" s="161" t="s"/>
      <c r="X192" s="161" t="s"/>
      <c r="Y192" s="161" t="s"/>
      <c r="Z192" s="161" t="s"/>
    </row>
    <row r="193" spans="1:26" customHeight="false">
      <c r="A193" s="121" t="s"/>
      <c r="B193" s="188" t="s"/>
      <c r="C193" s="188" t="s"/>
      <c r="D193" s="121" t="s"/>
      <c r="E193" s="121" t="s"/>
      <c r="F193" s="121" t="s"/>
      <c r="G193" s="121" t="s"/>
      <c r="H193" s="121" t="s"/>
      <c r="I193" s="161" t="s"/>
      <c r="J193" s="187" t="s"/>
      <c r="K193" s="187" t="s"/>
      <c r="L193" s="187" t="s"/>
      <c r="M193" s="161" t="s"/>
      <c r="N193" s="161" t="s"/>
      <c r="O193" s="161" t="s"/>
      <c r="P193" s="161" t="s"/>
      <c r="Q193" s="161" t="s"/>
      <c r="R193" s="161" t="s"/>
      <c r="S193" s="161" t="s"/>
      <c r="T193" s="161" t="s"/>
      <c r="U193" s="161" t="s"/>
      <c r="V193" s="161" t="s"/>
      <c r="W193" s="161" t="s"/>
      <c r="X193" s="161" t="s"/>
      <c r="Y193" s="161" t="s"/>
      <c r="Z193" s="161" t="s"/>
    </row>
    <row r="194" spans="1:26" customHeight="false">
      <c r="A194" s="121" t="s"/>
      <c r="B194" s="188" t="s"/>
      <c r="C194" s="188" t="s"/>
      <c r="D194" s="121" t="s"/>
      <c r="E194" s="121" t="s"/>
      <c r="F194" s="121" t="s"/>
      <c r="G194" s="121" t="s"/>
      <c r="H194" s="121" t="s"/>
      <c r="I194" s="161" t="s"/>
      <c r="J194" s="187" t="s"/>
      <c r="K194" s="187" t="s"/>
      <c r="L194" s="187" t="s"/>
      <c r="M194" s="161" t="s"/>
      <c r="N194" s="161" t="s"/>
      <c r="O194" s="161" t="s"/>
      <c r="P194" s="161" t="s"/>
      <c r="Q194" s="161" t="s"/>
      <c r="R194" s="161" t="s"/>
      <c r="S194" s="161" t="s"/>
      <c r="T194" s="161" t="s"/>
      <c r="U194" s="161" t="s"/>
      <c r="V194" s="161" t="s"/>
      <c r="W194" s="161" t="s"/>
      <c r="X194" s="161" t="s"/>
      <c r="Y194" s="161" t="s"/>
      <c r="Z194" s="161" t="s"/>
    </row>
    <row r="195" spans="1:26" customHeight="false">
      <c r="A195" s="121" t="s"/>
      <c r="B195" s="188" t="s"/>
      <c r="C195" s="188" t="s"/>
      <c r="D195" s="121" t="s"/>
      <c r="E195" s="121" t="s"/>
      <c r="F195" s="121" t="s"/>
      <c r="G195" s="121" t="s"/>
      <c r="H195" s="121" t="s"/>
      <c r="I195" s="161" t="s"/>
      <c r="J195" s="187" t="s"/>
      <c r="K195" s="187" t="s"/>
      <c r="L195" s="187" t="s"/>
      <c r="M195" s="161" t="s"/>
      <c r="N195" s="161" t="s"/>
      <c r="O195" s="161" t="s"/>
      <c r="P195" s="161" t="s"/>
      <c r="Q195" s="161" t="s"/>
      <c r="R195" s="161" t="s"/>
      <c r="S195" s="161" t="s"/>
      <c r="T195" s="161" t="s"/>
      <c r="U195" s="161" t="s"/>
      <c r="V195" s="161" t="s"/>
      <c r="W195" s="161" t="s"/>
      <c r="X195" s="161" t="s"/>
      <c r="Y195" s="161" t="s"/>
      <c r="Z195" s="161" t="s"/>
    </row>
    <row r="196" spans="1:26" customHeight="false">
      <c r="A196" s="121" t="s"/>
      <c r="B196" s="188" t="s"/>
      <c r="C196" s="188" t="s"/>
      <c r="D196" s="121" t="s"/>
      <c r="E196" s="121" t="s"/>
      <c r="F196" s="121" t="s"/>
      <c r="G196" s="121" t="s"/>
      <c r="H196" s="121" t="s"/>
      <c r="I196" s="161" t="s"/>
      <c r="J196" s="187" t="s"/>
      <c r="K196" s="187" t="s"/>
      <c r="L196" s="187" t="s"/>
      <c r="M196" s="161" t="s"/>
      <c r="N196" s="161" t="s"/>
      <c r="O196" s="161" t="s"/>
      <c r="P196" s="161" t="s"/>
      <c r="Q196" s="161" t="s"/>
      <c r="R196" s="161" t="s"/>
      <c r="S196" s="161" t="s"/>
      <c r="T196" s="161" t="s"/>
      <c r="U196" s="161" t="s"/>
      <c r="V196" s="161" t="s"/>
      <c r="W196" s="161" t="s"/>
      <c r="X196" s="161" t="s"/>
      <c r="Y196" s="161" t="s"/>
      <c r="Z196" s="161" t="s"/>
    </row>
    <row r="197" spans="1:26" customHeight="false">
      <c r="A197" s="121" t="s"/>
      <c r="B197" s="188" t="s"/>
      <c r="C197" s="188" t="s"/>
      <c r="D197" s="121" t="s"/>
      <c r="E197" s="121" t="s"/>
      <c r="F197" s="121" t="s"/>
      <c r="G197" s="121" t="s"/>
      <c r="H197" s="121" t="s"/>
      <c r="I197" s="161" t="s"/>
      <c r="J197" s="187" t="s"/>
      <c r="K197" s="187" t="s"/>
      <c r="L197" s="187" t="s"/>
      <c r="M197" s="161" t="s"/>
      <c r="N197" s="161" t="s"/>
      <c r="O197" s="161" t="s"/>
      <c r="P197" s="161" t="s"/>
      <c r="Q197" s="161" t="s"/>
      <c r="R197" s="161" t="s"/>
      <c r="S197" s="161" t="s"/>
      <c r="T197" s="161" t="s"/>
      <c r="U197" s="161" t="s"/>
      <c r="V197" s="161" t="s"/>
      <c r="W197" s="161" t="s"/>
      <c r="X197" s="161" t="s"/>
      <c r="Y197" s="161" t="s"/>
      <c r="Z197" s="161" t="s"/>
    </row>
    <row r="198" spans="1:26" customHeight="false">
      <c r="A198" s="121" t="s"/>
      <c r="B198" s="188" t="s"/>
      <c r="C198" s="188" t="s"/>
      <c r="D198" s="121" t="s"/>
      <c r="E198" s="121" t="s"/>
      <c r="F198" s="121" t="s"/>
      <c r="G198" s="121" t="s"/>
      <c r="H198" s="121" t="s"/>
      <c r="I198" s="161" t="s"/>
      <c r="J198" s="187" t="s"/>
      <c r="K198" s="187" t="s"/>
      <c r="L198" s="187" t="s"/>
      <c r="M198" s="161" t="s"/>
      <c r="N198" s="161" t="s"/>
      <c r="O198" s="161" t="s"/>
      <c r="P198" s="161" t="s"/>
      <c r="Q198" s="161" t="s"/>
      <c r="R198" s="161" t="s"/>
      <c r="S198" s="161" t="s"/>
      <c r="T198" s="161" t="s"/>
      <c r="U198" s="161" t="s"/>
      <c r="V198" s="161" t="s"/>
      <c r="W198" s="161" t="s"/>
      <c r="X198" s="161" t="s"/>
      <c r="Y198" s="161" t="s"/>
      <c r="Z198" s="161" t="s"/>
    </row>
    <row r="199" spans="1:26" customHeight="false">
      <c r="A199" s="121" t="s"/>
      <c r="B199" s="188" t="s"/>
      <c r="C199" s="188" t="s"/>
      <c r="D199" s="121" t="s"/>
      <c r="E199" s="121" t="s"/>
      <c r="F199" s="121" t="s"/>
      <c r="G199" s="121" t="s"/>
      <c r="H199" s="121" t="s"/>
      <c r="I199" s="161" t="s"/>
      <c r="J199" s="187" t="s"/>
      <c r="K199" s="187" t="s"/>
      <c r="L199" s="187" t="s"/>
      <c r="M199" s="161" t="s"/>
      <c r="N199" s="161" t="s"/>
      <c r="O199" s="161" t="s"/>
      <c r="P199" s="161" t="s"/>
      <c r="Q199" s="161" t="s"/>
      <c r="R199" s="161" t="s"/>
      <c r="S199" s="161" t="s"/>
      <c r="T199" s="161" t="s"/>
      <c r="U199" s="161" t="s"/>
      <c r="V199" s="161" t="s"/>
      <c r="W199" s="161" t="s"/>
      <c r="X199" s="161" t="s"/>
      <c r="Y199" s="161" t="s"/>
      <c r="Z199" s="161" t="s"/>
    </row>
    <row r="200" spans="1:26" customHeight="false">
      <c r="A200" s="121" t="s"/>
      <c r="B200" s="188" t="s"/>
      <c r="C200" s="188" t="s"/>
      <c r="D200" s="121" t="s"/>
      <c r="E200" s="121" t="s"/>
      <c r="F200" s="121" t="s"/>
      <c r="G200" s="121" t="s"/>
      <c r="H200" s="121" t="s"/>
      <c r="I200" s="161" t="s"/>
      <c r="J200" s="187" t="s"/>
      <c r="K200" s="187" t="s"/>
      <c r="L200" s="187" t="s"/>
      <c r="M200" s="161" t="s"/>
      <c r="N200" s="161" t="s"/>
      <c r="O200" s="161" t="s"/>
      <c r="P200" s="161" t="s"/>
      <c r="Q200" s="161" t="s"/>
      <c r="R200" s="161" t="s"/>
      <c r="S200" s="161" t="s"/>
      <c r="T200" s="161" t="s"/>
      <c r="U200" s="161" t="s"/>
      <c r="V200" s="161" t="s"/>
      <c r="W200" s="161" t="s"/>
      <c r="X200" s="161" t="s"/>
      <c r="Y200" s="161" t="s"/>
      <c r="Z200" s="161" t="s"/>
    </row>
    <row r="201" spans="1:26" customHeight="false">
      <c r="A201" s="121" t="s"/>
      <c r="B201" s="188" t="s"/>
      <c r="C201" s="188" t="s"/>
      <c r="D201" s="121" t="s"/>
      <c r="E201" s="121" t="s"/>
      <c r="F201" s="121" t="s"/>
      <c r="G201" s="121" t="s"/>
      <c r="H201" s="121" t="s"/>
      <c r="I201" s="161" t="s"/>
      <c r="J201" s="187" t="s"/>
      <c r="K201" s="187" t="s"/>
      <c r="L201" s="187" t="s"/>
      <c r="M201" s="161" t="s"/>
      <c r="N201" s="161" t="s"/>
      <c r="O201" s="161" t="s"/>
      <c r="P201" s="161" t="s"/>
      <c r="Q201" s="161" t="s"/>
      <c r="R201" s="161" t="s"/>
      <c r="S201" s="161" t="s"/>
      <c r="T201" s="161" t="s"/>
      <c r="U201" s="161" t="s"/>
      <c r="V201" s="161" t="s"/>
      <c r="W201" s="161" t="s"/>
      <c r="X201" s="161" t="s"/>
      <c r="Y201" s="161" t="s"/>
      <c r="Z201" s="161" t="s"/>
    </row>
    <row r="202" spans="1:26" customHeight="false">
      <c r="A202" s="121" t="s"/>
      <c r="B202" s="188" t="s"/>
      <c r="C202" s="188" t="s"/>
      <c r="D202" s="121" t="s"/>
      <c r="E202" s="121" t="s"/>
      <c r="F202" s="121" t="s"/>
      <c r="G202" s="121" t="s"/>
      <c r="H202" s="121" t="s"/>
      <c r="I202" s="161" t="s"/>
      <c r="J202" s="187" t="s"/>
      <c r="K202" s="187" t="s"/>
      <c r="L202" s="187" t="s"/>
      <c r="M202" s="161" t="s"/>
      <c r="N202" s="161" t="s"/>
      <c r="O202" s="161" t="s"/>
      <c r="P202" s="161" t="s"/>
      <c r="Q202" s="161" t="s"/>
      <c r="R202" s="161" t="s"/>
      <c r="S202" s="161" t="s"/>
      <c r="T202" s="161" t="s"/>
      <c r="U202" s="161" t="s"/>
      <c r="V202" s="161" t="s"/>
      <c r="W202" s="161" t="s"/>
      <c r="X202" s="161" t="s"/>
      <c r="Y202" s="161" t="s"/>
      <c r="Z202" s="161" t="s"/>
    </row>
  </sheetData>
  <autoFilter ref="A4:H48">
    <sortState ref="A5:H48"/>
  </autoFilter>
  <mergeCells count="16">
    <mergeCell ref="D3:D4"/>
    <mergeCell ref="E3:E4"/>
    <mergeCell ref="F3:F4"/>
    <mergeCell ref="I3:I4"/>
    <mergeCell ref="J3:L3"/>
    <mergeCell ref="M3:P3"/>
    <mergeCell ref="Q3:T3"/>
    <mergeCell ref="U3:X3"/>
    <mergeCell ref="Y3:AB3"/>
    <mergeCell ref="G3:H3"/>
    <mergeCell ref="A3:A4"/>
    <mergeCell ref="A50:G50"/>
    <mergeCell ref="B3:B4"/>
    <mergeCell ref="C3:C4"/>
    <mergeCell ref="A1:AB1"/>
    <mergeCell ref="A2:AB2"/>
  </mergeCells>
</worksheet>
</file>

<file path=xl/worksheets/sheet9.xml><?xml version="1.0" encoding="utf-8"?>
<worksheet xmlns="http://schemas.openxmlformats.org/spreadsheetml/2006/main">
  <sheetPr>
    <tabColor rgb="FFFFFFFF"/>
  </sheetPr>
  <dimension ref="Y201"/>
  <sheetViews>
    <sheetView showGridLines="true" rightToLeft="false" workbookViewId="0">
      <pane xSplit="1" ySplit="1" topLeftCell="B2" state="frozen"/>
    </sheetView>
  </sheetViews>
  <cols>
    <col min="1" max="1" width="9.29297" customWidth="true"/>
    <col min="2" max="2" width="33.7227" customWidth="true"/>
    <col min="3" max="3" width="14.1523" customWidth="true"/>
    <col min="4" max="5" width="13.8633" customWidth="true"/>
    <col min="6" max="6" width="11.7109" customWidth="true"/>
    <col min="7" max="7" width="13.293" customWidth="true"/>
    <col min="8" max="8" width="9.43359" customWidth="true"/>
    <col min="9" max="9" width="12.8633" customWidth="true"/>
    <col min="10" max="10" width="13.7227" customWidth="true"/>
    <col min="11" max="11" width="30.1523" customWidth="true"/>
    <col min="12" max="12" width="12.8633" customWidth="true"/>
    <col min="13" max="13" width="13.8633" customWidth="true"/>
    <col min="14" max="14" width="23.4336" customWidth="true"/>
    <col min="15" max="15" width="29.8711" customWidth="true"/>
    <col min="16" max="16" width="12.5742" customWidth="true"/>
    <col min="17" max="17" width="13.0039" customWidth="true"/>
    <col min="18" max="18" width="10.0039" customWidth="true"/>
    <col min="19" max="19" width="11.4336" customWidth="true"/>
    <col min="20" max="20" width="17.1523" customWidth="true"/>
    <col min="21" max="21" width="10.293" customWidth="true"/>
    <col min="22" max="22" width="13.1445" customWidth="true"/>
    <col min="23" max="24" width="10.293" customWidth="true"/>
    <col min="25" max="25" width="12.1445" customWidth="true"/>
  </cols>
  <sheetData>
    <row r="1" spans="1:25" ht="40" customHeight="true">
      <c r="A1" s="260" t="s">
        <v>363</v>
      </c>
      <c r="B1" s="261" t="s"/>
      <c r="C1" s="261" t="s"/>
      <c r="D1" s="261" t="s"/>
      <c r="E1" s="261" t="s"/>
      <c r="F1" s="261" t="s"/>
      <c r="G1" s="261" t="s"/>
      <c r="H1" s="261" t="s"/>
      <c r="I1" s="261" t="s"/>
      <c r="J1" s="261" t="s"/>
      <c r="K1" s="262" t="s"/>
      <c r="L1" s="263" t="s"/>
      <c r="M1" s="263" t="s"/>
      <c r="N1" s="263" t="s"/>
      <c r="O1" s="263" t="s"/>
      <c r="P1" s="263" t="s"/>
      <c r="Q1" s="263" t="s"/>
      <c r="R1" s="263" t="s"/>
      <c r="S1" s="263" t="s"/>
      <c r="T1" s="263" t="s"/>
      <c r="U1" s="263" t="s"/>
      <c r="V1" s="263" t="s"/>
      <c r="W1" s="263" t="s"/>
      <c r="X1" s="263" t="s"/>
      <c r="Y1" s="263" t="s"/>
    </row>
    <row r="2" spans="1:25" ht="30" customHeight="true">
      <c r="A2" s="201" t="s">
        <v>3</v>
      </c>
      <c r="B2" s="201" t="s">
        <v>364</v>
      </c>
      <c r="C2" s="197" t="s">
        <v>365</v>
      </c>
      <c r="D2" s="197" t="s"/>
      <c r="E2" s="197" t="s"/>
      <c r="F2" s="197" t="s"/>
      <c r="G2" s="197" t="s"/>
      <c r="H2" s="197" t="s">
        <v>366</v>
      </c>
      <c r="I2" s="264" t="s"/>
      <c r="J2" s="265" t="s"/>
      <c r="K2" s="265" t="s">
        <v>258</v>
      </c>
      <c r="L2" s="266" t="s"/>
      <c r="M2" s="267" t="s"/>
      <c r="N2" s="268" t="s"/>
      <c r="O2" s="268" t="s"/>
      <c r="P2" s="263" t="s"/>
      <c r="Q2" s="263" t="s"/>
      <c r="R2" s="263" t="s"/>
      <c r="S2" s="263" t="s"/>
      <c r="T2" s="263" t="s"/>
      <c r="U2" s="263" t="s"/>
      <c r="V2" s="263" t="s"/>
      <c r="W2" s="263" t="s"/>
      <c r="X2" s="263" t="s"/>
      <c r="Y2" s="263" t="s"/>
    </row>
    <row r="3" spans="1:25" ht="47" customHeight="true">
      <c r="A3" s="269" t="s"/>
      <c r="B3" s="201" t="s"/>
      <c r="C3" s="201" t="s">
        <v>367</v>
      </c>
      <c r="D3" s="201" t="s">
        <v>368</v>
      </c>
      <c r="E3" s="201" t="s">
        <v>369</v>
      </c>
      <c r="F3" s="201" t="s">
        <v>370</v>
      </c>
      <c r="G3" s="201" t="s">
        <v>371</v>
      </c>
      <c r="H3" s="201" t="s">
        <v>7</v>
      </c>
      <c r="I3" s="270" t="s">
        <v>8</v>
      </c>
      <c r="J3" s="271" t="s">
        <v>372</v>
      </c>
      <c r="K3" s="272" t="s"/>
      <c r="L3" s="273" t="s">
        <v>373</v>
      </c>
      <c r="M3" s="274" t="s">
        <v>374</v>
      </c>
      <c r="N3" s="274" t="s">
        <v>375</v>
      </c>
      <c r="O3" s="274" t="s">
        <v>374</v>
      </c>
      <c r="P3" s="274" t="s">
        <v>376</v>
      </c>
      <c r="Q3" s="275" t="e">
        <f>=G74+G73+G75+G77+G84++G86+G88+G90+G91+G89+G92+G93+G94+#REF!+#REF!-G74-I74*(90+85)/10000</f>
        <v>#REF!</v>
      </c>
      <c r="R3" s="263" t="s"/>
      <c r="S3" s="276">
        <f>=I74+I73+I75+I77+I84++I86+I88+I90+I91+I89+I92+I93+I94-I74</f>
        <v>94263.53</v>
      </c>
      <c r="T3" s="263" t="e">
        <f>=Q3/S3*10000</f>
        <v>#REF!</v>
      </c>
      <c r="U3" s="263" t="s"/>
      <c r="V3" s="263" t="s"/>
      <c r="W3" s="263" t="s"/>
      <c r="X3" s="263" t="s"/>
      <c r="Y3" s="263" t="s"/>
    </row>
    <row r="4" spans="1:25" ht="32" customHeight="true">
      <c r="A4" s="277" t="s">
        <v>377</v>
      </c>
      <c r="B4" s="278" t="s">
        <v>2499</v>
      </c>
      <c r="C4" s="279">
        <f>=C5+C68</f>
        <v>41031.04496715</v>
      </c>
      <c r="D4" s="279" t="e">
        <f>=D5+D68</f>
        <v>#VALUE!</v>
      </c>
      <c r="E4" s="279" t="e">
        <f>=E5+E68</f>
        <v>#VALUE!</v>
      </c>
      <c r="F4" s="279">
        <f>=F5+F68</f>
        <v>0</v>
      </c>
      <c r="G4" s="279" t="e">
        <f>=SUM(C4:F4)</f>
        <v>#VALUE!</v>
      </c>
      <c r="H4" s="280" t="s">
        <v>2525</v>
      </c>
      <c r="I4" s="281">
        <v>100000</v>
      </c>
      <c r="J4" s="282" t="e">
        <f>=G4/I4*10000</f>
        <v>#VALUE!</v>
      </c>
      <c r="K4" s="283" t="s"/>
      <c r="L4" s="284">
        <v>72700</v>
      </c>
      <c r="M4" s="285" t="e">
        <f>=L4-G4</f>
        <v>#VALUE!</v>
      </c>
      <c r="N4" s="268" t="s"/>
      <c r="O4" s="286" t="s"/>
      <c r="P4" s="287">
        <v>85500</v>
      </c>
      <c r="Q4" s="286">
        <f>=P4-G137</f>
        <v>6.74921829689993</v>
      </c>
      <c r="R4" s="263" t="s"/>
      <c r="S4" s="263" t="s"/>
      <c r="T4" s="263" t="s"/>
      <c r="U4" s="263" t="s"/>
      <c r="V4" s="263" t="s"/>
      <c r="W4" s="263" t="s"/>
      <c r="X4" s="263" t="s"/>
      <c r="Y4" s="263" t="s"/>
    </row>
    <row r="5" spans="1:25" ht="32" customHeight="true">
      <c r="A5" s="288" t="s">
        <v>379</v>
      </c>
      <c r="B5" s="289" t="s">
        <v>380</v>
      </c>
      <c r="C5" s="290">
        <f>=C6+C44</f>
        <v>38722.95806915</v>
      </c>
      <c r="D5" s="290" t="e">
        <f>=D6+D44</f>
        <v>#VALUE!</v>
      </c>
      <c r="E5" s="290" t="e">
        <f>=E6+E44</f>
        <v>#VALUE!</v>
      </c>
      <c r="F5" s="290">
        <f>=F6+F44</f>
        <v>0</v>
      </c>
      <c r="G5" s="290" t="e">
        <f>=SUM(C5:F5)</f>
        <v>#VALUE!</v>
      </c>
      <c r="H5" s="280" t="s">
        <v>2525</v>
      </c>
      <c r="I5" s="281">
        <f>=I4</f>
        <v>100000</v>
      </c>
      <c r="J5" s="291" t="e">
        <f>=G5/I5*10000</f>
        <v>#VALUE!</v>
      </c>
      <c r="K5" s="283" t="s"/>
      <c r="L5" s="292" t="s"/>
      <c r="M5" s="293" t="s"/>
      <c r="N5" s="293" t="s"/>
      <c r="O5" s="293" t="s"/>
      <c r="P5" s="293" t="s"/>
      <c r="Q5" s="293" t="s"/>
      <c r="R5" s="293" t="s"/>
      <c r="S5" s="293" t="s"/>
      <c r="T5" s="293" t="s"/>
      <c r="U5" s="293" t="s"/>
      <c r="V5" s="293" t="s"/>
      <c r="W5" s="293" t="s"/>
      <c r="X5" s="293" t="s"/>
      <c r="Y5" s="293" t="s"/>
    </row>
    <row r="6" spans="1:25" ht="32" customHeight="true">
      <c r="A6" s="288" t="s">
        <v>381</v>
      </c>
      <c r="B6" s="289" t="s">
        <v>367</v>
      </c>
      <c r="C6" s="290">
        <f>=SUM(C7:C42)</f>
        <v>38722.95806915</v>
      </c>
      <c r="D6" s="290">
        <f>=SUM(D7:D41)</f>
        <v>0</v>
      </c>
      <c r="E6" s="290">
        <f>=SUM(E7:E41)</f>
        <v>0</v>
      </c>
      <c r="F6" s="290">
        <f>=SUM(F7:F41)</f>
        <v>0</v>
      </c>
      <c r="G6" s="290">
        <f>=SUM(C6:F6)</f>
        <v>38722.95806915</v>
      </c>
      <c r="H6" s="280" t="s">
        <v>2525</v>
      </c>
      <c r="I6" s="281">
        <f>=I5</f>
        <v>100000</v>
      </c>
      <c r="J6" s="291">
        <f>=G6/I6*10000</f>
        <v>3872.295806915</v>
      </c>
      <c r="K6" s="283" t="s"/>
      <c r="L6" s="292" t="s"/>
      <c r="M6" s="293" t="s"/>
      <c r="N6" s="294">
        <v>126.7</v>
      </c>
      <c r="O6" s="294">
        <v>232.8</v>
      </c>
      <c r="P6" s="294">
        <v>11</v>
      </c>
      <c r="Q6" s="293" t="s"/>
      <c r="R6" s="294">
        <f>=(N6-7.5)*(O6-7.5)*5.6+(N6-22)*(O6-22)*12.3</f>
        <v>421862.604</v>
      </c>
      <c r="S6" s="294">
        <f>=N6-P6*2</f>
        <v>104.7</v>
      </c>
      <c r="T6" s="294">
        <f>=O6-P6*2</f>
        <v>210.8</v>
      </c>
      <c r="U6" s="293" t="s"/>
      <c r="V6" s="293" t="s"/>
      <c r="W6" s="293" t="s"/>
      <c r="X6" s="293" t="s"/>
      <c r="Y6" s="293" t="s"/>
    </row>
    <row r="7" spans="1:25" ht="32" customHeight="true">
      <c r="A7" s="201">
        <v>1</v>
      </c>
      <c r="B7" s="283" t="s">
        <v>272</v>
      </c>
      <c r="C7" s="295">
        <f>=5122.18*1.3</f>
        <v>6658.834</v>
      </c>
      <c r="D7" s="295" t="s"/>
      <c r="E7" s="295" t="s"/>
      <c r="F7" s="295" t="s"/>
      <c r="G7" s="295">
        <f>=SUM(C7:F7)</f>
        <v>6658.834</v>
      </c>
      <c r="H7" s="201" t="s">
        <v>273</v>
      </c>
      <c r="I7" s="296">
        <v>662</v>
      </c>
      <c r="J7" s="297">
        <f>=C7/I7*10000</f>
        <v>100586.616314199</v>
      </c>
      <c r="K7" s="283" t="s"/>
      <c r="L7" s="298" t="s"/>
      <c r="M7" s="299">
        <v>61940</v>
      </c>
      <c r="N7" s="299">
        <v>45.133</v>
      </c>
      <c r="O7" s="299">
        <v>18.492</v>
      </c>
      <c r="P7" s="299">
        <f>=(N7*N7+O7*O7)^(1/2)</f>
        <v>48.7743964903719</v>
      </c>
      <c r="Q7" s="299">
        <f>=N7+O7-P7</f>
        <v>14.8506035096281</v>
      </c>
      <c r="R7" s="299" t="s"/>
      <c r="S7" s="299" t="s"/>
      <c r="T7" s="299" t="s"/>
      <c r="U7" s="299" t="s"/>
      <c r="V7" s="299" t="s"/>
      <c r="W7" s="299" t="s"/>
      <c r="X7" s="299" t="s"/>
      <c r="Y7" s="299" t="s"/>
    </row>
    <row r="8" spans="1:25" ht="32" customHeight="true">
      <c r="A8" s="201">
        <v>2</v>
      </c>
      <c r="B8" s="283" t="s">
        <v>276</v>
      </c>
      <c r="C8" s="296">
        <f>=(61940*35+291200*1.05*95+94800*1.05*45)/10000</f>
        <v>3569.44</v>
      </c>
      <c r="D8" s="295" t="s"/>
      <c r="E8" s="295" t="s"/>
      <c r="F8" s="295" t="s"/>
      <c r="G8" s="295">
        <f>=SUM(C8:F8)</f>
        <v>3569.44</v>
      </c>
      <c r="H8" s="201" t="s">
        <v>2526</v>
      </c>
      <c r="I8" s="296">
        <v>467240</v>
      </c>
      <c r="J8" s="297">
        <f>=C8/I8*10000</f>
        <v>76.3941443369575</v>
      </c>
      <c r="K8" s="283" t="s"/>
      <c r="L8" s="298" t="s"/>
      <c r="M8" s="294">
        <v>386000</v>
      </c>
      <c r="N8" s="294">
        <f>=M8-M9</f>
        <v>291200</v>
      </c>
      <c r="O8" s="294" t="s"/>
      <c r="P8" s="294" t="s"/>
      <c r="Q8" s="294" t="s"/>
      <c r="R8" s="294" t="s"/>
      <c r="S8" s="294" t="s"/>
      <c r="T8" s="294" t="s"/>
      <c r="U8" s="294" t="s"/>
      <c r="V8" s="294" t="s"/>
      <c r="W8" s="294" t="s"/>
      <c r="X8" s="294" t="s"/>
      <c r="Y8" s="294" t="s"/>
    </row>
    <row r="9" spans="1:25" ht="32" customHeight="true">
      <c r="A9" s="201">
        <v>3</v>
      </c>
      <c r="B9" s="283" t="s">
        <v>382</v>
      </c>
      <c r="C9" s="295">
        <f>=2167*16*904/10000*1.1*1.03</f>
        <v>3551.2171904</v>
      </c>
      <c r="D9" s="295" t="s"/>
      <c r="E9" s="295" t="s"/>
      <c r="F9" s="295" t="s"/>
      <c r="G9" s="295">
        <f>=SUM(C9:F9)</f>
        <v>3551.2171904</v>
      </c>
      <c r="H9" s="201" t="s">
        <v>2527</v>
      </c>
      <c r="I9" s="296">
        <v>22632</v>
      </c>
      <c r="J9" s="297">
        <f>=C9/I9*10000</f>
        <v>1569.11328667374</v>
      </c>
      <c r="K9" s="283" t="s"/>
      <c r="L9" s="298" t="s"/>
      <c r="M9" s="300">
        <f>=69800+25000</f>
        <v>94800</v>
      </c>
      <c r="N9" s="263" t="s"/>
      <c r="O9" s="263" t="s"/>
      <c r="P9" s="263" t="s"/>
      <c r="Q9" s="263" t="s"/>
      <c r="R9" s="301" t="s"/>
      <c r="S9" s="263" t="s"/>
      <c r="T9" s="263" t="s"/>
      <c r="U9" s="263" t="s"/>
      <c r="V9" s="263" t="s"/>
      <c r="W9" s="263" t="s"/>
      <c r="X9" s="263" t="s"/>
      <c r="Y9" s="263" t="s"/>
    </row>
    <row r="10" spans="1:25" ht="32" customHeight="true">
      <c r="A10" s="201">
        <v>4</v>
      </c>
      <c r="B10" s="283" t="s">
        <v>279</v>
      </c>
      <c r="C10" s="295">
        <f>=I10*J10/10000</f>
        <v>13709.515794</v>
      </c>
      <c r="D10" s="295" t="s"/>
      <c r="E10" s="295" t="s"/>
      <c r="F10" s="295" t="s"/>
      <c r="G10" s="295">
        <f>=SUM(C10:F10)</f>
        <v>13709.515794</v>
      </c>
      <c r="H10" s="201" t="s">
        <v>2527</v>
      </c>
      <c r="I10" s="296">
        <v>42869.03</v>
      </c>
      <c r="J10" s="297">
        <v>3198</v>
      </c>
      <c r="K10" s="283" t="s"/>
      <c r="L10" s="302">
        <f>=SUM(C10:C33)</f>
        <v>20626.52447875</v>
      </c>
      <c r="M10" s="303" t="s">
        <v>3</v>
      </c>
      <c r="N10" s="303" t="s">
        <v>2528</v>
      </c>
      <c r="O10" s="303" t="s">
        <v>2529</v>
      </c>
      <c r="P10" s="303" t="s">
        <v>383</v>
      </c>
      <c r="Q10" s="303" t="s">
        <v>7</v>
      </c>
      <c r="R10" s="303" t="s">
        <v>8</v>
      </c>
      <c r="S10" s="304" t="s">
        <v>258</v>
      </c>
      <c r="T10" s="263" t="s"/>
      <c r="U10" s="263" t="s"/>
      <c r="V10" s="263" t="s"/>
      <c r="W10" s="263" t="s"/>
      <c r="X10" s="263" t="s"/>
      <c r="Y10" s="263" t="s"/>
    </row>
    <row r="11" spans="1:25" ht="32" customHeight="true">
      <c r="A11" s="201">
        <v>5</v>
      </c>
      <c r="B11" s="283" t="s">
        <v>384</v>
      </c>
      <c r="C11" s="295">
        <f>=I11*J11/10000</f>
        <v>306.023424</v>
      </c>
      <c r="D11" s="295" t="s"/>
      <c r="E11" s="295" t="s"/>
      <c r="F11" s="295" t="s"/>
      <c r="G11" s="295">
        <f>=SUM(C11:F11)</f>
        <v>306.023424</v>
      </c>
      <c r="H11" s="201" t="s">
        <v>2526</v>
      </c>
      <c r="I11" s="296">
        <f>=9.8*6.4*19</f>
        <v>1191.68</v>
      </c>
      <c r="J11" s="297">
        <v>2568</v>
      </c>
      <c r="K11" s="283" t="s">
        <v>385</v>
      </c>
      <c r="L11" s="302" t="s"/>
      <c r="M11" s="305">
        <v>1</v>
      </c>
      <c r="N11" s="305" t="s">
        <v>384</v>
      </c>
      <c r="O11" s="306" t="s">
        <v>386</v>
      </c>
      <c r="P11" s="306" t="s">
        <v>387</v>
      </c>
      <c r="Q11" s="305" t="s">
        <v>388</v>
      </c>
      <c r="R11" s="306">
        <v>1</v>
      </c>
      <c r="S11" s="307" t="s">
        <v>385</v>
      </c>
      <c r="T11" s="263" t="s"/>
      <c r="U11" s="263" t="s"/>
      <c r="V11" s="263" t="s"/>
      <c r="W11" s="263" t="s"/>
      <c r="X11" s="263" t="s"/>
      <c r="Y11" s="263" t="s"/>
    </row>
    <row r="12" spans="1:25" ht="32" customHeight="true">
      <c r="A12" s="201">
        <v>6</v>
      </c>
      <c r="B12" s="283" t="s">
        <v>389</v>
      </c>
      <c r="C12" s="295">
        <f>=I12*J12/10000</f>
        <v>296.360592</v>
      </c>
      <c r="D12" s="295" t="s"/>
      <c r="E12" s="295" t="s"/>
      <c r="F12" s="295" t="s"/>
      <c r="G12" s="295">
        <f>=SUM(C12:F12)</f>
        <v>296.360592</v>
      </c>
      <c r="H12" s="201" t="s">
        <v>2526</v>
      </c>
      <c r="I12" s="296">
        <f>=17.6*24.1*12*0.85</f>
        <v>4326.432</v>
      </c>
      <c r="J12" s="297">
        <v>685</v>
      </c>
      <c r="K12" s="283" t="s">
        <v>390</v>
      </c>
      <c r="L12" s="308">
        <f>=L10/I10*10000</f>
        <v>4811.52115612367</v>
      </c>
      <c r="M12" s="309">
        <v>2</v>
      </c>
      <c r="N12" s="310" t="s">
        <v>389</v>
      </c>
      <c r="O12" s="309" t="s">
        <v>391</v>
      </c>
      <c r="P12" s="309" t="s">
        <v>387</v>
      </c>
      <c r="Q12" s="310" t="s">
        <v>388</v>
      </c>
      <c r="R12" s="309">
        <v>1</v>
      </c>
      <c r="S12" s="311" t="s">
        <v>390</v>
      </c>
      <c r="T12" s="263" t="s"/>
      <c r="U12" s="263" t="s"/>
      <c r="V12" s="263" t="s"/>
      <c r="W12" s="263" t="s"/>
      <c r="X12" s="263" t="s"/>
      <c r="Y12" s="263" t="s"/>
    </row>
    <row r="13" spans="1:25" ht="32" customHeight="true">
      <c r="A13" s="201">
        <v>7</v>
      </c>
      <c r="B13" s="283" t="s">
        <v>392</v>
      </c>
      <c r="C13" s="295">
        <f>=I13*J13/10000</f>
        <v>46.30082688</v>
      </c>
      <c r="D13" s="295" t="s"/>
      <c r="E13" s="295" t="s"/>
      <c r="F13" s="295" t="s"/>
      <c r="G13" s="295">
        <f>=SUM(C13:F13)</f>
        <v>46.30082688</v>
      </c>
      <c r="H13" s="201" t="s">
        <v>2526</v>
      </c>
      <c r="I13" s="296">
        <f>=17.6*13.7*3.15*0.8</f>
        <v>607.6224</v>
      </c>
      <c r="J13" s="297">
        <v>762</v>
      </c>
      <c r="K13" s="283" t="s">
        <v>390</v>
      </c>
      <c r="L13" s="263" t="s"/>
      <c r="M13" s="310">
        <v>3</v>
      </c>
      <c r="N13" s="310" t="s">
        <v>392</v>
      </c>
      <c r="O13" s="309" t="s">
        <v>393</v>
      </c>
      <c r="P13" s="309" t="s">
        <v>387</v>
      </c>
      <c r="Q13" s="310" t="s">
        <v>388</v>
      </c>
      <c r="R13" s="309">
        <v>1</v>
      </c>
      <c r="S13" s="311" t="s">
        <v>390</v>
      </c>
      <c r="T13" s="263" t="s"/>
      <c r="U13" s="263" t="s"/>
      <c r="V13" s="263" t="s"/>
      <c r="W13" s="263" t="s"/>
      <c r="X13" s="263" t="s"/>
      <c r="Y13" s="263" t="s"/>
    </row>
    <row r="14" spans="1:25" ht="32" customHeight="true">
      <c r="A14" s="201">
        <v>8</v>
      </c>
      <c r="B14" s="283" t="s">
        <v>394</v>
      </c>
      <c r="C14" s="295">
        <f>=I14*J14/10000</f>
        <v>291.9671664</v>
      </c>
      <c r="D14" s="295" t="s"/>
      <c r="E14" s="295" t="s"/>
      <c r="F14" s="295" t="s"/>
      <c r="G14" s="295">
        <f>=SUM(C14:F14)</f>
        <v>291.9671664</v>
      </c>
      <c r="H14" s="201" t="s">
        <v>2526</v>
      </c>
      <c r="I14" s="296">
        <f>=20.5*27.4*9.1*0.85</f>
        <v>4344.7495</v>
      </c>
      <c r="J14" s="297">
        <v>672</v>
      </c>
      <c r="K14" s="283" t="s">
        <v>390</v>
      </c>
      <c r="L14" s="300" t="e">
        <f>=G133</f>
        <v>#VALUE!</v>
      </c>
      <c r="M14" s="306">
        <v>4</v>
      </c>
      <c r="N14" s="305" t="s">
        <v>394</v>
      </c>
      <c r="O14" s="306" t="s">
        <v>395</v>
      </c>
      <c r="P14" s="306" t="s">
        <v>387</v>
      </c>
      <c r="Q14" s="305" t="s">
        <v>388</v>
      </c>
      <c r="R14" s="306">
        <v>1</v>
      </c>
      <c r="S14" s="307" t="s">
        <v>390</v>
      </c>
      <c r="T14" s="263" t="s"/>
      <c r="U14" s="263" t="s"/>
      <c r="V14" s="263" t="s"/>
      <c r="W14" s="263" t="s"/>
      <c r="X14" s="263" t="s"/>
      <c r="Y14" s="263" t="s"/>
    </row>
    <row r="15" spans="1:25" ht="32" customHeight="true">
      <c r="A15" s="201">
        <v>9</v>
      </c>
      <c r="B15" s="283" t="s">
        <v>396</v>
      </c>
      <c r="C15" s="295">
        <f>=I15*J15/10000</f>
        <v>49.717395</v>
      </c>
      <c r="D15" s="295" t="s"/>
      <c r="E15" s="295" t="s"/>
      <c r="F15" s="295" t="s"/>
      <c r="G15" s="295">
        <f>=SUM(C15:F15)</f>
        <v>49.717395</v>
      </c>
      <c r="H15" s="201" t="s">
        <v>2526</v>
      </c>
      <c r="I15" s="296">
        <f>=210*3.55*0.9</f>
        <v>670.95</v>
      </c>
      <c r="J15" s="297">
        <v>741</v>
      </c>
      <c r="K15" s="283" t="s">
        <v>390</v>
      </c>
      <c r="L15" s="263" t="s"/>
      <c r="M15" s="310">
        <v>5</v>
      </c>
      <c r="N15" s="310" t="s">
        <v>396</v>
      </c>
      <c r="O15" s="309" t="s">
        <v>397</v>
      </c>
      <c r="P15" s="309" t="s">
        <v>387</v>
      </c>
      <c r="Q15" s="310" t="s">
        <v>388</v>
      </c>
      <c r="R15" s="309">
        <v>1</v>
      </c>
      <c r="S15" s="311" t="s">
        <v>390</v>
      </c>
      <c r="T15" s="263" t="s"/>
      <c r="U15" s="263" t="s"/>
      <c r="V15" s="263" t="s"/>
      <c r="W15" s="263" t="s"/>
      <c r="X15" s="263" t="s"/>
      <c r="Y15" s="263" t="s"/>
    </row>
    <row r="16" spans="1:25" ht="32" customHeight="true">
      <c r="A16" s="201">
        <v>10</v>
      </c>
      <c r="B16" s="283" t="s">
        <v>398</v>
      </c>
      <c r="C16" s="295">
        <f>=I16*J16/10000</f>
        <v>2918.534976</v>
      </c>
      <c r="D16" s="295" t="s"/>
      <c r="E16" s="295" t="s"/>
      <c r="F16" s="295" t="s"/>
      <c r="G16" s="295">
        <f>=SUM(C16:F16)</f>
        <v>2918.534976</v>
      </c>
      <c r="H16" s="201" t="s">
        <v>2526</v>
      </c>
      <c r="I16" s="296">
        <f>=47.6*97.2*10*2*0.95</f>
        <v>87907.68</v>
      </c>
      <c r="J16" s="297">
        <v>332</v>
      </c>
      <c r="K16" s="283" t="s">
        <v>390</v>
      </c>
      <c r="L16" s="263" t="s"/>
      <c r="M16" s="309">
        <v>6</v>
      </c>
      <c r="N16" s="310" t="s">
        <v>398</v>
      </c>
      <c r="O16" s="309" t="s">
        <v>399</v>
      </c>
      <c r="P16" s="309" t="s">
        <v>387</v>
      </c>
      <c r="Q16" s="310" t="s">
        <v>25</v>
      </c>
      <c r="R16" s="309">
        <v>2</v>
      </c>
      <c r="S16" s="311" t="s">
        <v>390</v>
      </c>
      <c r="T16" s="263" t="s"/>
      <c r="U16" s="263" t="s"/>
      <c r="V16" s="263" t="s"/>
      <c r="W16" s="263" t="s"/>
      <c r="X16" s="263" t="s"/>
      <c r="Y16" s="263" t="s"/>
    </row>
    <row r="17" spans="1:25" ht="32" customHeight="true">
      <c r="A17" s="201">
        <v>11</v>
      </c>
      <c r="B17" s="283" t="s">
        <v>400</v>
      </c>
      <c r="C17" s="295">
        <f>=I17*J17/10000</f>
        <v>1584.6942951</v>
      </c>
      <c r="D17" s="295" t="s"/>
      <c r="E17" s="295" t="s"/>
      <c r="F17" s="295" t="s"/>
      <c r="G17" s="295">
        <f>=SUM(C17:F17)</f>
        <v>1584.6942951</v>
      </c>
      <c r="H17" s="201" t="s">
        <v>2526</v>
      </c>
      <c r="I17" s="296">
        <f>=9.05*56.7*(7.2+10)/2*10*0.95</f>
        <v>41923.1295</v>
      </c>
      <c r="J17" s="297">
        <v>378</v>
      </c>
      <c r="K17" s="283" t="s">
        <v>390</v>
      </c>
      <c r="L17" s="263" t="s"/>
      <c r="M17" s="310">
        <v>7</v>
      </c>
      <c r="N17" s="310" t="s">
        <v>400</v>
      </c>
      <c r="O17" s="309" t="s">
        <v>401</v>
      </c>
      <c r="P17" s="309" t="s">
        <v>387</v>
      </c>
      <c r="Q17" s="310" t="s">
        <v>25</v>
      </c>
      <c r="R17" s="309">
        <v>10</v>
      </c>
      <c r="S17" s="311" t="s">
        <v>390</v>
      </c>
      <c r="T17" s="263" t="s"/>
      <c r="U17" s="263" t="s"/>
      <c r="V17" s="263" t="s"/>
      <c r="W17" s="263" t="s"/>
      <c r="X17" s="263" t="s"/>
      <c r="Y17" s="263" t="s"/>
    </row>
    <row r="18" spans="1:25" ht="32" customHeight="true">
      <c r="A18" s="201">
        <v>12</v>
      </c>
      <c r="B18" s="283" t="s">
        <v>402</v>
      </c>
      <c r="C18" s="295">
        <f>=I18*J18/10000</f>
        <v>242.84250927</v>
      </c>
      <c r="D18" s="295" t="s"/>
      <c r="E18" s="295" t="s"/>
      <c r="F18" s="295" t="s"/>
      <c r="G18" s="295">
        <f>=SUM(C18:F18)</f>
        <v>242.84250927</v>
      </c>
      <c r="H18" s="201" t="s">
        <v>2526</v>
      </c>
      <c r="I18" s="296">
        <f>=17.95*26.1*8.7*0.9</f>
        <v>3668.31585</v>
      </c>
      <c r="J18" s="297">
        <v>662</v>
      </c>
      <c r="K18" s="283" t="s">
        <v>390</v>
      </c>
      <c r="L18" s="263" t="s"/>
      <c r="M18" s="309">
        <v>8</v>
      </c>
      <c r="N18" s="310" t="s">
        <v>402</v>
      </c>
      <c r="O18" s="309" t="s">
        <v>403</v>
      </c>
      <c r="P18" s="309" t="s">
        <v>387</v>
      </c>
      <c r="Q18" s="310" t="s">
        <v>388</v>
      </c>
      <c r="R18" s="309">
        <v>1</v>
      </c>
      <c r="S18" s="311" t="s">
        <v>390</v>
      </c>
      <c r="T18" s="263" t="s"/>
      <c r="U18" s="263" t="s"/>
      <c r="V18" s="263" t="s"/>
      <c r="W18" s="263" t="s"/>
      <c r="X18" s="263" t="s"/>
      <c r="Y18" s="263" t="s"/>
    </row>
    <row r="19" spans="1:25" ht="32" customHeight="true">
      <c r="A19" s="201">
        <v>13</v>
      </c>
      <c r="B19" s="283" t="s">
        <v>404</v>
      </c>
      <c r="C19" s="295">
        <f>=I19*J19/10000</f>
        <v>333.620658</v>
      </c>
      <c r="D19" s="295" t="s"/>
      <c r="E19" s="295" t="s"/>
      <c r="F19" s="295" t="s"/>
      <c r="G19" s="295">
        <f>=SUM(C19:F19)</f>
        <v>333.620658</v>
      </c>
      <c r="H19" s="201" t="s">
        <v>2526</v>
      </c>
      <c r="I19" s="296">
        <f>=23*29.2*9*0.95</f>
        <v>5742.18</v>
      </c>
      <c r="J19" s="297">
        <v>581</v>
      </c>
      <c r="K19" s="283" t="s">
        <v>390</v>
      </c>
      <c r="L19" s="263" t="s"/>
      <c r="M19" s="310">
        <v>9</v>
      </c>
      <c r="N19" s="305" t="s">
        <v>404</v>
      </c>
      <c r="O19" s="306" t="s">
        <v>405</v>
      </c>
      <c r="P19" s="306" t="s">
        <v>387</v>
      </c>
      <c r="Q19" s="305" t="s">
        <v>388</v>
      </c>
      <c r="R19" s="306">
        <v>1</v>
      </c>
      <c r="S19" s="307" t="s">
        <v>390</v>
      </c>
      <c r="T19" s="263" t="s"/>
      <c r="U19" s="263" t="s"/>
      <c r="V19" s="263" t="s"/>
      <c r="W19" s="263" t="s"/>
      <c r="X19" s="263" t="s"/>
      <c r="Y19" s="263" t="s"/>
    </row>
    <row r="20" spans="1:25" ht="32" customHeight="true">
      <c r="A20" s="201">
        <v>14</v>
      </c>
      <c r="B20" s="283" t="s">
        <v>406</v>
      </c>
      <c r="C20" s="295">
        <f>=I20*J20/10000</f>
        <v>295.56</v>
      </c>
      <c r="D20" s="295" t="s"/>
      <c r="E20" s="295" t="s"/>
      <c r="F20" s="295" t="s"/>
      <c r="G20" s="295">
        <f>=SUM(C20:F20)</f>
        <v>295.56</v>
      </c>
      <c r="H20" s="201" t="s">
        <v>2527</v>
      </c>
      <c r="I20" s="296">
        <v>1642</v>
      </c>
      <c r="J20" s="297">
        <v>1800</v>
      </c>
      <c r="K20" s="283" t="s">
        <v>407</v>
      </c>
      <c r="L20" s="263" t="s"/>
      <c r="M20" s="309">
        <v>10</v>
      </c>
      <c r="N20" s="305" t="s">
        <v>406</v>
      </c>
      <c r="O20" s="306" t="s">
        <v>408</v>
      </c>
      <c r="P20" s="305" t="s">
        <v>409</v>
      </c>
      <c r="Q20" s="305" t="s">
        <v>410</v>
      </c>
      <c r="R20" s="306">
        <v>1</v>
      </c>
      <c r="S20" s="307" t="s">
        <v>407</v>
      </c>
      <c r="T20" s="263" t="s"/>
      <c r="U20" s="263" t="s"/>
      <c r="V20" s="263" t="s"/>
      <c r="W20" s="263" t="s"/>
      <c r="X20" s="263" t="s"/>
      <c r="Y20" s="263" t="s"/>
    </row>
    <row r="21" spans="1:25" ht="32" customHeight="true">
      <c r="A21" s="201">
        <v>15</v>
      </c>
      <c r="B21" s="283" t="s">
        <v>411</v>
      </c>
      <c r="C21" s="295">
        <f>=I21*J21/10000</f>
        <v>51.75</v>
      </c>
      <c r="D21" s="295" t="s"/>
      <c r="E21" s="295" t="s"/>
      <c r="F21" s="295" t="s"/>
      <c r="G21" s="295">
        <f>=SUM(C21:F21)</f>
        <v>51.75</v>
      </c>
      <c r="H21" s="201" t="s">
        <v>2527</v>
      </c>
      <c r="I21" s="296">
        <v>345</v>
      </c>
      <c r="J21" s="297">
        <v>1500</v>
      </c>
      <c r="K21" s="283" t="s">
        <v>390</v>
      </c>
      <c r="L21" s="263" t="s"/>
      <c r="M21" s="310">
        <v>11</v>
      </c>
      <c r="N21" s="305" t="s">
        <v>411</v>
      </c>
      <c r="O21" s="306" t="s">
        <v>412</v>
      </c>
      <c r="P21" s="305" t="s">
        <v>409</v>
      </c>
      <c r="Q21" s="305" t="s">
        <v>410</v>
      </c>
      <c r="R21" s="306">
        <v>1</v>
      </c>
      <c r="S21" s="307" t="s">
        <v>413</v>
      </c>
      <c r="T21" s="263" t="s"/>
      <c r="U21" s="263" t="s"/>
      <c r="V21" s="263" t="s"/>
      <c r="W21" s="263" t="s"/>
      <c r="X21" s="263" t="s"/>
      <c r="Y21" s="263" t="s"/>
    </row>
    <row r="22" spans="1:25" ht="32" customHeight="true">
      <c r="A22" s="201">
        <v>16</v>
      </c>
      <c r="B22" s="283" t="s">
        <v>414</v>
      </c>
      <c r="C22" s="295">
        <f>=I22*J22/10000</f>
        <v>20.9297088</v>
      </c>
      <c r="D22" s="295" t="s"/>
      <c r="E22" s="295" t="s"/>
      <c r="F22" s="295" t="s"/>
      <c r="G22" s="295">
        <f>=SUM(C22:F22)</f>
        <v>20.9297088</v>
      </c>
      <c r="H22" s="201" t="s">
        <v>2526</v>
      </c>
      <c r="I22" s="296">
        <f>=3.3*7.7*5.2*2</f>
        <v>264.264</v>
      </c>
      <c r="J22" s="297">
        <v>792</v>
      </c>
      <c r="K22" s="283" t="s">
        <v>390</v>
      </c>
      <c r="L22" s="263" t="s"/>
      <c r="M22" s="309">
        <v>12</v>
      </c>
      <c r="N22" s="310" t="s">
        <v>414</v>
      </c>
      <c r="O22" s="309" t="s">
        <v>415</v>
      </c>
      <c r="P22" s="309" t="s">
        <v>387</v>
      </c>
      <c r="Q22" s="310" t="s">
        <v>388</v>
      </c>
      <c r="R22" s="309">
        <v>2</v>
      </c>
      <c r="S22" s="311" t="s">
        <v>413</v>
      </c>
      <c r="T22" s="263" t="s"/>
      <c r="U22" s="263" t="s"/>
      <c r="V22" s="263" t="s"/>
      <c r="W22" s="263" t="s"/>
      <c r="X22" s="263" t="s"/>
      <c r="Y22" s="263" t="s"/>
    </row>
    <row r="23" spans="1:25" ht="32" customHeight="true">
      <c r="A23" s="201">
        <v>17</v>
      </c>
      <c r="B23" s="283" t="s">
        <v>416</v>
      </c>
      <c r="C23" s="295">
        <f>=I23*J23/10000</f>
        <v>11.583</v>
      </c>
      <c r="D23" s="295" t="s"/>
      <c r="E23" s="295" t="s"/>
      <c r="F23" s="295" t="s"/>
      <c r="G23" s="295">
        <f>=SUM(C23:F23)</f>
        <v>11.583</v>
      </c>
      <c r="H23" s="201" t="s">
        <v>2526</v>
      </c>
      <c r="I23" s="296">
        <f>=3*4.5*5.2*2</f>
        <v>140.4</v>
      </c>
      <c r="J23" s="297">
        <v>825</v>
      </c>
      <c r="K23" s="283" t="s">
        <v>390</v>
      </c>
      <c r="L23" s="263" t="s"/>
      <c r="M23" s="310">
        <v>13</v>
      </c>
      <c r="N23" s="309" t="s">
        <v>2530</v>
      </c>
      <c r="O23" s="309" t="s">
        <v>417</v>
      </c>
      <c r="P23" s="309" t="s">
        <v>387</v>
      </c>
      <c r="Q23" s="310" t="s">
        <v>388</v>
      </c>
      <c r="R23" s="309">
        <v>2</v>
      </c>
      <c r="S23" s="311" t="s">
        <v>413</v>
      </c>
      <c r="T23" s="263" t="s"/>
      <c r="U23" s="263" t="s"/>
      <c r="V23" s="263" t="s"/>
      <c r="W23" s="263" t="s"/>
      <c r="X23" s="263" t="s"/>
      <c r="Y23" s="263" t="s"/>
    </row>
    <row r="24" spans="1:25" ht="32" customHeight="true">
      <c r="A24" s="201">
        <v>18</v>
      </c>
      <c r="B24" s="283" t="s">
        <v>418</v>
      </c>
      <c r="C24" s="295">
        <f>=I24*J24/10000</f>
        <v>9.4084224</v>
      </c>
      <c r="D24" s="295" t="s"/>
      <c r="E24" s="295" t="s"/>
      <c r="F24" s="295" t="s"/>
      <c r="G24" s="295">
        <f>=SUM(C24:F24)</f>
        <v>9.4084224</v>
      </c>
      <c r="H24" s="201" t="s">
        <v>2526</v>
      </c>
      <c r="I24" s="296">
        <f>=4.7*4.8*5.2</f>
        <v>117.312</v>
      </c>
      <c r="J24" s="297">
        <v>802</v>
      </c>
      <c r="K24" s="283" t="s">
        <v>390</v>
      </c>
      <c r="L24" s="263" t="s"/>
      <c r="M24" s="309">
        <v>14</v>
      </c>
      <c r="N24" s="305" t="s">
        <v>418</v>
      </c>
      <c r="O24" s="306" t="s">
        <v>419</v>
      </c>
      <c r="P24" s="306" t="s">
        <v>387</v>
      </c>
      <c r="Q24" s="305" t="s">
        <v>388</v>
      </c>
      <c r="R24" s="306">
        <v>1</v>
      </c>
      <c r="S24" s="307" t="s">
        <v>413</v>
      </c>
      <c r="T24" s="263" t="s"/>
      <c r="U24" s="263" t="s"/>
      <c r="V24" s="263" t="s"/>
      <c r="W24" s="263" t="s"/>
      <c r="X24" s="263" t="s"/>
      <c r="Y24" s="263" t="s"/>
    </row>
    <row r="25" spans="1:25" ht="32" customHeight="true">
      <c r="A25" s="201">
        <v>19</v>
      </c>
      <c r="B25" s="283" t="s">
        <v>420</v>
      </c>
      <c r="C25" s="295">
        <f>=I25*J25/10000</f>
        <v>52.02</v>
      </c>
      <c r="D25" s="295" t="s"/>
      <c r="E25" s="295" t="s"/>
      <c r="F25" s="295" t="s"/>
      <c r="G25" s="295">
        <f>=SUM(C25:F25)</f>
        <v>52.02</v>
      </c>
      <c r="H25" s="201" t="s">
        <v>2527</v>
      </c>
      <c r="I25" s="296">
        <v>306</v>
      </c>
      <c r="J25" s="297">
        <v>1700</v>
      </c>
      <c r="K25" s="283" t="s">
        <v>390</v>
      </c>
      <c r="L25" s="263" t="s"/>
      <c r="M25" s="310">
        <v>15</v>
      </c>
      <c r="N25" s="310" t="s">
        <v>420</v>
      </c>
      <c r="O25" s="309" t="s">
        <v>421</v>
      </c>
      <c r="P25" s="310" t="s">
        <v>409</v>
      </c>
      <c r="Q25" s="310" t="s">
        <v>388</v>
      </c>
      <c r="R25" s="309">
        <v>1</v>
      </c>
      <c r="S25" s="311" t="s">
        <v>390</v>
      </c>
      <c r="T25" s="263" t="s"/>
      <c r="U25" s="263" t="s"/>
      <c r="V25" s="263" t="s"/>
      <c r="W25" s="263" t="s"/>
      <c r="X25" s="263" t="s"/>
      <c r="Y25" s="263" t="s"/>
    </row>
    <row r="26" spans="1:25" ht="32" customHeight="true">
      <c r="A26" s="201">
        <v>20</v>
      </c>
      <c r="B26" s="283" t="s">
        <v>422</v>
      </c>
      <c r="C26" s="295">
        <f>=I26*J26/10000</f>
        <v>29.089368</v>
      </c>
      <c r="D26" s="295" t="s"/>
      <c r="E26" s="295" t="s"/>
      <c r="F26" s="295" t="s"/>
      <c r="G26" s="295">
        <f>=SUM(C26:F26)</f>
        <v>29.089368</v>
      </c>
      <c r="H26" s="201" t="s">
        <v>2526</v>
      </c>
      <c r="I26" s="296">
        <f>=5.3*8.4*10*0.9</f>
        <v>400.68</v>
      </c>
      <c r="J26" s="297">
        <v>726</v>
      </c>
      <c r="K26" s="283" t="s">
        <v>390</v>
      </c>
      <c r="L26" s="263" t="s"/>
      <c r="M26" s="309">
        <v>16</v>
      </c>
      <c r="N26" s="310" t="s">
        <v>423</v>
      </c>
      <c r="O26" s="309" t="s">
        <v>2531</v>
      </c>
      <c r="P26" s="309" t="s">
        <v>387</v>
      </c>
      <c r="Q26" s="310" t="s">
        <v>388</v>
      </c>
      <c r="R26" s="309">
        <v>1</v>
      </c>
      <c r="S26" s="311" t="s">
        <v>424</v>
      </c>
      <c r="T26" s="263" t="s"/>
      <c r="U26" s="263" t="s"/>
      <c r="V26" s="263" t="s"/>
      <c r="W26" s="263" t="s"/>
      <c r="X26" s="263" t="s"/>
      <c r="Y26" s="263" t="s"/>
    </row>
    <row r="27" spans="1:25" ht="32" customHeight="true">
      <c r="A27" s="201">
        <v>21</v>
      </c>
      <c r="B27" s="283" t="s">
        <v>425</v>
      </c>
      <c r="C27" s="295">
        <f>=I27*J27/10000</f>
        <v>60.8887125</v>
      </c>
      <c r="D27" s="295" t="s"/>
      <c r="E27" s="295" t="s"/>
      <c r="F27" s="295" t="s"/>
      <c r="G27" s="295">
        <f>=SUM(C27:F27)</f>
        <v>60.8887125</v>
      </c>
      <c r="H27" s="201" t="s">
        <v>2526</v>
      </c>
      <c r="I27" s="296">
        <f>=7.7*13.75*10*0.9</f>
        <v>952.875</v>
      </c>
      <c r="J27" s="297">
        <v>639</v>
      </c>
      <c r="K27" s="283" t="s">
        <v>390</v>
      </c>
      <c r="L27" s="263" t="s"/>
      <c r="M27" s="310">
        <v>17</v>
      </c>
      <c r="N27" s="310" t="s">
        <v>425</v>
      </c>
      <c r="O27" s="309" t="s">
        <v>426</v>
      </c>
      <c r="P27" s="309" t="s">
        <v>387</v>
      </c>
      <c r="Q27" s="310" t="s">
        <v>388</v>
      </c>
      <c r="R27" s="309">
        <v>1</v>
      </c>
      <c r="S27" s="311" t="s">
        <v>390</v>
      </c>
      <c r="T27" s="263" t="s"/>
      <c r="U27" s="263" t="s"/>
      <c r="V27" s="263" t="s"/>
      <c r="W27" s="263" t="s"/>
      <c r="X27" s="263" t="s"/>
      <c r="Y27" s="263" t="s"/>
    </row>
    <row r="28" spans="1:25" ht="32" customHeight="true">
      <c r="A28" s="201">
        <v>22</v>
      </c>
      <c r="B28" s="283" t="s">
        <v>427</v>
      </c>
      <c r="C28" s="295">
        <f>=I28*J28/10000</f>
        <v>39.742872</v>
      </c>
      <c r="D28" s="295" t="s"/>
      <c r="E28" s="295" t="s"/>
      <c r="F28" s="295" t="s"/>
      <c r="G28" s="295">
        <f>=SUM(C28:F28)</f>
        <v>39.742872</v>
      </c>
      <c r="H28" s="201" t="s">
        <v>2526</v>
      </c>
      <c r="I28" s="296">
        <f>=5.9*13*6.8</f>
        <v>521.56</v>
      </c>
      <c r="J28" s="297">
        <v>762</v>
      </c>
      <c r="K28" s="283" t="s">
        <v>390</v>
      </c>
      <c r="L28" s="298" t="s"/>
      <c r="M28" s="309">
        <v>18</v>
      </c>
      <c r="N28" s="305" t="s">
        <v>427</v>
      </c>
      <c r="O28" s="306" t="s">
        <v>428</v>
      </c>
      <c r="P28" s="306" t="s">
        <v>387</v>
      </c>
      <c r="Q28" s="305" t="s">
        <v>388</v>
      </c>
      <c r="R28" s="306">
        <v>1</v>
      </c>
      <c r="S28" s="307" t="s">
        <v>390</v>
      </c>
      <c r="T28" s="263" t="s"/>
      <c r="U28" s="263" t="s"/>
      <c r="V28" s="263" t="s"/>
      <c r="W28" s="263" t="s"/>
      <c r="X28" s="263" t="s"/>
      <c r="Y28" s="263" t="s"/>
    </row>
    <row r="29" spans="1:25" ht="32" customHeight="true">
      <c r="A29" s="201">
        <v>23</v>
      </c>
      <c r="B29" s="283" t="s">
        <v>429</v>
      </c>
      <c r="C29" s="295">
        <f>=I29*J29/10000</f>
        <v>113.1485184</v>
      </c>
      <c r="D29" s="295" t="s"/>
      <c r="E29" s="295" t="s"/>
      <c r="F29" s="295" t="s"/>
      <c r="G29" s="295">
        <f>=SUM(C29:F29)</f>
        <v>113.1485184</v>
      </c>
      <c r="H29" s="201" t="s">
        <v>2526</v>
      </c>
      <c r="I29" s="296">
        <f>=6*6*3.14*6.8*2</f>
        <v>1537.344</v>
      </c>
      <c r="J29" s="297">
        <v>736</v>
      </c>
      <c r="K29" s="283" t="s">
        <v>390</v>
      </c>
      <c r="L29" s="298" t="s"/>
      <c r="M29" s="310">
        <v>19</v>
      </c>
      <c r="N29" s="310" t="s">
        <v>429</v>
      </c>
      <c r="O29" s="309" t="s">
        <v>2532</v>
      </c>
      <c r="P29" s="309" t="s">
        <v>387</v>
      </c>
      <c r="Q29" s="310" t="s">
        <v>388</v>
      </c>
      <c r="R29" s="309">
        <v>2</v>
      </c>
      <c r="S29" s="311" t="s">
        <v>390</v>
      </c>
      <c r="T29" s="263" t="s"/>
      <c r="U29" s="263" t="s"/>
      <c r="V29" s="263" t="s"/>
      <c r="W29" s="263" t="s"/>
      <c r="X29" s="263" t="s"/>
      <c r="Y29" s="263" t="s"/>
    </row>
    <row r="30" spans="1:25" ht="32" customHeight="true">
      <c r="A30" s="201">
        <v>24</v>
      </c>
      <c r="B30" s="283" t="s">
        <v>430</v>
      </c>
      <c r="C30" s="295">
        <f>=I30*J30/10000</f>
        <v>36.6366</v>
      </c>
      <c r="D30" s="295" t="s"/>
      <c r="E30" s="295" t="s"/>
      <c r="F30" s="295" t="s"/>
      <c r="G30" s="295">
        <f>=SUM(C30:F30)</f>
        <v>36.6366</v>
      </c>
      <c r="H30" s="201" t="s">
        <v>2526</v>
      </c>
      <c r="I30" s="296">
        <f>=7.7*13*5</f>
        <v>500.5</v>
      </c>
      <c r="J30" s="297">
        <v>732</v>
      </c>
      <c r="K30" s="283" t="s">
        <v>390</v>
      </c>
      <c r="L30" s="298" t="s"/>
      <c r="M30" s="309">
        <v>20</v>
      </c>
      <c r="N30" s="310" t="s">
        <v>430</v>
      </c>
      <c r="O30" s="309" t="s">
        <v>431</v>
      </c>
      <c r="P30" s="309" t="s">
        <v>387</v>
      </c>
      <c r="Q30" s="310" t="s">
        <v>388</v>
      </c>
      <c r="R30" s="309">
        <v>1</v>
      </c>
      <c r="S30" s="311" t="s">
        <v>413</v>
      </c>
      <c r="T30" s="263" t="s"/>
      <c r="U30" s="263" t="s"/>
      <c r="V30" s="263" t="s"/>
      <c r="W30" s="263" t="s"/>
      <c r="X30" s="263" t="s"/>
      <c r="Y30" s="263" t="s"/>
    </row>
    <row r="31" spans="1:25" ht="32" customHeight="true">
      <c r="A31" s="201">
        <v>25</v>
      </c>
      <c r="B31" s="283" t="s">
        <v>432</v>
      </c>
      <c r="C31" s="295">
        <f>=I31*J31/10000</f>
        <v>10.5</v>
      </c>
      <c r="D31" s="295" t="s"/>
      <c r="E31" s="295" t="s"/>
      <c r="F31" s="295" t="s"/>
      <c r="G31" s="295">
        <f>=SUM(C31:F31)</f>
        <v>10.5</v>
      </c>
      <c r="H31" s="201" t="s">
        <v>2527</v>
      </c>
      <c r="I31" s="296">
        <v>70</v>
      </c>
      <c r="J31" s="297">
        <v>1500</v>
      </c>
      <c r="K31" s="283" t="s">
        <v>390</v>
      </c>
      <c r="L31" s="298" t="s"/>
      <c r="M31" s="310">
        <v>21</v>
      </c>
      <c r="N31" s="305" t="s">
        <v>432</v>
      </c>
      <c r="O31" s="306" t="s">
        <v>433</v>
      </c>
      <c r="P31" s="305" t="s">
        <v>409</v>
      </c>
      <c r="Q31" s="305" t="s">
        <v>388</v>
      </c>
      <c r="R31" s="306">
        <v>1</v>
      </c>
      <c r="S31" s="307" t="s">
        <v>413</v>
      </c>
      <c r="T31" s="263" t="s"/>
      <c r="U31" s="263" t="s"/>
      <c r="V31" s="263" t="s"/>
      <c r="W31" s="263" t="s"/>
      <c r="X31" s="263" t="s"/>
      <c r="Y31" s="263" t="s"/>
    </row>
    <row r="32" spans="1:25" ht="32" customHeight="true">
      <c r="A32" s="201">
        <v>26</v>
      </c>
      <c r="B32" s="283" t="s">
        <v>434</v>
      </c>
      <c r="C32" s="295">
        <f>=I32*J32/10000</f>
        <v>74.074</v>
      </c>
      <c r="D32" s="295" t="s"/>
      <c r="E32" s="295" t="s"/>
      <c r="F32" s="295" t="s"/>
      <c r="G32" s="295">
        <f>=SUM(C32:F32)</f>
        <v>74.074</v>
      </c>
      <c r="H32" s="201" t="s">
        <v>2526</v>
      </c>
      <c r="I32" s="296">
        <f>=13*18.5*5</f>
        <v>1202.5</v>
      </c>
      <c r="J32" s="297">
        <v>616</v>
      </c>
      <c r="K32" s="283" t="s">
        <v>390</v>
      </c>
      <c r="L32" s="298" t="s"/>
      <c r="M32" s="309">
        <v>22</v>
      </c>
      <c r="N32" s="305" t="s">
        <v>434</v>
      </c>
      <c r="O32" s="306" t="s">
        <v>435</v>
      </c>
      <c r="P32" s="306" t="s">
        <v>387</v>
      </c>
      <c r="Q32" s="305" t="s">
        <v>388</v>
      </c>
      <c r="R32" s="306">
        <v>1</v>
      </c>
      <c r="S32" s="307" t="s">
        <v>413</v>
      </c>
      <c r="T32" s="263" t="s"/>
      <c r="U32" s="263" t="s"/>
      <c r="V32" s="263" t="s"/>
      <c r="W32" s="263" t="s"/>
      <c r="X32" s="263" t="s"/>
      <c r="Y32" s="263" t="s"/>
    </row>
    <row r="33" spans="1:25" ht="32" customHeight="true">
      <c r="A33" s="201">
        <v>27</v>
      </c>
      <c r="B33" s="283" t="s">
        <v>436</v>
      </c>
      <c r="C33" s="295">
        <f>=I33*J33/10000</f>
        <v>41.61564</v>
      </c>
      <c r="D33" s="295" t="s"/>
      <c r="E33" s="295" t="s"/>
      <c r="F33" s="295" t="s"/>
      <c r="G33" s="295">
        <f>=SUM(C33:F33)</f>
        <v>41.61564</v>
      </c>
      <c r="H33" s="201" t="s">
        <v>2526</v>
      </c>
      <c r="I33" s="296">
        <f>=8.8*15.5*5*0.9</f>
        <v>613.8</v>
      </c>
      <c r="J33" s="297">
        <v>678</v>
      </c>
      <c r="K33" s="283" t="s">
        <v>390</v>
      </c>
      <c r="L33" s="298" t="s"/>
      <c r="M33" s="310">
        <v>23</v>
      </c>
      <c r="N33" s="305" t="s">
        <v>436</v>
      </c>
      <c r="O33" s="306" t="s">
        <v>437</v>
      </c>
      <c r="P33" s="306" t="s">
        <v>387</v>
      </c>
      <c r="Q33" s="305" t="s">
        <v>410</v>
      </c>
      <c r="R33" s="306">
        <v>1</v>
      </c>
      <c r="S33" s="307" t="s">
        <v>413</v>
      </c>
      <c r="T33" s="263" t="s"/>
      <c r="U33" s="263" t="s"/>
      <c r="V33" s="263" t="s"/>
      <c r="W33" s="263" t="s"/>
      <c r="X33" s="263" t="s"/>
      <c r="Y33" s="263" t="s"/>
    </row>
    <row r="34" spans="1:25" ht="32" customHeight="true">
      <c r="A34" s="201">
        <v>28</v>
      </c>
      <c r="B34" s="283" t="s">
        <v>438</v>
      </c>
      <c r="C34" s="295">
        <v>602.18</v>
      </c>
      <c r="D34" s="295" t="s"/>
      <c r="E34" s="295" t="s"/>
      <c r="F34" s="295" t="s"/>
      <c r="G34" s="295">
        <f>=SUM(C34:F34)</f>
        <v>602.18</v>
      </c>
      <c r="H34" s="201" t="s"/>
      <c r="I34" s="296" t="s"/>
      <c r="J34" s="297" t="s"/>
      <c r="K34" s="297" t="s"/>
      <c r="L34" s="298" t="s"/>
      <c r="M34" s="309">
        <v>24</v>
      </c>
      <c r="N34" s="310" t="s">
        <v>439</v>
      </c>
      <c r="O34" s="309" t="s">
        <v>440</v>
      </c>
      <c r="P34" s="310" t="s">
        <v>409</v>
      </c>
      <c r="Q34" s="310" t="s">
        <v>388</v>
      </c>
      <c r="R34" s="309">
        <v>1</v>
      </c>
      <c r="S34" s="311" t="s">
        <v>441</v>
      </c>
      <c r="T34" s="263" t="s"/>
      <c r="U34" s="263" t="s"/>
      <c r="V34" s="263" t="s"/>
      <c r="W34" s="263" t="s"/>
      <c r="X34" s="263" t="s"/>
      <c r="Y34" s="263" t="s"/>
    </row>
    <row r="35" spans="1:25" ht="32" customHeight="true">
      <c r="A35" s="201">
        <v>29</v>
      </c>
      <c r="B35" s="283" t="s">
        <v>442</v>
      </c>
      <c r="C35" s="295">
        <f>=I35*J35/10000</f>
        <v>1600</v>
      </c>
      <c r="D35" s="295" t="s"/>
      <c r="E35" s="295" t="s"/>
      <c r="F35" s="295" t="s"/>
      <c r="G35" s="295">
        <f>=SUM(C35:F35)</f>
        <v>1600</v>
      </c>
      <c r="H35" s="201" t="s">
        <v>2527</v>
      </c>
      <c r="I35" s="296">
        <v>3200</v>
      </c>
      <c r="J35" s="297">
        <v>5000</v>
      </c>
      <c r="K35" s="312" t="s">
        <v>441</v>
      </c>
      <c r="L35" s="298" t="s"/>
      <c r="M35" s="300">
        <v>24</v>
      </c>
      <c r="N35" s="300" t="s">
        <v>439</v>
      </c>
      <c r="O35" s="300" t="s">
        <v>440</v>
      </c>
      <c r="P35" s="300" t="s">
        <v>409</v>
      </c>
      <c r="Q35" s="300" t="s">
        <v>388</v>
      </c>
      <c r="R35" s="300">
        <v>1</v>
      </c>
      <c r="S35" s="300" t="s">
        <v>441</v>
      </c>
      <c r="T35" s="263" t="s"/>
      <c r="U35" s="263" t="s"/>
      <c r="V35" s="263" t="s"/>
      <c r="W35" s="263" t="s"/>
      <c r="X35" s="263" t="s"/>
      <c r="Y35" s="263" t="s"/>
    </row>
    <row r="36" spans="1:25" ht="32" customHeight="true">
      <c r="A36" s="201">
        <v>30</v>
      </c>
      <c r="B36" s="283" t="s">
        <v>443</v>
      </c>
      <c r="C36" s="295">
        <f>=I36*J36/10000</f>
        <v>288</v>
      </c>
      <c r="D36" s="295" t="s"/>
      <c r="E36" s="295" t="s"/>
      <c r="F36" s="295" t="s"/>
      <c r="G36" s="295">
        <f>=SUM(C36:F36)</f>
        <v>288</v>
      </c>
      <c r="H36" s="201" t="s">
        <v>2527</v>
      </c>
      <c r="I36" s="296">
        <v>400</v>
      </c>
      <c r="J36" s="297">
        <v>7200</v>
      </c>
      <c r="K36" s="312" t="s"/>
      <c r="L36" s="298" t="s"/>
      <c r="M36" s="263" t="s"/>
      <c r="N36" s="263" t="s"/>
      <c r="O36" s="263" t="s"/>
      <c r="P36" s="263" t="s"/>
      <c r="Q36" s="263" t="s"/>
      <c r="R36" s="263" t="s"/>
      <c r="S36" s="263" t="s"/>
      <c r="T36" s="263" t="s"/>
      <c r="U36" s="263" t="s"/>
      <c r="V36" s="263" t="s"/>
      <c r="W36" s="263" t="s"/>
      <c r="X36" s="263" t="s"/>
      <c r="Y36" s="263" t="s"/>
    </row>
    <row r="37" spans="1:25" ht="32" customHeight="true">
      <c r="A37" s="201">
        <v>31</v>
      </c>
      <c r="B37" s="283" t="s">
        <v>284</v>
      </c>
      <c r="C37" s="295">
        <f>=I37*J37/10000</f>
        <v>1475.7624</v>
      </c>
      <c r="D37" s="295" t="s"/>
      <c r="E37" s="295" t="s"/>
      <c r="F37" s="295" t="s"/>
      <c r="G37" s="295">
        <f>=SUM(C37:F37)</f>
        <v>1475.7624</v>
      </c>
      <c r="H37" s="201" t="s">
        <v>273</v>
      </c>
      <c r="I37" s="296">
        <v>1960</v>
      </c>
      <c r="J37" s="297">
        <f>=4183*1.8</f>
        <v>7529.4</v>
      </c>
      <c r="K37" s="312" t="s">
        <v>444</v>
      </c>
      <c r="L37" s="298" t="s"/>
      <c r="M37" s="263" t="s"/>
      <c r="N37" s="263" t="s"/>
      <c r="O37" s="263" t="s"/>
      <c r="P37" s="263" t="s"/>
      <c r="Q37" s="263" t="s"/>
      <c r="R37" s="263" t="s"/>
      <c r="S37" s="263" t="s"/>
      <c r="T37" s="263" t="s"/>
      <c r="U37" s="263" t="s"/>
      <c r="V37" s="263" t="s"/>
      <c r="W37" s="263" t="s"/>
      <c r="X37" s="263" t="s"/>
      <c r="Y37" s="263" t="s"/>
    </row>
    <row r="38" spans="1:25" ht="32" customHeight="true">
      <c r="A38" s="201">
        <v>32</v>
      </c>
      <c r="B38" s="283" t="s">
        <v>445</v>
      </c>
      <c r="C38" s="295">
        <f>=I38*J38/10000</f>
        <v>120</v>
      </c>
      <c r="D38" s="295" t="s"/>
      <c r="E38" s="295" t="s"/>
      <c r="F38" s="295" t="s"/>
      <c r="G38" s="295">
        <f>=SUM(C38:F38)</f>
        <v>120</v>
      </c>
      <c r="H38" s="201" t="s">
        <v>2527</v>
      </c>
      <c r="I38" s="296">
        <v>400</v>
      </c>
      <c r="J38" s="297">
        <v>3000</v>
      </c>
      <c r="K38" s="312" t="s">
        <v>441</v>
      </c>
      <c r="L38" s="298" t="s"/>
      <c r="M38" s="263" t="s"/>
      <c r="N38" s="263" t="s"/>
      <c r="O38" s="263" t="s"/>
      <c r="P38" s="263" t="s"/>
      <c r="Q38" s="263" t="s"/>
      <c r="R38" s="263" t="s"/>
      <c r="S38" s="263" t="s"/>
      <c r="T38" s="263" t="s"/>
      <c r="U38" s="263" t="s"/>
      <c r="V38" s="263" t="s"/>
      <c r="W38" s="263" t="s"/>
      <c r="X38" s="263" t="s"/>
      <c r="Y38" s="263" t="s"/>
    </row>
    <row r="39" spans="1:25" ht="32" customHeight="true">
      <c r="A39" s="201">
        <v>33</v>
      </c>
      <c r="B39" s="283" t="s">
        <v>287</v>
      </c>
      <c r="C39" s="295">
        <f>=I39*J39/10000</f>
        <v>45</v>
      </c>
      <c r="D39" s="295" t="s"/>
      <c r="E39" s="295" t="s"/>
      <c r="F39" s="295" t="s"/>
      <c r="G39" s="295">
        <f>=SUM(C39:F39)</f>
        <v>45</v>
      </c>
      <c r="H39" s="201" t="s">
        <v>2527</v>
      </c>
      <c r="I39" s="296">
        <v>150</v>
      </c>
      <c r="J39" s="297">
        <v>3000</v>
      </c>
      <c r="K39" s="312" t="s">
        <v>441</v>
      </c>
      <c r="L39" s="298" t="s"/>
      <c r="M39" s="263" t="s"/>
      <c r="N39" s="263" t="s"/>
      <c r="O39" s="263" t="s"/>
      <c r="P39" s="263" t="s"/>
      <c r="Q39" s="263" t="s"/>
      <c r="R39" s="263" t="s"/>
      <c r="S39" s="263" t="s"/>
      <c r="T39" s="263" t="s"/>
      <c r="U39" s="263" t="s"/>
      <c r="V39" s="263" t="s"/>
      <c r="W39" s="263" t="s"/>
      <c r="X39" s="263" t="s"/>
      <c r="Y39" s="263" t="s"/>
    </row>
    <row r="40" spans="1:25" ht="32" customHeight="true">
      <c r="A40" s="201">
        <v>34</v>
      </c>
      <c r="B40" s="283" t="s">
        <v>446</v>
      </c>
      <c r="C40" s="295">
        <f>=I40*J40/10000</f>
        <v>90</v>
      </c>
      <c r="D40" s="295" t="s"/>
      <c r="E40" s="295" t="s"/>
      <c r="F40" s="295" t="s"/>
      <c r="G40" s="295">
        <f>=SUM(C40:F40)</f>
        <v>90</v>
      </c>
      <c r="H40" s="201" t="s">
        <v>2527</v>
      </c>
      <c r="I40" s="296">
        <v>300</v>
      </c>
      <c r="J40" s="297">
        <v>3000</v>
      </c>
      <c r="K40" s="312" t="s">
        <v>441</v>
      </c>
      <c r="L40" s="298" t="s"/>
      <c r="M40" s="263" t="s"/>
      <c r="N40" s="263" t="s"/>
      <c r="O40" s="263" t="s"/>
      <c r="P40" s="263" t="s"/>
      <c r="Q40" s="263" t="s"/>
      <c r="R40" s="263" t="s"/>
      <c r="S40" s="263" t="s"/>
      <c r="T40" s="263" t="s"/>
      <c r="U40" s="263" t="s"/>
      <c r="V40" s="263" t="s"/>
      <c r="W40" s="263" t="s"/>
      <c r="X40" s="263" t="s"/>
      <c r="Y40" s="263" t="s"/>
    </row>
    <row r="41" spans="1:25" ht="32" customHeight="true">
      <c r="A41" s="201">
        <v>35</v>
      </c>
      <c r="B41" s="283" t="s">
        <v>447</v>
      </c>
      <c r="C41" s="295">
        <f>=I41*J41/10000</f>
        <v>71</v>
      </c>
      <c r="D41" s="295" t="s"/>
      <c r="E41" s="295" t="s"/>
      <c r="F41" s="295" t="s"/>
      <c r="G41" s="295">
        <f>=SUM(C41:F41)</f>
        <v>71</v>
      </c>
      <c r="H41" s="201" t="s">
        <v>2527</v>
      </c>
      <c r="I41" s="296">
        <f>=300-16</f>
        <v>284</v>
      </c>
      <c r="J41" s="297">
        <v>2500</v>
      </c>
      <c r="K41" s="312" t="s">
        <v>441</v>
      </c>
      <c r="L41" s="298" t="s"/>
      <c r="M41" s="263" t="s"/>
      <c r="N41" s="263" t="s"/>
      <c r="O41" s="263" t="s"/>
      <c r="P41" s="263" t="s"/>
      <c r="Q41" s="263" t="s"/>
      <c r="R41" s="263" t="s"/>
      <c r="S41" s="263" t="s"/>
      <c r="T41" s="263" t="s"/>
      <c r="U41" s="263" t="s"/>
      <c r="V41" s="263" t="s"/>
      <c r="W41" s="263" t="s"/>
      <c r="X41" s="263" t="s"/>
      <c r="Y41" s="263" t="s"/>
    </row>
    <row r="42" spans="1:25" ht="32" customHeight="true">
      <c r="A42" s="201">
        <v>36</v>
      </c>
      <c r="B42" s="283" t="s">
        <v>448</v>
      </c>
      <c r="C42" s="295">
        <f>=I42*J42/10000</f>
        <v>25</v>
      </c>
      <c r="D42" s="295" t="s"/>
      <c r="E42" s="295" t="s"/>
      <c r="F42" s="295" t="s"/>
      <c r="G42" s="295">
        <f>=SUM(C42:F42)</f>
        <v>25</v>
      </c>
      <c r="H42" s="201" t="s">
        <v>388</v>
      </c>
      <c r="I42" s="296">
        <v>1</v>
      </c>
      <c r="J42" s="297">
        <v>250000</v>
      </c>
      <c r="K42" s="312" t="s">
        <v>441</v>
      </c>
      <c r="L42" s="298" t="s"/>
      <c r="M42" s="263" t="s"/>
      <c r="N42" s="263" t="s"/>
      <c r="O42" s="263" t="s"/>
      <c r="P42" s="263" t="s"/>
      <c r="Q42" s="263" t="s"/>
      <c r="R42" s="263" t="s"/>
      <c r="S42" s="263" t="s"/>
      <c r="T42" s="263" t="s"/>
      <c r="U42" s="263" t="s"/>
      <c r="V42" s="263" t="s"/>
      <c r="W42" s="263" t="s"/>
      <c r="X42" s="263" t="s"/>
      <c r="Y42" s="263" t="s"/>
    </row>
    <row r="43" spans="1:25" ht="32" customHeight="true">
      <c r="A43" s="201" t="s"/>
      <c r="B43" s="283" t="s"/>
      <c r="C43" s="295" t="s"/>
      <c r="D43" s="295" t="s"/>
      <c r="E43" s="295" t="s"/>
      <c r="F43" s="295" t="s"/>
      <c r="G43" s="295" t="s"/>
      <c r="H43" s="201" t="s"/>
      <c r="I43" s="296" t="s"/>
      <c r="J43" s="297" t="s"/>
      <c r="K43" s="312" t="s"/>
      <c r="L43" s="298" t="s"/>
      <c r="M43" s="263" t="s"/>
      <c r="N43" s="263" t="s"/>
      <c r="O43" s="263" t="s"/>
      <c r="P43" s="263" t="s"/>
      <c r="Q43" s="263" t="s"/>
      <c r="R43" s="263" t="s"/>
      <c r="S43" s="263" t="s"/>
      <c r="T43" s="263" t="s"/>
      <c r="U43" s="263" t="s"/>
      <c r="V43" s="263" t="s"/>
      <c r="W43" s="263" t="s"/>
      <c r="X43" s="263" t="s"/>
      <c r="Y43" s="263" t="s"/>
    </row>
    <row r="44" spans="1:25" ht="32" customHeight="true">
      <c r="A44" s="280" t="s">
        <v>449</v>
      </c>
      <c r="B44" s="278" t="s">
        <v>450</v>
      </c>
      <c r="C44" s="279">
        <f>=SUM(C45:C66)</f>
        <v>0</v>
      </c>
      <c r="D44" s="279" t="e">
        <f>=SUM(D45:D66)</f>
        <v>#VALUE!</v>
      </c>
      <c r="E44" s="279" t="e">
        <f>=SUM(E45:E66)</f>
        <v>#VALUE!</v>
      </c>
      <c r="F44" s="279" t="s"/>
      <c r="G44" s="279" t="e">
        <f>=SUM(C44:F44)</f>
        <v>#VALUE!</v>
      </c>
      <c r="H44" s="280" t="s">
        <v>2525</v>
      </c>
      <c r="I44" s="281">
        <v>100000</v>
      </c>
      <c r="J44" s="282" t="e">
        <f>=G44/I44*10000</f>
        <v>#VALUE!</v>
      </c>
      <c r="K44" s="282" t="s"/>
      <c r="L44" s="313" t="s"/>
      <c r="M44" s="263" t="s"/>
      <c r="N44" s="263" t="s"/>
      <c r="O44" s="263" t="s"/>
      <c r="P44" s="263" t="s"/>
      <c r="Q44" s="263" t="s"/>
      <c r="R44" s="263" t="s"/>
      <c r="S44" s="263" t="s"/>
      <c r="T44" s="263" t="s"/>
      <c r="U44" s="263" t="s"/>
      <c r="V44" s="263" t="s"/>
      <c r="W44" s="263" t="s"/>
      <c r="X44" s="263" t="s"/>
      <c r="Y44" s="263" t="s"/>
    </row>
    <row r="45" spans="1:25" ht="32" customHeight="true">
      <c r="A45" s="201">
        <v>1</v>
      </c>
      <c r="B45" s="283" t="s">
        <v>451</v>
      </c>
      <c r="C45" s="279" t="s"/>
      <c r="D45" s="295" t="e">
        <f>=#REF!H3</f>
        <v>#VALUE!</v>
      </c>
      <c r="E45" s="295" t="e">
        <f>=D45*0.15+50</f>
        <v>#VALUE!</v>
      </c>
      <c r="F45" s="295" t="s"/>
      <c r="G45" s="295" t="e">
        <f>=SUM(C45:F45)</f>
        <v>#VALUE!</v>
      </c>
      <c r="H45" s="201" t="s">
        <v>2533</v>
      </c>
      <c r="I45" s="314">
        <v>100000</v>
      </c>
      <c r="J45" s="297" t="e">
        <f>=G45/I45*10000</f>
        <v>#VALUE!</v>
      </c>
      <c r="K45" s="297" t="s"/>
      <c r="L45" s="298" t="s"/>
      <c r="M45" s="263" t="s"/>
      <c r="N45" s="263" t="s"/>
      <c r="O45" s="263" t="s"/>
      <c r="P45" s="263" t="s"/>
      <c r="Q45" s="263" t="s"/>
      <c r="R45" s="263" t="s"/>
      <c r="S45" s="263" t="s"/>
      <c r="T45" s="263" t="s"/>
      <c r="U45" s="263" t="s"/>
      <c r="V45" s="263" t="s"/>
      <c r="W45" s="263" t="s"/>
      <c r="X45" s="263" t="s"/>
      <c r="Y45" s="263" t="s"/>
    </row>
    <row r="46" spans="1:25" ht="32" customHeight="true">
      <c r="A46" s="201">
        <v>2</v>
      </c>
      <c r="B46" s="283" t="s">
        <v>452</v>
      </c>
      <c r="C46" s="279" t="s"/>
      <c r="D46" s="295">
        <f>=设备!H9</f>
        <v>2409.75</v>
      </c>
      <c r="E46" s="295">
        <f>=D46*0.15+55</f>
        <v>416.4625</v>
      </c>
      <c r="F46" s="295" t="s"/>
      <c r="G46" s="295">
        <f>=SUM(C46:F46)</f>
        <v>2826.2125</v>
      </c>
      <c r="H46" s="201" t="s">
        <v>2533</v>
      </c>
      <c r="I46" s="314">
        <v>100000</v>
      </c>
      <c r="J46" s="297">
        <f>=G46/I46*10000</f>
        <v>282.62125</v>
      </c>
      <c r="K46" s="297" t="s"/>
      <c r="L46" s="298" t="s"/>
      <c r="M46" s="263" t="s"/>
      <c r="N46" s="263" t="s"/>
      <c r="O46" s="263" t="s"/>
      <c r="P46" s="263" t="s"/>
      <c r="Q46" s="263" t="s"/>
      <c r="R46" s="263" t="s"/>
      <c r="S46" s="263" t="s"/>
      <c r="T46" s="263" t="s"/>
      <c r="U46" s="263" t="s"/>
      <c r="V46" s="263" t="s"/>
      <c r="W46" s="263" t="s"/>
      <c r="X46" s="263" t="s"/>
      <c r="Y46" s="263" t="s"/>
    </row>
    <row r="47" spans="1:25" ht="32" customHeight="true">
      <c r="A47" s="201">
        <v>3</v>
      </c>
      <c r="B47" s="283" t="s">
        <v>398</v>
      </c>
      <c r="C47" s="279" t="s"/>
      <c r="D47" s="295" t="e">
        <f>=#REF!H70</f>
        <v>#VALUE!</v>
      </c>
      <c r="E47" s="295" t="e">
        <f>=D47*0.15+80</f>
        <v>#VALUE!</v>
      </c>
      <c r="F47" s="295" t="s"/>
      <c r="G47" s="295" t="e">
        <f>=SUM(C47:F47)</f>
        <v>#VALUE!</v>
      </c>
      <c r="H47" s="201" t="s">
        <v>2533</v>
      </c>
      <c r="I47" s="314">
        <v>100000</v>
      </c>
      <c r="J47" s="297" t="e">
        <f>=G47/I47*10000</f>
        <v>#VALUE!</v>
      </c>
      <c r="K47" s="297" t="s"/>
      <c r="L47" s="298" t="s"/>
      <c r="M47" s="263" t="s"/>
      <c r="N47" s="263" t="s"/>
      <c r="O47" s="263" t="s"/>
      <c r="P47" s="263" t="s"/>
      <c r="Q47" s="263" t="s"/>
      <c r="R47" s="263" t="s"/>
      <c r="S47" s="263" t="s"/>
      <c r="T47" s="263" t="s"/>
      <c r="U47" s="263" t="s"/>
      <c r="V47" s="263" t="s"/>
      <c r="W47" s="263" t="s"/>
      <c r="X47" s="263" t="s"/>
      <c r="Y47" s="263" t="s"/>
    </row>
    <row r="48" spans="1:25" ht="32" customHeight="true">
      <c r="A48" s="201">
        <v>4</v>
      </c>
      <c r="B48" s="283" t="s">
        <v>400</v>
      </c>
      <c r="C48" s="279" t="s"/>
      <c r="D48" s="295" t="e">
        <f>=#REF!H100</f>
        <v>#VALUE!</v>
      </c>
      <c r="E48" s="295" t="e">
        <f>=D48*0.15+20</f>
        <v>#VALUE!</v>
      </c>
      <c r="F48" s="295" t="s"/>
      <c r="G48" s="295" t="e">
        <f>=SUM(C48:F48)</f>
        <v>#VALUE!</v>
      </c>
      <c r="H48" s="201" t="s">
        <v>2533</v>
      </c>
      <c r="I48" s="314">
        <v>100000</v>
      </c>
      <c r="J48" s="297" t="e">
        <f>=G48/I48*10000</f>
        <v>#VALUE!</v>
      </c>
      <c r="K48" s="297" t="s"/>
      <c r="L48" s="298" t="s"/>
      <c r="M48" s="263" t="s"/>
      <c r="N48" s="263" t="s"/>
      <c r="O48" s="263" t="s"/>
      <c r="P48" s="263" t="s"/>
      <c r="Q48" s="263" t="s"/>
      <c r="R48" s="263" t="s"/>
      <c r="S48" s="263" t="s"/>
      <c r="T48" s="263" t="s"/>
      <c r="U48" s="263" t="s"/>
      <c r="V48" s="263" t="s"/>
      <c r="W48" s="263" t="s"/>
      <c r="X48" s="263" t="s"/>
      <c r="Y48" s="263" t="s"/>
    </row>
    <row r="49" spans="1:25" ht="32" customHeight="true">
      <c r="A49" s="201">
        <v>5</v>
      </c>
      <c r="B49" s="283" t="s">
        <v>402</v>
      </c>
      <c r="C49" s="279" t="s"/>
      <c r="D49" s="295">
        <v>2663</v>
      </c>
      <c r="E49" s="295">
        <f>=D49*0.08+30</f>
        <v>243.04</v>
      </c>
      <c r="F49" s="295" t="s"/>
      <c r="G49" s="295">
        <f>=SUM(C49:F49)</f>
        <v>2906.04</v>
      </c>
      <c r="H49" s="201" t="s">
        <v>2533</v>
      </c>
      <c r="I49" s="314">
        <v>100000</v>
      </c>
      <c r="J49" s="297">
        <f>=G49/I49*10000</f>
        <v>290.604</v>
      </c>
      <c r="K49" s="297" t="s"/>
      <c r="L49" s="298" t="s"/>
      <c r="M49" s="263" t="s"/>
      <c r="N49" s="263" t="s"/>
      <c r="O49" s="263" t="s"/>
      <c r="P49" s="263" t="s"/>
      <c r="Q49" s="263" t="s"/>
      <c r="R49" s="263" t="s"/>
      <c r="S49" s="263" t="s"/>
      <c r="T49" s="263" t="s"/>
      <c r="U49" s="263" t="s"/>
      <c r="V49" s="263" t="s"/>
      <c r="W49" s="263" t="s"/>
      <c r="X49" s="263" t="s"/>
      <c r="Y49" s="263" t="s"/>
    </row>
    <row r="50" spans="1:25" ht="32" customHeight="true">
      <c r="A50" s="201">
        <v>6</v>
      </c>
      <c r="B50" s="283" t="s">
        <v>434</v>
      </c>
      <c r="C50" s="279" t="s"/>
      <c r="D50" s="295" t="e">
        <f>=#REF!H138</f>
        <v>#VALUE!</v>
      </c>
      <c r="E50" s="295" t="e">
        <f>=D50*0.08+5</f>
        <v>#VALUE!</v>
      </c>
      <c r="F50" s="295" t="s"/>
      <c r="G50" s="295" t="e">
        <f>=SUM(C50:F50)</f>
        <v>#VALUE!</v>
      </c>
      <c r="H50" s="201" t="s">
        <v>2533</v>
      </c>
      <c r="I50" s="314">
        <v>100000</v>
      </c>
      <c r="J50" s="297" t="e">
        <f>=G50/I50*10000</f>
        <v>#VALUE!</v>
      </c>
      <c r="K50" s="297" t="s"/>
      <c r="L50" s="298" t="s"/>
      <c r="M50" s="263" t="s"/>
      <c r="N50" s="263" t="s"/>
      <c r="O50" s="263" t="s"/>
      <c r="P50" s="263" t="s"/>
      <c r="Q50" s="263" t="s"/>
      <c r="R50" s="263" t="s"/>
      <c r="S50" s="263" t="s"/>
      <c r="T50" s="263" t="s"/>
      <c r="U50" s="263" t="s"/>
      <c r="V50" s="263" t="s"/>
      <c r="W50" s="263" t="s"/>
      <c r="X50" s="263" t="s"/>
      <c r="Y50" s="263" t="s"/>
    </row>
    <row r="51" spans="1:25" ht="32" customHeight="true">
      <c r="A51" s="201">
        <v>7</v>
      </c>
      <c r="B51" s="283" t="s">
        <v>453</v>
      </c>
      <c r="C51" s="279" t="s"/>
      <c r="D51" s="295" t="e">
        <f>=#REF!H142</f>
        <v>#VALUE!</v>
      </c>
      <c r="E51" s="295" t="e">
        <f>=D51*0.1+15</f>
        <v>#VALUE!</v>
      </c>
      <c r="F51" s="295" t="s"/>
      <c r="G51" s="295" t="e">
        <f>=SUM(C51:F51)</f>
        <v>#VALUE!</v>
      </c>
      <c r="H51" s="201" t="s">
        <v>2533</v>
      </c>
      <c r="I51" s="314">
        <v>100000</v>
      </c>
      <c r="J51" s="297" t="e">
        <f>=G51/I51*10000</f>
        <v>#VALUE!</v>
      </c>
      <c r="K51" s="297" t="s"/>
      <c r="L51" s="298" t="s"/>
      <c r="M51" s="263" t="s"/>
      <c r="N51" s="263" t="s"/>
      <c r="O51" s="263" t="s"/>
      <c r="P51" s="263" t="s"/>
      <c r="Q51" s="263" t="s"/>
      <c r="R51" s="263" t="s"/>
      <c r="S51" s="263" t="s"/>
      <c r="T51" s="263" t="s"/>
      <c r="U51" s="263" t="s"/>
      <c r="V51" s="263" t="s"/>
      <c r="W51" s="263" t="s"/>
      <c r="X51" s="263" t="s"/>
      <c r="Y51" s="263" t="s"/>
    </row>
    <row r="52" spans="1:25" ht="32" customHeight="true">
      <c r="A52" s="201">
        <v>8</v>
      </c>
      <c r="B52" s="283" t="s">
        <v>454</v>
      </c>
      <c r="C52" s="279" t="s"/>
      <c r="D52" s="295" t="e">
        <f>=#REF!H179</f>
        <v>#VALUE!</v>
      </c>
      <c r="E52" s="295" t="e">
        <f>=D52*0.15+25</f>
        <v>#VALUE!</v>
      </c>
      <c r="F52" s="295" t="s"/>
      <c r="G52" s="295" t="e">
        <f>=SUM(C52:F52)</f>
        <v>#VALUE!</v>
      </c>
      <c r="H52" s="201" t="s">
        <v>2533</v>
      </c>
      <c r="I52" s="314">
        <v>100000</v>
      </c>
      <c r="J52" s="297" t="e">
        <f>=G52/I52*10000</f>
        <v>#VALUE!</v>
      </c>
      <c r="K52" s="297" t="s"/>
      <c r="L52" s="298" t="s"/>
      <c r="M52" s="263" t="s"/>
      <c r="N52" s="263" t="s"/>
      <c r="O52" s="263" t="s"/>
      <c r="P52" s="263" t="s"/>
      <c r="Q52" s="263" t="s"/>
      <c r="R52" s="263" t="s"/>
      <c r="S52" s="263" t="s"/>
      <c r="T52" s="263" t="s"/>
      <c r="U52" s="263" t="s"/>
      <c r="V52" s="263" t="s"/>
      <c r="W52" s="263" t="s"/>
      <c r="X52" s="263" t="s"/>
      <c r="Y52" s="263" t="s"/>
    </row>
    <row r="53" spans="1:25" ht="32" customHeight="true">
      <c r="A53" s="201">
        <v>9</v>
      </c>
      <c r="B53" s="283" t="s">
        <v>420</v>
      </c>
      <c r="C53" s="279" t="s"/>
      <c r="D53" s="295" t="e">
        <f>=#REF!H192</f>
        <v>#VALUE!</v>
      </c>
      <c r="E53" s="295" t="e">
        <f>=D53*0.1+5</f>
        <v>#VALUE!</v>
      </c>
      <c r="F53" s="295" t="s"/>
      <c r="G53" s="295" t="e">
        <f>=SUM(C53:F53)</f>
        <v>#VALUE!</v>
      </c>
      <c r="H53" s="201" t="s">
        <v>2533</v>
      </c>
      <c r="I53" s="314">
        <v>100000</v>
      </c>
      <c r="J53" s="297" t="e">
        <f>=G53/I53*10000</f>
        <v>#VALUE!</v>
      </c>
      <c r="K53" s="297" t="s"/>
      <c r="L53" s="298" t="s"/>
      <c r="M53" s="263" t="s"/>
      <c r="N53" s="263" t="s"/>
      <c r="O53" s="263" t="s"/>
      <c r="P53" s="263" t="s"/>
      <c r="Q53" s="263" t="s"/>
      <c r="R53" s="263" t="s"/>
      <c r="S53" s="263" t="s"/>
      <c r="T53" s="263" t="s"/>
      <c r="U53" s="263" t="s"/>
      <c r="V53" s="263" t="s"/>
      <c r="W53" s="263" t="s"/>
      <c r="X53" s="263" t="s"/>
      <c r="Y53" s="263" t="s"/>
    </row>
    <row r="54" spans="1:25" ht="32" customHeight="true">
      <c r="A54" s="201">
        <v>10</v>
      </c>
      <c r="B54" s="283" t="s">
        <v>455</v>
      </c>
      <c r="C54" s="279" t="s"/>
      <c r="D54" s="295" t="e">
        <f>=#REF!H203</f>
        <v>#VALUE!</v>
      </c>
      <c r="E54" s="295" t="e">
        <f>=D54*0.15+3</f>
        <v>#VALUE!</v>
      </c>
      <c r="F54" s="295" t="s"/>
      <c r="G54" s="295" t="e">
        <f>=SUM(C54:F54)</f>
        <v>#VALUE!</v>
      </c>
      <c r="H54" s="201" t="s">
        <v>2533</v>
      </c>
      <c r="I54" s="314">
        <v>100000</v>
      </c>
      <c r="J54" s="297" t="e">
        <f>=G54/I54*10000</f>
        <v>#VALUE!</v>
      </c>
      <c r="K54" s="297" t="s"/>
      <c r="L54" s="298" t="s"/>
      <c r="M54" s="263" t="s"/>
      <c r="N54" s="263" t="s"/>
      <c r="O54" s="263" t="s"/>
      <c r="P54" s="263" t="s"/>
      <c r="Q54" s="263" t="s"/>
      <c r="R54" s="263" t="s"/>
      <c r="S54" s="263" t="s"/>
      <c r="T54" s="263" t="s"/>
      <c r="U54" s="263" t="s"/>
      <c r="V54" s="263" t="s"/>
      <c r="W54" s="263" t="s"/>
      <c r="X54" s="263" t="s"/>
      <c r="Y54" s="263" t="s"/>
    </row>
    <row r="55" spans="1:25" ht="32" customHeight="true">
      <c r="A55" s="201">
        <v>11</v>
      </c>
      <c r="B55" s="283" t="s">
        <v>456</v>
      </c>
      <c r="C55" s="279" t="s"/>
      <c r="D55" s="295">
        <v>2779.03</v>
      </c>
      <c r="E55" s="295">
        <v>2011.25</v>
      </c>
      <c r="F55" s="295" t="s"/>
      <c r="G55" s="295">
        <f>=SUM(C55:F55)</f>
        <v>4790.28</v>
      </c>
      <c r="H55" s="201" t="s">
        <v>2533</v>
      </c>
      <c r="I55" s="314">
        <v>100000</v>
      </c>
      <c r="J55" s="297">
        <f>=G55/I55*10000</f>
        <v>479.028</v>
      </c>
      <c r="K55" s="297" t="s"/>
      <c r="L55" s="298" t="s"/>
      <c r="M55" s="263" t="s"/>
      <c r="N55" s="263" t="s"/>
      <c r="O55" s="263" t="s"/>
      <c r="P55" s="263" t="s"/>
      <c r="Q55" s="263" t="s"/>
      <c r="R55" s="263" t="s"/>
      <c r="S55" s="263" t="s"/>
      <c r="T55" s="263" t="s"/>
      <c r="U55" s="263" t="s"/>
      <c r="V55" s="263" t="s"/>
      <c r="W55" s="263" t="s"/>
      <c r="X55" s="263" t="s"/>
      <c r="Y55" s="263" t="s"/>
    </row>
    <row r="56" spans="1:25" ht="32" customHeight="true">
      <c r="A56" s="201">
        <v>12</v>
      </c>
      <c r="B56" s="283" t="s">
        <v>457</v>
      </c>
      <c r="C56" s="279" t="s"/>
      <c r="D56" s="295" t="e">
        <f>=#REF!H225</f>
        <v>#VALUE!</v>
      </c>
      <c r="E56" s="295" t="e">
        <f>=D56*0.15+120</f>
        <v>#VALUE!</v>
      </c>
      <c r="F56" s="295" t="s"/>
      <c r="G56" s="295" t="e">
        <f>=SUM(C56:F56)</f>
        <v>#VALUE!</v>
      </c>
      <c r="H56" s="201" t="s">
        <v>2533</v>
      </c>
      <c r="I56" s="314">
        <v>100000</v>
      </c>
      <c r="J56" s="297" t="e">
        <f>=G56/I56*10000</f>
        <v>#VALUE!</v>
      </c>
      <c r="K56" s="297" t="s"/>
      <c r="L56" s="298" t="s"/>
      <c r="M56" s="263" t="s"/>
      <c r="N56" s="263" t="s"/>
      <c r="O56" s="263" t="s"/>
      <c r="P56" s="263" t="s"/>
      <c r="Q56" s="263" t="s"/>
      <c r="R56" s="263" t="s"/>
      <c r="S56" s="263" t="s"/>
      <c r="T56" s="263" t="s"/>
      <c r="U56" s="263" t="s"/>
      <c r="V56" s="263" t="s"/>
      <c r="W56" s="263" t="s"/>
      <c r="X56" s="263" t="s"/>
      <c r="Y56" s="263" t="s"/>
    </row>
    <row r="57" spans="1:25" ht="32" customHeight="true">
      <c r="A57" s="201">
        <v>13</v>
      </c>
      <c r="B57" s="283" t="s">
        <v>458</v>
      </c>
      <c r="C57" s="279" t="s"/>
      <c r="D57" s="295">
        <v>10.25</v>
      </c>
      <c r="E57" s="295" t="s"/>
      <c r="F57" s="295" t="s"/>
      <c r="G57" s="295">
        <f>=SUM(C57:F57)</f>
        <v>10.25</v>
      </c>
      <c r="H57" s="201" t="s">
        <v>2533</v>
      </c>
      <c r="I57" s="314">
        <v>100000</v>
      </c>
      <c r="J57" s="297">
        <f>=G57/I57*10000</f>
        <v>1.025</v>
      </c>
      <c r="K57" s="297" t="s"/>
      <c r="L57" s="298" t="s"/>
      <c r="M57" s="263" t="s"/>
      <c r="N57" s="263" t="s"/>
      <c r="O57" s="263" t="s"/>
      <c r="P57" s="263" t="s"/>
      <c r="Q57" s="263" t="s"/>
      <c r="R57" s="263" t="s"/>
      <c r="S57" s="263" t="s"/>
      <c r="T57" s="263" t="s"/>
      <c r="U57" s="263" t="s"/>
      <c r="V57" s="263" t="s"/>
      <c r="W57" s="263" t="s"/>
      <c r="X57" s="263" t="s"/>
      <c r="Y57" s="263" t="s"/>
    </row>
    <row r="58" spans="1:25" ht="32" customHeight="true">
      <c r="A58" s="201">
        <v>14</v>
      </c>
      <c r="B58" s="283" t="s">
        <v>459</v>
      </c>
      <c r="C58" s="279" t="s"/>
      <c r="D58" s="295">
        <v>69.12</v>
      </c>
      <c r="E58" s="295" t="s"/>
      <c r="F58" s="295" t="s"/>
      <c r="G58" s="295">
        <f>=SUM(C58:F58)</f>
        <v>69.12</v>
      </c>
      <c r="H58" s="201" t="s">
        <v>2533</v>
      </c>
      <c r="I58" s="314">
        <v>100000</v>
      </c>
      <c r="J58" s="297">
        <f>=G58/I58*10000</f>
        <v>6.912</v>
      </c>
      <c r="K58" s="297" t="s"/>
      <c r="L58" s="298" t="s"/>
      <c r="M58" s="263" t="s"/>
      <c r="N58" s="263" t="s"/>
      <c r="O58" s="263" t="s"/>
      <c r="P58" s="263" t="s"/>
      <c r="Q58" s="263" t="s"/>
      <c r="R58" s="263" t="s"/>
      <c r="S58" s="263" t="s"/>
      <c r="T58" s="263" t="s"/>
      <c r="U58" s="263" t="s"/>
      <c r="V58" s="263" t="s"/>
      <c r="W58" s="263" t="s"/>
      <c r="X58" s="263" t="s"/>
      <c r="Y58" s="263" t="s"/>
    </row>
    <row r="59" spans="1:25" ht="32" customHeight="true">
      <c r="A59" s="201">
        <v>15</v>
      </c>
      <c r="B59" s="283" t="s">
        <v>460</v>
      </c>
      <c r="C59" s="279" t="s"/>
      <c r="D59" s="295">
        <v>150</v>
      </c>
      <c r="E59" s="295" t="s"/>
      <c r="F59" s="295" t="s"/>
      <c r="G59" s="295">
        <f>=SUM(C59:F59)</f>
        <v>150</v>
      </c>
      <c r="H59" s="201" t="s">
        <v>2533</v>
      </c>
      <c r="I59" s="314">
        <v>100000</v>
      </c>
      <c r="J59" s="297">
        <f>=G59/I59*10000</f>
        <v>15</v>
      </c>
      <c r="K59" s="297" t="s"/>
      <c r="L59" s="298" t="s"/>
      <c r="M59" s="263" t="s"/>
      <c r="N59" s="263" t="s"/>
      <c r="O59" s="263" t="s"/>
      <c r="P59" s="263" t="s"/>
      <c r="Q59" s="263" t="s"/>
      <c r="R59" s="263" t="s"/>
      <c r="S59" s="263" t="s"/>
      <c r="T59" s="263" t="s"/>
      <c r="U59" s="263" t="s"/>
      <c r="V59" s="263" t="s"/>
      <c r="W59" s="263" t="s"/>
      <c r="X59" s="263" t="s"/>
      <c r="Y59" s="263" t="s"/>
    </row>
    <row r="60" spans="1:25" ht="32" customHeight="true">
      <c r="A60" s="201">
        <v>16</v>
      </c>
      <c r="B60" s="283" t="s">
        <v>461</v>
      </c>
      <c r="C60" s="279" t="s"/>
      <c r="D60" s="295" t="s"/>
      <c r="E60" s="295">
        <v>620.77</v>
      </c>
      <c r="F60" s="295" t="s"/>
      <c r="G60" s="295">
        <f>=SUM(C60:F60)</f>
        <v>620.77</v>
      </c>
      <c r="H60" s="201" t="s">
        <v>2533</v>
      </c>
      <c r="I60" s="314">
        <v>100000</v>
      </c>
      <c r="J60" s="297">
        <f>=G60/I60*10000</f>
        <v>62.077</v>
      </c>
      <c r="K60" s="297" t="s"/>
      <c r="L60" s="298" t="s"/>
      <c r="M60" s="263" t="s"/>
      <c r="N60" s="263" t="s"/>
      <c r="O60" s="263" t="s"/>
      <c r="P60" s="263" t="s"/>
      <c r="Q60" s="263" t="s"/>
      <c r="R60" s="263" t="s"/>
      <c r="S60" s="263" t="s"/>
      <c r="T60" s="263" t="s"/>
      <c r="U60" s="263" t="s"/>
      <c r="V60" s="263" t="s"/>
      <c r="W60" s="263" t="s"/>
      <c r="X60" s="263" t="s"/>
      <c r="Y60" s="263" t="s"/>
    </row>
    <row r="61" spans="1:25" ht="32" customHeight="true">
      <c r="A61" s="201">
        <v>17</v>
      </c>
      <c r="B61" s="283" t="s">
        <v>462</v>
      </c>
      <c r="C61" s="279" t="s"/>
      <c r="D61" s="295">
        <v>1338.79</v>
      </c>
      <c r="E61" s="295">
        <f>=D61*0.15+1200</f>
        <v>1400.8185</v>
      </c>
      <c r="F61" s="295" t="s"/>
      <c r="G61" s="295">
        <f>=SUM(C61:F61)</f>
        <v>2739.6085</v>
      </c>
      <c r="H61" s="201" t="s">
        <v>2533</v>
      </c>
      <c r="I61" s="314">
        <v>100000</v>
      </c>
      <c r="J61" s="297">
        <f>=G61/I61*10000</f>
        <v>273.96085</v>
      </c>
      <c r="K61" s="297" t="s"/>
      <c r="L61" s="298" t="s"/>
      <c r="M61" s="263" t="s"/>
      <c r="N61" s="263" t="s"/>
      <c r="O61" s="263" t="s"/>
      <c r="P61" s="263" t="s"/>
      <c r="Q61" s="263" t="s"/>
      <c r="R61" s="263" t="s"/>
      <c r="S61" s="263" t="s"/>
      <c r="T61" s="263" t="s"/>
      <c r="U61" s="263" t="s"/>
      <c r="V61" s="263" t="s"/>
      <c r="W61" s="263" t="s"/>
      <c r="X61" s="263" t="s"/>
      <c r="Y61" s="263" t="s"/>
    </row>
    <row r="62" spans="1:25" ht="32" customHeight="true">
      <c r="A62" s="201">
        <v>18</v>
      </c>
      <c r="B62" s="283" t="s">
        <v>463</v>
      </c>
      <c r="C62" s="279" t="s"/>
      <c r="D62" s="295" t="s"/>
      <c r="E62" s="295">
        <f>=I62*J62/10000</f>
        <v>540</v>
      </c>
      <c r="F62" s="295" t="s"/>
      <c r="G62" s="295">
        <f>=SUM(C62:F62)</f>
        <v>540</v>
      </c>
      <c r="H62" s="201" t="s">
        <v>273</v>
      </c>
      <c r="I62" s="314">
        <v>3000</v>
      </c>
      <c r="J62" s="297">
        <v>1800</v>
      </c>
      <c r="K62" s="297" t="s"/>
      <c r="L62" s="298" t="s"/>
      <c r="M62" s="263" t="s"/>
      <c r="N62" s="263" t="s"/>
      <c r="O62" s="263" t="s"/>
      <c r="P62" s="263" t="s"/>
      <c r="Q62" s="263" t="s"/>
      <c r="R62" s="263" t="s"/>
      <c r="S62" s="263" t="s"/>
      <c r="T62" s="263" t="s"/>
      <c r="U62" s="263" t="s"/>
      <c r="V62" s="263" t="s"/>
      <c r="W62" s="263" t="s"/>
      <c r="X62" s="263" t="s"/>
      <c r="Y62" s="263" t="s"/>
    </row>
    <row r="63" spans="1:25" ht="32" customHeight="true">
      <c r="A63" s="271">
        <v>19</v>
      </c>
      <c r="B63" s="978" t="s">
        <v>2500</v>
      </c>
      <c r="C63" s="979" t="s"/>
      <c r="D63" s="980" t="s"/>
      <c r="E63" s="980">
        <v>50</v>
      </c>
      <c r="F63" s="980" t="s"/>
      <c r="G63" s="980">
        <f>=SUM(C63:F63)</f>
        <v>50</v>
      </c>
      <c r="H63" s="271" t="s"/>
      <c r="I63" s="981" t="s"/>
      <c r="J63" s="297" t="s"/>
      <c r="K63" s="297" t="s"/>
      <c r="L63" s="298" t="s"/>
      <c r="M63" s="263" t="s"/>
      <c r="N63" s="263" t="s"/>
      <c r="O63" s="263" t="s"/>
      <c r="P63" s="263" t="s"/>
      <c r="Q63" s="263" t="s"/>
      <c r="R63" s="263" t="s"/>
      <c r="S63" s="263" t="s"/>
      <c r="T63" s="263" t="s"/>
      <c r="U63" s="263" t="s"/>
      <c r="V63" s="263" t="s"/>
      <c r="W63" s="263" t="s"/>
      <c r="X63" s="263" t="s"/>
      <c r="Y63" s="263" t="s"/>
    </row>
    <row r="64" spans="1:25" ht="32" customHeight="true">
      <c r="A64" s="271">
        <v>20</v>
      </c>
      <c r="B64" s="978" t="s">
        <v>464</v>
      </c>
      <c r="C64" s="979" t="s"/>
      <c r="D64" s="980">
        <v>2310.77</v>
      </c>
      <c r="E64" s="980">
        <f>=D64*0.15+500</f>
        <v>846.6155</v>
      </c>
      <c r="F64" s="980" t="s"/>
      <c r="G64" s="980">
        <f>=SUM(C64:F64)</f>
        <v>3157.3855</v>
      </c>
      <c r="H64" s="271" t="s">
        <v>2602</v>
      </c>
      <c r="I64" s="981">
        <v>100000</v>
      </c>
      <c r="J64" s="297">
        <f>=G64/I64*10000</f>
        <v>315.73855</v>
      </c>
      <c r="K64" s="297" t="s"/>
      <c r="L64" s="298" t="s"/>
      <c r="M64" s="263" t="s"/>
      <c r="N64" s="263" t="s"/>
      <c r="O64" s="263" t="s"/>
      <c r="P64" s="263" t="s"/>
      <c r="Q64" s="263" t="s"/>
      <c r="R64" s="263" t="s"/>
      <c r="S64" s="263" t="s"/>
      <c r="T64" s="263" t="s"/>
      <c r="U64" s="263" t="s"/>
      <c r="V64" s="263" t="s"/>
      <c r="W64" s="263" t="s"/>
      <c r="X64" s="263" t="s"/>
      <c r="Y64" s="263" t="s"/>
    </row>
    <row r="65" spans="1:25" ht="32" customHeight="true">
      <c r="A65" s="271">
        <v>21</v>
      </c>
      <c r="B65" s="978" t="s">
        <v>465</v>
      </c>
      <c r="C65" s="979" t="s"/>
      <c r="D65" s="980">
        <f>=216.75*0.8</f>
        <v>173.4</v>
      </c>
      <c r="E65" s="980">
        <f>=201.12*0.8</f>
        <v>160.896</v>
      </c>
      <c r="F65" s="980" t="s"/>
      <c r="G65" s="980">
        <f>=SUM(C65:F65)</f>
        <v>334.296</v>
      </c>
      <c r="H65" s="271" t="s">
        <v>2602</v>
      </c>
      <c r="I65" s="981">
        <v>100000</v>
      </c>
      <c r="J65" s="297">
        <f>=G65/I65*10000</f>
        <v>33.4296</v>
      </c>
      <c r="K65" s="297" t="s"/>
      <c r="L65" s="298" t="s"/>
      <c r="M65" s="263" t="s"/>
      <c r="N65" s="263" t="s"/>
      <c r="O65" s="263" t="s"/>
      <c r="P65" s="263" t="s"/>
      <c r="Q65" s="263" t="s"/>
      <c r="R65" s="263" t="s"/>
      <c r="S65" s="263" t="s"/>
      <c r="T65" s="263" t="s"/>
      <c r="U65" s="263" t="s"/>
      <c r="V65" s="263" t="s"/>
      <c r="W65" s="263" t="s"/>
      <c r="X65" s="263" t="s"/>
      <c r="Y65" s="263" t="s"/>
    </row>
    <row r="66" spans="1:25" ht="32" customHeight="true">
      <c r="A66" s="271">
        <v>22</v>
      </c>
      <c r="B66" s="978" t="s">
        <v>466</v>
      </c>
      <c r="C66" s="979" t="s"/>
      <c r="D66" s="980">
        <v>213.97</v>
      </c>
      <c r="E66" s="980" t="s"/>
      <c r="F66" s="980" t="s"/>
      <c r="G66" s="980">
        <f>=SUM(C66:F66)</f>
        <v>213.97</v>
      </c>
      <c r="H66" s="271" t="s">
        <v>2602</v>
      </c>
      <c r="I66" s="981">
        <v>100000</v>
      </c>
      <c r="J66" s="297">
        <f>=G66/I66*10000</f>
        <v>21.397</v>
      </c>
      <c r="K66" s="297" t="s"/>
      <c r="L66" s="298" t="s"/>
      <c r="M66" s="263" t="s"/>
      <c r="N66" s="263" t="s"/>
      <c r="O66" s="263" t="s"/>
      <c r="P66" s="263" t="s"/>
      <c r="Q66" s="263" t="s"/>
      <c r="R66" s="263" t="s"/>
      <c r="S66" s="263" t="s"/>
      <c r="T66" s="263" t="s"/>
      <c r="U66" s="263" t="s"/>
      <c r="V66" s="263" t="s"/>
      <c r="W66" s="263" t="s"/>
      <c r="X66" s="263" t="s"/>
      <c r="Y66" s="263" t="s"/>
    </row>
    <row r="67" spans="1:25" ht="32" customHeight="true">
      <c r="A67" s="271" t="s"/>
      <c r="B67" s="978" t="s"/>
      <c r="C67" s="980">
        <f>=I67*J67/10000</f>
        <v>0</v>
      </c>
      <c r="D67" s="980" t="s"/>
      <c r="E67" s="980" t="s"/>
      <c r="F67" s="980" t="s"/>
      <c r="G67" s="980">
        <f>=SUM(C67:F67)</f>
        <v>0</v>
      </c>
      <c r="H67" s="271" t="s"/>
      <c r="I67" s="982" t="s"/>
      <c r="J67" s="297" t="s"/>
      <c r="K67" s="297" t="s"/>
      <c r="L67" s="298" t="s"/>
      <c r="M67" s="263" t="s"/>
      <c r="N67" s="315" t="s"/>
      <c r="O67" s="315" t="s"/>
      <c r="P67" s="315" t="s"/>
      <c r="Q67" s="315" t="s"/>
      <c r="R67" s="316" t="s"/>
      <c r="S67" s="316" t="s"/>
      <c r="T67" s="315" t="s"/>
      <c r="U67" s="315" t="s"/>
      <c r="V67" s="315" t="s"/>
      <c r="W67" s="315" t="s"/>
      <c r="X67" s="263" t="s"/>
      <c r="Y67" s="263" t="s"/>
    </row>
    <row r="68" spans="1:25" ht="32" customHeight="true">
      <c r="A68" s="983" t="s">
        <v>467</v>
      </c>
      <c r="B68" s="984" t="s">
        <v>468</v>
      </c>
      <c r="C68" s="979">
        <f>=SUM(C69:C94)</f>
        <v>2308.086898</v>
      </c>
      <c r="D68" s="979">
        <v>0</v>
      </c>
      <c r="E68" s="979" t="s"/>
      <c r="F68" s="979">
        <v>0</v>
      </c>
      <c r="G68" s="979">
        <f>=C68</f>
        <v>2308.086898</v>
      </c>
      <c r="H68" s="985" t="s">
        <v>2603</v>
      </c>
      <c r="I68" s="986">
        <v>100000</v>
      </c>
      <c r="J68" s="282">
        <f>=G68/I68*10000</f>
        <v>230.8086898</v>
      </c>
      <c r="K68" s="282" t="s"/>
      <c r="L68" s="313" t="s"/>
      <c r="M68" s="263" t="s"/>
      <c r="N68" s="315" t="s">
        <v>296</v>
      </c>
      <c r="O68" s="315" t="s">
        <v>7</v>
      </c>
      <c r="P68" s="315" t="s">
        <v>8</v>
      </c>
      <c r="Q68" s="315" t="s">
        <v>258</v>
      </c>
      <c r="R68" s="316">
        <f>=P84+P85</f>
        <v>928.64</v>
      </c>
      <c r="S68" s="316" t="s"/>
      <c r="T68" s="315" t="s">
        <v>296</v>
      </c>
      <c r="U68" s="315" t="s">
        <v>7</v>
      </c>
      <c r="V68" s="315" t="s">
        <v>8</v>
      </c>
      <c r="W68" s="315" t="s">
        <v>258</v>
      </c>
      <c r="X68" s="263" t="s"/>
      <c r="Y68" s="263" t="s"/>
    </row>
    <row r="69" spans="1:25" ht="32" customHeight="true">
      <c r="A69" s="271">
        <v>1</v>
      </c>
      <c r="B69" s="978" t="s">
        <v>469</v>
      </c>
      <c r="C69" s="980">
        <f>=I69*J69/10000</f>
        <v>134.57093</v>
      </c>
      <c r="D69" s="980" t="s"/>
      <c r="E69" s="980" t="s"/>
      <c r="F69" s="980" t="s"/>
      <c r="G69" s="980">
        <f>=C69</f>
        <v>134.57093</v>
      </c>
      <c r="H69" s="271" t="s">
        <v>470</v>
      </c>
      <c r="I69" s="982">
        <v>5850.91</v>
      </c>
      <c r="J69" s="297">
        <v>230</v>
      </c>
      <c r="K69" s="312" t="s"/>
      <c r="L69" s="298" t="s"/>
      <c r="M69" s="263" t="s"/>
      <c r="N69" s="317" t="s">
        <v>469</v>
      </c>
      <c r="O69" s="317" t="s">
        <v>470</v>
      </c>
      <c r="P69" s="318">
        <v>2552.96</v>
      </c>
      <c r="Q69" s="317" t="s"/>
      <c r="R69" s="319" t="s"/>
      <c r="S69" s="316" t="s"/>
      <c r="T69" s="315" t="s">
        <v>469</v>
      </c>
      <c r="U69" s="315" t="s">
        <v>470</v>
      </c>
      <c r="V69" s="320">
        <v>4407.05</v>
      </c>
      <c r="W69" s="315" t="s"/>
      <c r="X69" s="263" t="s"/>
      <c r="Y69" s="263" t="s"/>
    </row>
    <row r="70" spans="1:25" ht="32" customHeight="true">
      <c r="A70" s="201">
        <v>2</v>
      </c>
      <c r="B70" s="283" t="s">
        <v>471</v>
      </c>
      <c r="C70" s="295">
        <f>=I70*J70/10000</f>
        <v>15.0467</v>
      </c>
      <c r="D70" s="295" t="s"/>
      <c r="E70" s="295" t="s"/>
      <c r="F70" s="295" t="s"/>
      <c r="G70" s="295">
        <f>=C70</f>
        <v>15.0467</v>
      </c>
      <c r="H70" s="201" t="s">
        <v>470</v>
      </c>
      <c r="I70" s="296">
        <v>354.04</v>
      </c>
      <c r="J70" s="297">
        <v>425</v>
      </c>
      <c r="K70" s="312" t="s">
        <v>472</v>
      </c>
      <c r="L70" s="298" t="s"/>
      <c r="M70" s="263" t="s"/>
      <c r="N70" s="315" t="s">
        <v>471</v>
      </c>
      <c r="O70" s="315" t="s">
        <v>470</v>
      </c>
      <c r="P70" s="320">
        <v>126.7</v>
      </c>
      <c r="Q70" s="315" t="s">
        <v>472</v>
      </c>
      <c r="R70" s="316" t="s"/>
      <c r="S70" s="316" t="s"/>
      <c r="T70" s="315" t="s">
        <v>471</v>
      </c>
      <c r="U70" s="315" t="s">
        <v>470</v>
      </c>
      <c r="V70" s="320">
        <v>354.04</v>
      </c>
      <c r="W70" s="315" t="s">
        <v>472</v>
      </c>
      <c r="X70" s="263" t="s"/>
      <c r="Y70" s="263" t="s"/>
    </row>
    <row r="71" spans="1:25" ht="32" customHeight="true">
      <c r="A71" s="201">
        <v>3</v>
      </c>
      <c r="B71" s="283" t="s">
        <v>473</v>
      </c>
      <c r="C71" s="295">
        <f>=I71*J71/10000</f>
        <v>33.246</v>
      </c>
      <c r="D71" s="295" t="s"/>
      <c r="E71" s="295" t="s"/>
      <c r="F71" s="295" t="s"/>
      <c r="G71" s="295">
        <f>=C71</f>
        <v>33.246</v>
      </c>
      <c r="H71" s="201" t="s">
        <v>470</v>
      </c>
      <c r="I71" s="296">
        <v>184.7</v>
      </c>
      <c r="J71" s="297">
        <v>1800</v>
      </c>
      <c r="K71" s="312" t="s"/>
      <c r="L71" s="298" t="s"/>
      <c r="M71" s="263" t="s"/>
      <c r="N71" s="315" t="s"/>
      <c r="O71" s="315" t="s"/>
      <c r="P71" s="320" t="s"/>
      <c r="Q71" s="315" t="s"/>
      <c r="R71" s="316" t="s"/>
      <c r="S71" s="316" t="s"/>
      <c r="T71" s="315" t="s">
        <v>473</v>
      </c>
      <c r="U71" s="315" t="s">
        <v>470</v>
      </c>
      <c r="V71" s="320">
        <v>191.09</v>
      </c>
      <c r="W71" s="315" t="s"/>
      <c r="X71" s="263" t="s"/>
      <c r="Y71" s="263" t="s"/>
    </row>
    <row r="72" spans="1:25" ht="32" customHeight="true">
      <c r="A72" s="201">
        <v>4</v>
      </c>
      <c r="B72" s="283" t="s">
        <v>474</v>
      </c>
      <c r="C72" s="295">
        <f>=I72*J72/10000</f>
        <v>1.26</v>
      </c>
      <c r="D72" s="295" t="s"/>
      <c r="E72" s="295" t="s"/>
      <c r="F72" s="295" t="s"/>
      <c r="G72" s="295">
        <f>=C72</f>
        <v>1.26</v>
      </c>
      <c r="H72" s="201" t="s">
        <v>470</v>
      </c>
      <c r="I72" s="296">
        <v>28</v>
      </c>
      <c r="J72" s="297">
        <v>450</v>
      </c>
      <c r="K72" s="312" t="s"/>
      <c r="L72" s="298" t="s"/>
      <c r="M72" s="263" t="s"/>
      <c r="N72" s="315" t="s">
        <v>474</v>
      </c>
      <c r="O72" s="315" t="s">
        <v>470</v>
      </c>
      <c r="P72" s="320">
        <v>13</v>
      </c>
      <c r="Q72" s="315" t="s"/>
      <c r="R72" s="316" t="s"/>
      <c r="S72" s="316" t="s"/>
      <c r="T72" s="315" t="s">
        <v>474</v>
      </c>
      <c r="U72" s="315" t="s">
        <v>470</v>
      </c>
      <c r="V72" s="320">
        <v>28</v>
      </c>
      <c r="W72" s="315" t="s"/>
      <c r="X72" s="263" t="s"/>
      <c r="Y72" s="263" t="s"/>
    </row>
    <row r="73" spans="1:25" ht="32" customHeight="true">
      <c r="A73" s="201">
        <v>5</v>
      </c>
      <c r="B73" s="283" t="s">
        <v>475</v>
      </c>
      <c r="C73" s="295">
        <f>=I73*J73/10000</f>
        <v>4.16</v>
      </c>
      <c r="D73" s="295" t="s"/>
      <c r="E73" s="295" t="s"/>
      <c r="F73" s="295" t="s"/>
      <c r="G73" s="295">
        <f>=C73</f>
        <v>4.16</v>
      </c>
      <c r="H73" s="201" t="s">
        <v>470</v>
      </c>
      <c r="I73" s="296">
        <v>80</v>
      </c>
      <c r="J73" s="297">
        <v>520</v>
      </c>
      <c r="K73" s="312" t="s"/>
      <c r="L73" s="298" t="s"/>
      <c r="M73" s="263" t="s"/>
      <c r="N73" s="315" t="s">
        <v>475</v>
      </c>
      <c r="O73" s="315" t="s">
        <v>470</v>
      </c>
      <c r="P73" s="320">
        <v>187.07</v>
      </c>
      <c r="Q73" s="315" t="s"/>
      <c r="R73" s="316" t="s"/>
      <c r="S73" s="316" t="s"/>
      <c r="T73" s="315" t="s">
        <v>475</v>
      </c>
      <c r="U73" s="315" t="s">
        <v>273</v>
      </c>
      <c r="V73" s="320">
        <v>80</v>
      </c>
      <c r="W73" s="315" t="s">
        <v>476</v>
      </c>
      <c r="X73" s="263" t="s"/>
      <c r="Y73" s="263" t="s"/>
    </row>
    <row r="74" spans="1:25" ht="32" customHeight="true">
      <c r="A74" s="201">
        <v>6</v>
      </c>
      <c r="B74" s="283" t="s">
        <v>477</v>
      </c>
      <c r="C74" s="295">
        <f>=I74*J74/10000</f>
        <v>581.73952</v>
      </c>
      <c r="D74" s="295" t="s"/>
      <c r="E74" s="295" t="s"/>
      <c r="F74" s="295" t="s"/>
      <c r="G74" s="295">
        <f>=C74</f>
        <v>581.73952</v>
      </c>
      <c r="H74" s="201" t="s">
        <v>470</v>
      </c>
      <c r="I74" s="296">
        <v>36358.72</v>
      </c>
      <c r="J74" s="297">
        <v>160</v>
      </c>
      <c r="K74" s="312" t="s"/>
      <c r="L74" s="298" t="s"/>
      <c r="M74" s="263" t="s"/>
      <c r="N74" s="317" t="s">
        <v>478</v>
      </c>
      <c r="O74" s="317" t="s">
        <v>470</v>
      </c>
      <c r="P74" s="318">
        <v>41197.66</v>
      </c>
      <c r="Q74" s="317" t="s"/>
      <c r="R74" s="319" t="s"/>
      <c r="S74" s="321" t="s"/>
      <c r="T74" s="315" t="s">
        <v>478</v>
      </c>
      <c r="U74" s="315" t="s">
        <v>470</v>
      </c>
      <c r="V74" s="320">
        <v>38627.35</v>
      </c>
      <c r="W74" s="315" t="s"/>
      <c r="X74" s="263" t="s"/>
      <c r="Y74" s="263" t="s"/>
    </row>
    <row r="75" spans="1:25" ht="32" customHeight="true">
      <c r="A75" s="201">
        <v>7</v>
      </c>
      <c r="B75" s="283" t="s">
        <v>479</v>
      </c>
      <c r="C75" s="295">
        <f>=I75*J75/10000</f>
        <v>47.822488</v>
      </c>
      <c r="D75" s="295" t="s"/>
      <c r="E75" s="295" t="s"/>
      <c r="F75" s="295" t="s"/>
      <c r="G75" s="295">
        <f>=C75</f>
        <v>47.822488</v>
      </c>
      <c r="H75" s="201" t="s">
        <v>470</v>
      </c>
      <c r="I75" s="296">
        <v>1160.74</v>
      </c>
      <c r="J75" s="297">
        <v>412</v>
      </c>
      <c r="K75" s="312" t="s">
        <v>480</v>
      </c>
      <c r="L75" s="298" t="s"/>
      <c r="M75" s="263" t="s"/>
      <c r="N75" s="315" t="s">
        <v>479</v>
      </c>
      <c r="O75" s="315" t="s">
        <v>470</v>
      </c>
      <c r="P75" s="320">
        <v>1789.14</v>
      </c>
      <c r="Q75" s="315" t="s">
        <v>481</v>
      </c>
      <c r="R75" s="321" t="s"/>
      <c r="S75" s="321" t="s"/>
      <c r="T75" s="315" t="s">
        <v>479</v>
      </c>
      <c r="U75" s="315" t="s">
        <v>470</v>
      </c>
      <c r="V75" s="320">
        <v>907.07</v>
      </c>
      <c r="W75" s="315" t="s">
        <v>481</v>
      </c>
      <c r="X75" s="263" t="s"/>
      <c r="Y75" s="263" t="s"/>
    </row>
    <row r="76" spans="1:25" ht="32" customHeight="true">
      <c r="A76" s="201">
        <v>8</v>
      </c>
      <c r="B76" s="283" t="s">
        <v>482</v>
      </c>
      <c r="C76" s="295">
        <f>=I76*J76/10000</f>
        <v>222.25</v>
      </c>
      <c r="D76" s="295" t="s"/>
      <c r="E76" s="295" t="s"/>
      <c r="F76" s="295" t="s"/>
      <c r="G76" s="295">
        <f>=C76</f>
        <v>222.25</v>
      </c>
      <c r="H76" s="201" t="s">
        <v>470</v>
      </c>
      <c r="I76" s="296">
        <v>8890</v>
      </c>
      <c r="J76" s="297">
        <v>250</v>
      </c>
      <c r="K76" s="312" t="s">
        <v>2501</v>
      </c>
      <c r="L76" s="298" t="s"/>
      <c r="M76" s="263" t="s"/>
      <c r="N76" s="315" t="s">
        <v>483</v>
      </c>
      <c r="O76" s="315" t="s">
        <v>470</v>
      </c>
      <c r="P76" s="320">
        <v>6792.04</v>
      </c>
      <c r="Q76" s="315" t="s"/>
      <c r="R76" s="321" t="s"/>
      <c r="S76" s="321" t="s"/>
      <c r="T76" s="315" t="s">
        <v>482</v>
      </c>
      <c r="U76" s="315" t="s">
        <v>470</v>
      </c>
      <c r="V76" s="320">
        <v>8890</v>
      </c>
      <c r="W76" s="315" t="s">
        <v>484</v>
      </c>
      <c r="X76" s="263" t="s"/>
      <c r="Y76" s="263" t="s"/>
    </row>
    <row r="77" spans="1:25" ht="48" customHeight="true">
      <c r="A77" s="201">
        <v>9</v>
      </c>
      <c r="B77" s="283" t="s">
        <v>485</v>
      </c>
      <c r="C77" s="295">
        <f>=I77*J77/10000</f>
        <v>107.232</v>
      </c>
      <c r="D77" s="295" t="s"/>
      <c r="E77" s="295" t="s"/>
      <c r="F77" s="295" t="s"/>
      <c r="G77" s="295">
        <f>=C77</f>
        <v>107.232</v>
      </c>
      <c r="H77" s="201" t="s">
        <v>470</v>
      </c>
      <c r="I77" s="296">
        <v>1072.32</v>
      </c>
      <c r="J77" s="297">
        <v>1000</v>
      </c>
      <c r="K77" s="987" t="s">
        <v>2534</v>
      </c>
      <c r="L77" s="298" t="s"/>
      <c r="M77" s="263" t="s"/>
      <c r="N77" s="315" t="s">
        <v>485</v>
      </c>
      <c r="O77" s="315" t="s">
        <v>470</v>
      </c>
      <c r="P77" s="320">
        <v>7393.87</v>
      </c>
      <c r="Q77" s="322" t="s">
        <v>486</v>
      </c>
      <c r="R77" s="321">
        <f>=339.99+336.05+179.81+611.73</f>
        <v>1467.58</v>
      </c>
      <c r="S77" s="321" t="s"/>
      <c r="T77" s="315" t="s">
        <v>485</v>
      </c>
      <c r="U77" s="315" t="s">
        <v>470</v>
      </c>
      <c r="V77" s="320">
        <v>869.05</v>
      </c>
      <c r="W77" s="322" t="s">
        <v>486</v>
      </c>
      <c r="X77" s="263" t="s"/>
      <c r="Y77" s="263" t="s"/>
    </row>
    <row r="78" spans="1:25" ht="32" customHeight="true">
      <c r="A78" s="201">
        <v>10</v>
      </c>
      <c r="B78" s="283" t="s">
        <v>487</v>
      </c>
      <c r="C78" s="295">
        <f>=I78*J78/10000</f>
        <v>25.52</v>
      </c>
      <c r="D78" s="295" t="s"/>
      <c r="E78" s="295" t="s"/>
      <c r="F78" s="295" t="s"/>
      <c r="G78" s="295">
        <f>=C78</f>
        <v>25.52</v>
      </c>
      <c r="H78" s="201" t="s">
        <v>470</v>
      </c>
      <c r="I78" s="296">
        <v>797.5</v>
      </c>
      <c r="J78" s="297">
        <v>320</v>
      </c>
      <c r="K78" s="312" t="s"/>
      <c r="L78" s="298" t="s"/>
      <c r="M78" s="263" t="s"/>
      <c r="N78" s="317" t="s">
        <v>487</v>
      </c>
      <c r="O78" s="317" t="s">
        <v>470</v>
      </c>
      <c r="P78" s="318">
        <v>797.5</v>
      </c>
      <c r="Q78" s="317" t="s"/>
      <c r="R78" s="319" t="s"/>
      <c r="S78" s="316" t="s"/>
      <c r="T78" s="315" t="s">
        <v>487</v>
      </c>
      <c r="U78" s="315" t="s">
        <v>470</v>
      </c>
      <c r="V78" s="320">
        <v>797.5</v>
      </c>
      <c r="W78" s="315" t="s"/>
      <c r="X78" s="263" t="s"/>
      <c r="Y78" s="263" t="s"/>
    </row>
    <row r="79" spans="1:25" ht="32" customHeight="true">
      <c r="A79" s="201">
        <v>11</v>
      </c>
      <c r="B79" s="283" t="s">
        <v>488</v>
      </c>
      <c r="C79" s="295">
        <f>=I79*J79/10000</f>
        <v>322.468</v>
      </c>
      <c r="D79" s="295" t="s"/>
      <c r="E79" s="295" t="s"/>
      <c r="F79" s="295" t="s"/>
      <c r="G79" s="295">
        <f>=C79</f>
        <v>322.468</v>
      </c>
      <c r="H79" s="201" t="s">
        <v>470</v>
      </c>
      <c r="I79" s="296">
        <v>6449.36</v>
      </c>
      <c r="J79" s="297">
        <v>500</v>
      </c>
      <c r="K79" s="312" t="s"/>
      <c r="L79" s="298" t="s"/>
      <c r="M79" s="263" t="s"/>
      <c r="N79" s="317" t="s">
        <v>488</v>
      </c>
      <c r="O79" s="317" t="s">
        <v>470</v>
      </c>
      <c r="P79" s="318">
        <v>4488.35</v>
      </c>
      <c r="Q79" s="317" t="s"/>
      <c r="R79" s="319" t="s"/>
      <c r="S79" s="316" t="s"/>
      <c r="T79" s="315" t="s">
        <v>488</v>
      </c>
      <c r="U79" s="315" t="s">
        <v>470</v>
      </c>
      <c r="V79" s="320">
        <v>6449.36</v>
      </c>
      <c r="W79" s="315" t="s"/>
      <c r="X79" s="263" t="s"/>
      <c r="Y79" s="263" t="s"/>
    </row>
    <row r="80" spans="1:25" ht="32" customHeight="true">
      <c r="A80" s="201">
        <v>12</v>
      </c>
      <c r="B80" s="283" t="s">
        <v>490</v>
      </c>
      <c r="C80" s="295">
        <f>=I80*J80/10000</f>
        <v>52.6875</v>
      </c>
      <c r="D80" s="295" t="s"/>
      <c r="E80" s="295" t="s"/>
      <c r="F80" s="295" t="s"/>
      <c r="G80" s="295">
        <f>=C80</f>
        <v>52.6875</v>
      </c>
      <c r="H80" s="201" t="s">
        <v>470</v>
      </c>
      <c r="I80" s="296">
        <v>1053.75</v>
      </c>
      <c r="J80" s="297">
        <v>500</v>
      </c>
      <c r="K80" s="312" t="s">
        <v>2502</v>
      </c>
      <c r="L80" s="298" t="s"/>
      <c r="M80" s="263" t="s"/>
      <c r="N80" s="315" t="s">
        <v>489</v>
      </c>
      <c r="O80" s="315" t="s">
        <v>470</v>
      </c>
      <c r="P80" s="320">
        <v>108.05</v>
      </c>
      <c r="Q80" s="315" t="s"/>
      <c r="R80" s="316" t="s"/>
      <c r="S80" s="316" t="s"/>
      <c r="T80" s="315" t="s">
        <v>489</v>
      </c>
      <c r="U80" s="315" t="s">
        <v>470</v>
      </c>
      <c r="V80" s="320">
        <v>30</v>
      </c>
      <c r="W80" s="315" t="s"/>
      <c r="X80" s="263" t="s"/>
      <c r="Y80" s="263" t="s"/>
    </row>
    <row r="81" spans="1:25" ht="32" customHeight="true">
      <c r="A81" s="201">
        <v>13</v>
      </c>
      <c r="B81" s="283" t="s">
        <v>491</v>
      </c>
      <c r="C81" s="295">
        <f>=I81*J81/10000</f>
        <v>83.788</v>
      </c>
      <c r="D81" s="295" t="s"/>
      <c r="E81" s="295" t="s"/>
      <c r="F81" s="295" t="s"/>
      <c r="G81" s="295">
        <f>=C81</f>
        <v>83.788</v>
      </c>
      <c r="H81" s="201" t="s">
        <v>470</v>
      </c>
      <c r="I81" s="296">
        <v>2094.7</v>
      </c>
      <c r="J81" s="297">
        <v>400</v>
      </c>
      <c r="K81" s="312" t="s">
        <v>492</v>
      </c>
      <c r="L81" s="298" t="s"/>
      <c r="M81" s="263" t="s"/>
      <c r="N81" s="315" t="s">
        <v>490</v>
      </c>
      <c r="O81" s="315" t="s">
        <v>470</v>
      </c>
      <c r="P81" s="320">
        <v>1053.75</v>
      </c>
      <c r="Q81" s="315" t="s"/>
      <c r="R81" s="316" t="s"/>
      <c r="S81" s="316" t="s"/>
      <c r="T81" s="315" t="s">
        <v>490</v>
      </c>
      <c r="U81" s="315" t="s">
        <v>470</v>
      </c>
      <c r="V81" s="320">
        <v>1053.75</v>
      </c>
      <c r="W81" s="315" t="s"/>
      <c r="X81" s="263" t="s"/>
      <c r="Y81" s="263" t="s"/>
    </row>
    <row r="82" spans="1:25" ht="32" customHeight="true">
      <c r="A82" s="201">
        <v>14</v>
      </c>
      <c r="B82" s="283" t="s">
        <v>493</v>
      </c>
      <c r="C82" s="295">
        <f>=I82*J82/10000</f>
        <v>23.0601</v>
      </c>
      <c r="D82" s="295" t="s"/>
      <c r="E82" s="295" t="s"/>
      <c r="F82" s="295" t="s"/>
      <c r="G82" s="295">
        <f>=C82</f>
        <v>23.0601</v>
      </c>
      <c r="H82" s="201" t="s">
        <v>470</v>
      </c>
      <c r="I82" s="296">
        <v>329.43</v>
      </c>
      <c r="J82" s="297">
        <v>700</v>
      </c>
      <c r="K82" s="312" t="s">
        <v>492</v>
      </c>
      <c r="L82" s="298" t="s"/>
      <c r="M82" s="263" t="s"/>
      <c r="N82" s="315" t="s">
        <v>491</v>
      </c>
      <c r="O82" s="315" t="s">
        <v>470</v>
      </c>
      <c r="P82" s="320">
        <v>2975.4</v>
      </c>
      <c r="Q82" s="315" t="s">
        <v>492</v>
      </c>
      <c r="R82" s="316" t="s"/>
      <c r="S82" s="316" t="s"/>
      <c r="T82" s="315" t="s">
        <v>491</v>
      </c>
      <c r="U82" s="315" t="s">
        <v>470</v>
      </c>
      <c r="V82" s="320">
        <v>2270.44</v>
      </c>
      <c r="W82" s="315" t="s">
        <v>492</v>
      </c>
      <c r="X82" s="263" t="s"/>
      <c r="Y82" s="263" t="s"/>
    </row>
    <row r="83" spans="1:25" ht="32" customHeight="true">
      <c r="A83" s="201">
        <v>15</v>
      </c>
      <c r="B83" s="283" t="s">
        <v>494</v>
      </c>
      <c r="C83" s="295">
        <f>=I83*J83/10000</f>
        <v>132.6276</v>
      </c>
      <c r="D83" s="295" t="s"/>
      <c r="E83" s="295" t="s"/>
      <c r="F83" s="295" t="s"/>
      <c r="G83" s="295">
        <f>=C83</f>
        <v>132.6276</v>
      </c>
      <c r="H83" s="201" t="s">
        <v>470</v>
      </c>
      <c r="I83" s="296">
        <v>473.67</v>
      </c>
      <c r="J83" s="297">
        <v>2800</v>
      </c>
      <c r="K83" s="312" t="s">
        <v>495</v>
      </c>
      <c r="L83" s="298" t="s"/>
      <c r="M83" s="263" t="s"/>
      <c r="N83" s="315" t="s">
        <v>493</v>
      </c>
      <c r="O83" s="315" t="s">
        <v>470</v>
      </c>
      <c r="P83" s="320">
        <v>518.49</v>
      </c>
      <c r="Q83" s="315" t="s">
        <v>492</v>
      </c>
      <c r="R83" s="316" t="s"/>
      <c r="S83" s="316" t="s"/>
      <c r="T83" s="315" t="s">
        <v>493</v>
      </c>
      <c r="U83" s="315" t="s">
        <v>470</v>
      </c>
      <c r="V83" s="320">
        <v>329.43</v>
      </c>
      <c r="W83" s="315" t="s">
        <v>492</v>
      </c>
      <c r="X83" s="263" t="s"/>
      <c r="Y83" s="263" t="s"/>
    </row>
    <row r="84" spans="1:25" ht="32" customHeight="true">
      <c r="A84" s="201">
        <v>16</v>
      </c>
      <c r="B84" s="283" t="s">
        <v>496</v>
      </c>
      <c r="C84" s="295">
        <f>=I84*J84/10000</f>
        <v>10</v>
      </c>
      <c r="D84" s="295" t="s"/>
      <c r="E84" s="295" t="s"/>
      <c r="F84" s="295" t="s"/>
      <c r="G84" s="295">
        <f>=C84</f>
        <v>10</v>
      </c>
      <c r="H84" s="201" t="s">
        <v>470</v>
      </c>
      <c r="I84" s="296">
        <v>25</v>
      </c>
      <c r="J84" s="297">
        <v>4000</v>
      </c>
      <c r="K84" s="312" t="s"/>
      <c r="L84" s="298" t="s"/>
      <c r="M84" s="263" t="s"/>
      <c r="N84" s="315" t="s">
        <v>494</v>
      </c>
      <c r="O84" s="315" t="s">
        <v>470</v>
      </c>
      <c r="P84" s="320">
        <v>784.64</v>
      </c>
      <c r="Q84" s="315" t="s">
        <v>495</v>
      </c>
      <c r="R84" s="316" t="s"/>
      <c r="S84" s="316" t="s"/>
      <c r="T84" s="315" t="s">
        <v>494</v>
      </c>
      <c r="U84" s="315" t="s">
        <v>470</v>
      </c>
      <c r="V84" s="320">
        <v>638.17</v>
      </c>
      <c r="W84" s="315" t="s">
        <v>495</v>
      </c>
      <c r="X84" s="263" t="s"/>
      <c r="Y84" s="263" t="s"/>
    </row>
    <row r="85" spans="1:25" ht="32" customHeight="true">
      <c r="A85" s="201">
        <v>17</v>
      </c>
      <c r="B85" s="283" t="s">
        <v>497</v>
      </c>
      <c r="C85" s="295">
        <f>=I85*J85/10000</f>
        <v>8.7444</v>
      </c>
      <c r="D85" s="295" t="s"/>
      <c r="E85" s="295" t="s"/>
      <c r="F85" s="295" t="s"/>
      <c r="G85" s="295">
        <f>=C85</f>
        <v>8.7444</v>
      </c>
      <c r="H85" s="201" t="s">
        <v>470</v>
      </c>
      <c r="I85" s="296">
        <v>72.87</v>
      </c>
      <c r="J85" s="297">
        <v>1200</v>
      </c>
      <c r="K85" s="312" t="s"/>
      <c r="L85" s="298" t="s"/>
      <c r="M85" s="263" t="s"/>
      <c r="N85" s="315" t="s">
        <v>496</v>
      </c>
      <c r="O85" s="315" t="s">
        <v>470</v>
      </c>
      <c r="P85" s="320">
        <v>144</v>
      </c>
      <c r="Q85" s="315" t="s"/>
      <c r="R85" s="316" t="s"/>
      <c r="S85" s="316" t="s"/>
      <c r="T85" s="315" t="s">
        <v>496</v>
      </c>
      <c r="U85" s="315" t="s">
        <v>470</v>
      </c>
      <c r="V85" s="320">
        <v>25</v>
      </c>
      <c r="W85" s="315" t="s"/>
      <c r="X85" s="263" t="s"/>
      <c r="Y85" s="263" t="s"/>
    </row>
    <row r="86" spans="1:25" ht="32" customHeight="true">
      <c r="A86" s="201">
        <v>18</v>
      </c>
      <c r="B86" s="283" t="s">
        <v>498</v>
      </c>
      <c r="C86" s="295">
        <f>=I86*J86/10000</f>
        <v>28.8</v>
      </c>
      <c r="D86" s="295" t="s"/>
      <c r="E86" s="295" t="s"/>
      <c r="F86" s="295" t="s"/>
      <c r="G86" s="295">
        <f>=C86</f>
        <v>28.8</v>
      </c>
      <c r="H86" s="201" t="s">
        <v>470</v>
      </c>
      <c r="I86" s="296">
        <v>90</v>
      </c>
      <c r="J86" s="297">
        <v>3200</v>
      </c>
      <c r="K86" s="312" t="s"/>
      <c r="L86" s="298" t="s"/>
      <c r="M86" s="263" t="s"/>
      <c r="N86" s="315" t="s">
        <v>497</v>
      </c>
      <c r="O86" s="315" t="s">
        <v>470</v>
      </c>
      <c r="P86" s="320">
        <v>109.39</v>
      </c>
      <c r="Q86" s="315" t="s"/>
      <c r="R86" s="316" t="s"/>
      <c r="S86" s="316" t="s"/>
      <c r="T86" s="315" t="s">
        <v>497</v>
      </c>
      <c r="U86" s="315" t="s">
        <v>470</v>
      </c>
      <c r="V86" s="320">
        <v>72.87</v>
      </c>
      <c r="W86" s="315" t="s"/>
      <c r="X86" s="263" t="s"/>
      <c r="Y86" s="263" t="s"/>
    </row>
    <row r="87" spans="1:25" ht="32" customHeight="true">
      <c r="A87" s="201">
        <v>19</v>
      </c>
      <c r="B87" s="283" t="s">
        <v>499</v>
      </c>
      <c r="C87" s="295">
        <f>=I87*J87/10000</f>
        <v>4.9</v>
      </c>
      <c r="D87" s="295" t="s"/>
      <c r="E87" s="295" t="s"/>
      <c r="F87" s="295" t="s"/>
      <c r="G87" s="295">
        <f>=C87</f>
        <v>4.9</v>
      </c>
      <c r="H87" s="201" t="s">
        <v>470</v>
      </c>
      <c r="I87" s="296">
        <v>12.25</v>
      </c>
      <c r="J87" s="297">
        <v>4000</v>
      </c>
      <c r="K87" s="312" t="s">
        <v>500</v>
      </c>
      <c r="L87" s="298" t="s"/>
      <c r="M87" s="263" t="s"/>
      <c r="N87" s="315" t="s">
        <v>498</v>
      </c>
      <c r="O87" s="315" t="s">
        <v>470</v>
      </c>
      <c r="P87" s="320">
        <v>40</v>
      </c>
      <c r="Q87" s="315" t="s"/>
      <c r="R87" s="316" t="s"/>
      <c r="S87" s="316" t="s"/>
      <c r="T87" s="315" t="s">
        <v>498</v>
      </c>
      <c r="U87" s="315" t="s">
        <v>470</v>
      </c>
      <c r="V87" s="320">
        <v>40</v>
      </c>
      <c r="W87" s="315" t="s"/>
      <c r="X87" s="263" t="s"/>
      <c r="Y87" s="263" t="s"/>
    </row>
    <row r="88" spans="1:25" ht="32" customHeight="true">
      <c r="A88" s="201">
        <v>20</v>
      </c>
      <c r="B88" s="283" t="s">
        <v>501</v>
      </c>
      <c r="C88" s="295">
        <f>=I88*J88/10000</f>
        <v>16.6344</v>
      </c>
      <c r="D88" s="295" t="s"/>
      <c r="E88" s="295" t="s"/>
      <c r="F88" s="295" t="s"/>
      <c r="G88" s="295">
        <f>=C88</f>
        <v>16.6344</v>
      </c>
      <c r="H88" s="201" t="s">
        <v>470</v>
      </c>
      <c r="I88" s="296">
        <v>277.24</v>
      </c>
      <c r="J88" s="297">
        <v>600</v>
      </c>
      <c r="K88" s="312" t="s"/>
      <c r="L88" s="298" t="s"/>
      <c r="M88" s="263" t="s"/>
      <c r="N88" s="315" t="s">
        <v>499</v>
      </c>
      <c r="O88" s="315" t="s">
        <v>470</v>
      </c>
      <c r="P88" s="320">
        <v>12.25</v>
      </c>
      <c r="Q88" s="315" t="s">
        <v>500</v>
      </c>
      <c r="R88" s="321" t="s"/>
      <c r="S88" s="316" t="s"/>
      <c r="T88" s="315" t="s">
        <v>499</v>
      </c>
      <c r="U88" s="315" t="s">
        <v>470</v>
      </c>
      <c r="V88" s="320">
        <v>12.25</v>
      </c>
      <c r="W88" s="315" t="s">
        <v>500</v>
      </c>
      <c r="X88" s="263" t="s"/>
      <c r="Y88" s="263" t="s"/>
    </row>
    <row r="89" spans="1:25" ht="32" customHeight="true">
      <c r="A89" s="201">
        <v>21</v>
      </c>
      <c r="B89" s="283" t="s">
        <v>505</v>
      </c>
      <c r="C89" s="295">
        <f>=I89*J89/10000</f>
        <v>51.7395</v>
      </c>
      <c r="D89" s="295" t="s"/>
      <c r="E89" s="295" t="s"/>
      <c r="F89" s="295" t="s"/>
      <c r="G89" s="295">
        <f>=C89</f>
        <v>51.7395</v>
      </c>
      <c r="H89" s="201" t="s">
        <v>470</v>
      </c>
      <c r="I89" s="296">
        <v>1034.79</v>
      </c>
      <c r="J89" s="297">
        <v>500</v>
      </c>
      <c r="K89" s="312" t="s">
        <v>506</v>
      </c>
      <c r="L89" s="298" t="s"/>
      <c r="M89" s="263" t="s"/>
      <c r="N89" s="315" t="s">
        <v>502</v>
      </c>
      <c r="O89" s="315" t="s">
        <v>470</v>
      </c>
      <c r="P89" s="320">
        <v>460.93</v>
      </c>
      <c r="Q89" s="315" t="s">
        <v>503</v>
      </c>
      <c r="R89" s="321" t="s"/>
      <c r="S89" s="321" t="s"/>
      <c r="T89" s="315" t="s">
        <v>501</v>
      </c>
      <c r="U89" s="315" t="s">
        <v>470</v>
      </c>
      <c r="V89" s="320">
        <v>289.28</v>
      </c>
      <c r="W89" s="322" t="s">
        <v>504</v>
      </c>
      <c r="X89" s="263" t="s"/>
      <c r="Y89" s="263" t="s"/>
    </row>
    <row r="90" spans="1:25" ht="32" customHeight="true">
      <c r="A90" s="201">
        <v>22</v>
      </c>
      <c r="B90" s="283" t="s">
        <v>509</v>
      </c>
      <c r="C90" s="295">
        <f>=I90*J90/10000</f>
        <v>4.8</v>
      </c>
      <c r="D90" s="295" t="s"/>
      <c r="E90" s="295" t="s"/>
      <c r="F90" s="295" t="s"/>
      <c r="G90" s="295">
        <f>=C90</f>
        <v>4.8</v>
      </c>
      <c r="H90" s="201" t="s">
        <v>470</v>
      </c>
      <c r="I90" s="296">
        <v>24</v>
      </c>
      <c r="J90" s="297">
        <v>2000</v>
      </c>
      <c r="K90" s="312" t="s"/>
      <c r="L90" s="298" t="s"/>
      <c r="M90" s="263" t="s"/>
      <c r="N90" s="315" t="s">
        <v>505</v>
      </c>
      <c r="O90" s="315" t="s">
        <v>470</v>
      </c>
      <c r="P90" s="320">
        <v>1529.24</v>
      </c>
      <c r="Q90" s="315" t="s">
        <v>506</v>
      </c>
      <c r="R90" s="316" t="s"/>
      <c r="S90" s="321" t="s"/>
      <c r="T90" s="315" t="s">
        <v>505</v>
      </c>
      <c r="U90" s="315" t="s">
        <v>470</v>
      </c>
      <c r="V90" s="320">
        <v>1034.79</v>
      </c>
      <c r="W90" s="315" t="s">
        <v>506</v>
      </c>
      <c r="X90" s="263" t="s"/>
      <c r="Y90" s="263" t="s"/>
    </row>
    <row r="91" spans="1:25" ht="32" customHeight="true">
      <c r="A91" s="201">
        <v>23</v>
      </c>
      <c r="B91" s="283" t="s">
        <v>511</v>
      </c>
      <c r="C91" s="295">
        <f>=I91*J91/10000</f>
        <v>3</v>
      </c>
      <c r="D91" s="295" t="s"/>
      <c r="E91" s="295" t="s"/>
      <c r="F91" s="295" t="s"/>
      <c r="G91" s="295">
        <f>=C91</f>
        <v>3</v>
      </c>
      <c r="H91" s="201" t="s">
        <v>45</v>
      </c>
      <c r="I91" s="296">
        <v>1</v>
      </c>
      <c r="J91" s="297">
        <v>30000</v>
      </c>
      <c r="K91" s="312" t="s">
        <v>512</v>
      </c>
      <c r="L91" s="298" t="s"/>
      <c r="M91" s="263" t="s"/>
      <c r="N91" s="315" t="s">
        <v>507</v>
      </c>
      <c r="O91" s="315" t="s">
        <v>470</v>
      </c>
      <c r="P91" s="320">
        <v>4652.3</v>
      </c>
      <c r="Q91" s="322" t="s">
        <v>508</v>
      </c>
      <c r="R91" s="316" t="s"/>
      <c r="S91" s="321" t="s"/>
      <c r="T91" s="315" t="s">
        <v>507</v>
      </c>
      <c r="U91" s="315" t="s">
        <v>470</v>
      </c>
      <c r="V91" s="320">
        <v>2625.34</v>
      </c>
      <c r="W91" s="322" t="s">
        <v>508</v>
      </c>
      <c r="X91" s="263" t="s"/>
      <c r="Y91" s="263" t="s"/>
    </row>
    <row r="92" spans="1:25" ht="32" customHeight="true">
      <c r="A92" s="201">
        <v>24</v>
      </c>
      <c r="B92" s="283" t="s">
        <v>513</v>
      </c>
      <c r="C92" s="295">
        <f>=I92*J92/10000</f>
        <v>30</v>
      </c>
      <c r="D92" s="295" t="s"/>
      <c r="E92" s="295" t="s"/>
      <c r="F92" s="295" t="s"/>
      <c r="G92" s="295">
        <f>=C92</f>
        <v>30</v>
      </c>
      <c r="H92" s="201" t="s">
        <v>514</v>
      </c>
      <c r="I92" s="296">
        <v>1</v>
      </c>
      <c r="J92" s="297">
        <v>300000</v>
      </c>
      <c r="K92" s="312" t="s">
        <v>515</v>
      </c>
      <c r="L92" s="298" t="s"/>
      <c r="M92" s="263" t="s"/>
      <c r="N92" s="315" t="s">
        <v>510</v>
      </c>
      <c r="O92" s="315" t="s">
        <v>470</v>
      </c>
      <c r="P92" s="320">
        <v>165.77</v>
      </c>
      <c r="Q92" s="322" t="s">
        <v>508</v>
      </c>
      <c r="R92" s="316" t="s"/>
      <c r="S92" s="321" t="s"/>
      <c r="T92" s="315" t="s">
        <v>509</v>
      </c>
      <c r="U92" s="315" t="s">
        <v>470</v>
      </c>
      <c r="V92" s="320">
        <v>24</v>
      </c>
      <c r="W92" s="322" t="s"/>
      <c r="X92" s="263" t="s"/>
      <c r="Y92" s="263" t="s"/>
    </row>
    <row r="93" spans="1:25" ht="32" customHeight="true">
      <c r="A93" s="201">
        <v>25</v>
      </c>
      <c r="B93" s="283" t="s">
        <v>516</v>
      </c>
      <c r="C93" s="295">
        <f>=I93*J93/10000</f>
        <v>158.37052</v>
      </c>
      <c r="D93" s="295" t="s"/>
      <c r="E93" s="295" t="s"/>
      <c r="F93" s="295" t="s"/>
      <c r="G93" s="295">
        <f>=C93</f>
        <v>158.37052</v>
      </c>
      <c r="H93" s="201" t="s">
        <v>470</v>
      </c>
      <c r="I93" s="296">
        <v>45248.72</v>
      </c>
      <c r="J93" s="297">
        <v>35</v>
      </c>
      <c r="K93" s="312" t="s">
        <v>517</v>
      </c>
      <c r="L93" s="298" t="s"/>
      <c r="M93" s="263" t="s"/>
      <c r="N93" s="315" t="s">
        <v>511</v>
      </c>
      <c r="O93" s="315" t="s">
        <v>45</v>
      </c>
      <c r="P93" s="315">
        <v>1</v>
      </c>
      <c r="Q93" s="315" t="s">
        <v>512</v>
      </c>
      <c r="R93" s="316" t="s"/>
      <c r="S93" s="316" t="s"/>
      <c r="T93" s="315" t="s">
        <v>511</v>
      </c>
      <c r="U93" s="315" t="s">
        <v>45</v>
      </c>
      <c r="V93" s="315">
        <v>1</v>
      </c>
      <c r="W93" s="315" t="s">
        <v>512</v>
      </c>
      <c r="X93" s="263" t="s"/>
      <c r="Y93" s="263" t="s"/>
    </row>
    <row r="94" spans="1:25" ht="32" customHeight="true">
      <c r="A94" s="201">
        <v>26</v>
      </c>
      <c r="B94" s="283" t="s">
        <v>518</v>
      </c>
      <c r="C94" s="295">
        <f>=I94*J94/10000</f>
        <v>203.61924</v>
      </c>
      <c r="D94" s="295" t="s"/>
      <c r="E94" s="295" t="s"/>
      <c r="F94" s="295" t="s"/>
      <c r="G94" s="295">
        <f>=C94</f>
        <v>203.61924</v>
      </c>
      <c r="H94" s="201" t="s">
        <v>470</v>
      </c>
      <c r="I94" s="296">
        <v>45248.72</v>
      </c>
      <c r="J94" s="297">
        <v>45</v>
      </c>
      <c r="K94" s="312" t="s">
        <v>519</v>
      </c>
      <c r="L94" s="298" t="s"/>
      <c r="M94" s="263" t="s"/>
      <c r="N94" s="315" t="s">
        <v>513</v>
      </c>
      <c r="O94" s="315" t="s">
        <v>514</v>
      </c>
      <c r="P94" s="315">
        <v>1</v>
      </c>
      <c r="Q94" s="315" t="s">
        <v>515</v>
      </c>
      <c r="R94" s="316" t="s"/>
      <c r="S94" s="316" t="s"/>
      <c r="T94" s="315" t="s">
        <v>513</v>
      </c>
      <c r="U94" s="315" t="s">
        <v>514</v>
      </c>
      <c r="V94" s="315">
        <v>1</v>
      </c>
      <c r="W94" s="315" t="s">
        <v>515</v>
      </c>
      <c r="X94" s="263" t="s"/>
      <c r="Y94" s="263" t="s"/>
    </row>
    <row r="95" spans="1:25" ht="32" customHeight="true">
      <c r="A95" s="201" t="s"/>
      <c r="B95" s="283" t="s"/>
      <c r="C95" s="295" t="s"/>
      <c r="D95" s="295" t="s"/>
      <c r="E95" s="295" t="s"/>
      <c r="F95" s="295" t="s"/>
      <c r="G95" s="295" t="s"/>
      <c r="H95" s="201" t="s"/>
      <c r="I95" s="296" t="s"/>
      <c r="J95" s="297" t="s"/>
      <c r="K95" s="312" t="s"/>
      <c r="L95" s="298" t="s"/>
      <c r="M95" s="263" t="s"/>
      <c r="N95" s="315" t="s"/>
      <c r="O95" s="315" t="s"/>
      <c r="P95" s="315" t="s"/>
      <c r="Q95" s="315" t="s"/>
      <c r="R95" s="316" t="s"/>
      <c r="S95" s="316" t="s"/>
      <c r="T95" s="315" t="s"/>
      <c r="U95" s="315" t="s"/>
      <c r="V95" s="315" t="s"/>
      <c r="W95" s="315" t="s"/>
      <c r="X95" s="263" t="s"/>
      <c r="Y95" s="263" t="s"/>
    </row>
    <row r="96" spans="1:25" ht="32" customHeight="true">
      <c r="A96" s="323" t="s">
        <v>520</v>
      </c>
      <c r="B96" s="280" t="s">
        <v>2503</v>
      </c>
      <c r="C96" s="268" t="s"/>
      <c r="D96" s="268" t="s"/>
      <c r="E96" s="268" t="s"/>
      <c r="F96" s="324" t="e">
        <f>=SUM(F97:F121)-F99-F104</f>
        <v>#VALUE!</v>
      </c>
      <c r="G96" s="324" t="e">
        <f>=F96</f>
        <v>#VALUE!</v>
      </c>
      <c r="H96" s="280" t="s">
        <v>2525</v>
      </c>
      <c r="I96" s="281">
        <v>100000</v>
      </c>
      <c r="J96" s="282" t="e">
        <f>=G96/I96*10000</f>
        <v>#VALUE!</v>
      </c>
      <c r="K96" s="325" t="s"/>
      <c r="L96" s="263" t="s"/>
      <c r="M96" s="263" t="s"/>
      <c r="N96" s="263" t="s"/>
      <c r="O96" s="263" t="s"/>
      <c r="P96" s="263" t="s"/>
      <c r="Q96" s="263" t="s"/>
      <c r="R96" s="263" t="s"/>
      <c r="S96" s="263" t="s"/>
      <c r="T96" s="315" t="s"/>
      <c r="U96" s="315" t="s"/>
      <c r="V96" s="315" t="s"/>
      <c r="W96" s="315" t="s"/>
      <c r="X96" s="263" t="s"/>
      <c r="Y96" s="263" t="s"/>
    </row>
    <row r="97" spans="1:25" ht="32" customHeight="true">
      <c r="A97" s="326" t="s">
        <v>522</v>
      </c>
      <c r="B97" s="327" t="s">
        <v>523</v>
      </c>
      <c r="C97" s="268" t="s"/>
      <c r="D97" s="268" t="s"/>
      <c r="E97" s="268" t="s"/>
      <c r="F97" s="296" t="e">
        <f>=#REF!F20</f>
        <v>#VALUE!</v>
      </c>
      <c r="G97" s="296" t="e">
        <f>=F97</f>
        <v>#VALUE!</v>
      </c>
      <c r="H97" s="328" t="s"/>
      <c r="I97" s="328" t="s"/>
      <c r="J97" s="325" t="s"/>
      <c r="K97" s="325" t="s"/>
      <c r="L97" s="329">
        <v>284.60115552679</v>
      </c>
      <c r="M97" s="263" t="s"/>
      <c r="N97" s="263" t="s"/>
      <c r="O97" s="263" t="s"/>
      <c r="P97" s="263" t="s"/>
      <c r="Q97" s="263" t="s"/>
      <c r="R97" s="263" t="s"/>
      <c r="S97" s="263" t="s"/>
      <c r="T97" s="263" t="s"/>
      <c r="U97" s="263" t="s"/>
      <c r="V97" s="263" t="s"/>
      <c r="W97" s="263" t="s"/>
      <c r="X97" s="263" t="s"/>
      <c r="Y97" s="263" t="s"/>
    </row>
    <row r="98" spans="1:25" ht="32" customHeight="true">
      <c r="A98" s="326" t="s">
        <v>524</v>
      </c>
      <c r="B98" s="327" t="s">
        <v>525</v>
      </c>
      <c r="C98" s="268" t="s"/>
      <c r="D98" s="268" t="s"/>
      <c r="E98" s="268" t="s"/>
      <c r="F98" s="296" t="e">
        <f>=#REF!I19*0.8</f>
        <v>#VALUE!</v>
      </c>
      <c r="G98" s="296" t="e">
        <f>=F98</f>
        <v>#VALUE!</v>
      </c>
      <c r="H98" s="270" t="s"/>
      <c r="I98" s="270" t="s"/>
      <c r="J98" s="330" t="s"/>
      <c r="K98" s="330" t="s"/>
      <c r="L98" s="263" t="s"/>
      <c r="M98" s="263" t="s"/>
      <c r="N98" s="263" t="s"/>
      <c r="O98" s="263" t="s"/>
      <c r="P98" s="263" t="s"/>
      <c r="Q98" s="263" t="s"/>
      <c r="R98" s="263" t="s"/>
      <c r="S98" s="263" t="s"/>
      <c r="T98" s="263" t="s"/>
      <c r="U98" s="263" t="s"/>
      <c r="V98" s="263" t="s"/>
      <c r="W98" s="263" t="s"/>
      <c r="X98" s="263" t="s"/>
      <c r="Y98" s="263" t="s"/>
    </row>
    <row r="99" spans="1:25" ht="32" customHeight="true">
      <c r="A99" s="326" t="s">
        <v>526</v>
      </c>
      <c r="B99" s="327" t="s">
        <v>527</v>
      </c>
      <c r="C99" s="268" t="s"/>
      <c r="D99" s="268" t="s"/>
      <c r="E99" s="268" t="s"/>
      <c r="F99" s="296" t="e">
        <f>=SUM(F100)</f>
        <v>#VALUE!</v>
      </c>
      <c r="G99" s="296" t="e">
        <f>=F99</f>
        <v>#VALUE!</v>
      </c>
      <c r="H99" s="328" t="s"/>
      <c r="I99" s="328" t="s"/>
      <c r="J99" s="325" t="s"/>
      <c r="K99" s="325" t="s"/>
      <c r="L99" s="263" t="s"/>
      <c r="M99" s="263" t="s"/>
      <c r="N99" s="263" t="s"/>
      <c r="O99" s="263" t="s"/>
      <c r="P99" s="263" t="s"/>
      <c r="Q99" s="263" t="s"/>
      <c r="R99" s="263" t="s"/>
      <c r="S99" s="263" t="s"/>
      <c r="T99" s="263" t="s"/>
      <c r="U99" s="263" t="s"/>
      <c r="V99" s="263" t="s"/>
      <c r="W99" s="263" t="s"/>
      <c r="X99" s="263" t="s"/>
      <c r="Y99" s="263" t="s"/>
    </row>
    <row r="100" spans="1:25" ht="32" customHeight="true">
      <c r="A100" s="326" t="s">
        <v>528</v>
      </c>
      <c r="B100" s="327" t="s">
        <v>529</v>
      </c>
      <c r="C100" s="268" t="s"/>
      <c r="D100" s="268" t="s"/>
      <c r="E100" s="268" t="s"/>
      <c r="F100" s="296" t="e">
        <f>=#REF!D21</f>
        <v>#VALUE!</v>
      </c>
      <c r="G100" s="296" t="e">
        <f>=F100</f>
        <v>#VALUE!</v>
      </c>
      <c r="H100" s="328" t="s"/>
      <c r="I100" s="328" t="s"/>
      <c r="J100" s="325" t="s"/>
      <c r="K100" s="325" t="s"/>
      <c r="L100" s="263" t="s"/>
      <c r="M100" s="263" t="s"/>
      <c r="N100" s="263" t="s"/>
      <c r="O100" s="263" t="s"/>
      <c r="P100" s="263" t="s"/>
      <c r="Q100" s="263" t="s"/>
      <c r="R100" s="263" t="s"/>
      <c r="S100" s="263" t="s"/>
      <c r="T100" s="263" t="s"/>
      <c r="U100" s="263" t="s"/>
      <c r="V100" s="263" t="s"/>
      <c r="W100" s="263" t="s"/>
      <c r="X100" s="263" t="s"/>
      <c r="Y100" s="263" t="s"/>
    </row>
    <row r="101" spans="1:25" ht="32" customHeight="true">
      <c r="A101" s="326" t="s">
        <v>530</v>
      </c>
      <c r="B101" s="327" t="s">
        <v>531</v>
      </c>
      <c r="C101" s="268" t="s"/>
      <c r="D101" s="268" t="s"/>
      <c r="E101" s="268" t="s"/>
      <c r="F101" s="296" t="e">
        <f>=G4*0.008</f>
        <v>#VALUE!</v>
      </c>
      <c r="G101" s="296" t="e">
        <f>=F101</f>
        <v>#VALUE!</v>
      </c>
      <c r="H101" s="328" t="s"/>
      <c r="I101" s="328" t="s"/>
      <c r="J101" s="325" t="s"/>
      <c r="K101" s="325" t="s"/>
      <c r="L101" s="331">
        <v>581.6</v>
      </c>
      <c r="M101" s="263" t="s"/>
      <c r="N101" s="263">
        <v>304.8</v>
      </c>
      <c r="O101" s="263" t="s"/>
      <c r="P101" s="263" t="s"/>
      <c r="Q101" s="263" t="s"/>
      <c r="R101" s="263" t="s"/>
      <c r="S101" s="263" t="s"/>
      <c r="T101" s="263" t="s"/>
      <c r="U101" s="263" t="s"/>
      <c r="V101" s="263" t="s"/>
      <c r="W101" s="263" t="s"/>
      <c r="X101" s="263" t="s"/>
      <c r="Y101" s="263" t="s"/>
    </row>
    <row r="102" spans="1:25" ht="32" customHeight="true">
      <c r="A102" s="326" t="s">
        <v>532</v>
      </c>
      <c r="B102" s="327" t="s">
        <v>533</v>
      </c>
      <c r="C102" s="268" t="s"/>
      <c r="D102" s="268" t="s"/>
      <c r="E102" s="268" t="s"/>
      <c r="F102" s="296" t="e">
        <f>=#REF!I19*1.18</f>
        <v>#VALUE!</v>
      </c>
      <c r="G102" s="296" t="e">
        <f>=F102</f>
        <v>#VALUE!</v>
      </c>
      <c r="H102" s="328" t="s"/>
      <c r="I102" s="328" t="s"/>
      <c r="J102" s="325" t="s"/>
      <c r="K102" s="325" t="s"/>
      <c r="L102" s="331">
        <v>2439.5</v>
      </c>
      <c r="M102" s="263">
        <f>=L102*1.1</f>
        <v>2683.45</v>
      </c>
      <c r="N102" s="263">
        <v>566.8</v>
      </c>
      <c r="O102" s="263" t="s"/>
      <c r="P102" s="263" t="s"/>
      <c r="Q102" s="263" t="s"/>
      <c r="R102" s="263" t="s"/>
      <c r="S102" s="263" t="s"/>
      <c r="T102" s="263" t="s"/>
      <c r="U102" s="263" t="s"/>
      <c r="V102" s="263" t="s"/>
      <c r="W102" s="263" t="s"/>
      <c r="X102" s="263" t="s"/>
      <c r="Y102" s="263" t="s"/>
    </row>
    <row r="103" spans="1:25" ht="32" customHeight="true">
      <c r="A103" s="988" t="s">
        <v>534</v>
      </c>
      <c r="B103" s="327" t="s">
        <v>535</v>
      </c>
      <c r="C103" s="268" t="s"/>
      <c r="D103" s="268" t="s"/>
      <c r="E103" s="268" t="s"/>
      <c r="F103" s="296" t="e">
        <f>=(F101+F102)*0.065</f>
        <v>#VALUE!</v>
      </c>
      <c r="G103" s="296" t="e">
        <f>=F103</f>
        <v>#VALUE!</v>
      </c>
      <c r="H103" s="270" t="s"/>
      <c r="I103" s="270" t="s"/>
      <c r="J103" s="330" t="s"/>
      <c r="K103" s="330" t="s"/>
      <c r="L103" s="263">
        <f>=(L101+L102)*6.5/100</f>
        <v>196.3715</v>
      </c>
      <c r="M103" s="263" t="s"/>
      <c r="N103" s="263" t="e">
        <f>=(F101+357.11)*6.5/100</f>
        <v>#VALUE!</v>
      </c>
      <c r="O103" s="263" t="s"/>
      <c r="P103" s="263" t="e">
        <f>=(((566.8-304.8)/(2-1)*(G4/10000-1)+304.8)*1*1.15*1)</f>
        <v>#VALUE!</v>
      </c>
      <c r="Q103" s="263" t="e">
        <f>=P103*0.8</f>
        <v>#VALUE!</v>
      </c>
      <c r="R103" s="263" t="s"/>
      <c r="S103" s="263" t="s"/>
      <c r="T103" s="263" t="s"/>
      <c r="U103" s="263" t="s"/>
      <c r="V103" s="263" t="s"/>
      <c r="W103" s="263" t="s"/>
      <c r="X103" s="263" t="s"/>
      <c r="Y103" s="263" t="s"/>
    </row>
    <row r="104" spans="1:25" ht="32" customHeight="true">
      <c r="A104" s="988" t="s">
        <v>536</v>
      </c>
      <c r="B104" s="989" t="s">
        <v>537</v>
      </c>
      <c r="C104" s="990" t="s"/>
      <c r="D104" s="990" t="s"/>
      <c r="E104" s="990" t="s"/>
      <c r="F104" s="982">
        <f>=SUM(F105:F107)</f>
        <v>80.62</v>
      </c>
      <c r="G104" s="982">
        <f>=F104</f>
        <v>80.62</v>
      </c>
      <c r="H104" s="991" t="s"/>
      <c r="I104" s="991" t="s"/>
      <c r="J104" s="330" t="s"/>
      <c r="K104" s="992" t="s">
        <v>2504</v>
      </c>
      <c r="L104" s="263" t="s"/>
      <c r="M104" s="263" t="s"/>
      <c r="N104" s="263" t="s"/>
      <c r="O104" s="263" t="s"/>
      <c r="P104" s="263" t="e">
        <f>=P103*0.1</f>
        <v>#VALUE!</v>
      </c>
      <c r="Q104" s="263" t="e">
        <f>=P103+Q103</f>
        <v>#VALUE!</v>
      </c>
      <c r="R104" s="263" t="s"/>
      <c r="S104" s="263" t="s"/>
      <c r="T104" s="263" t="s"/>
      <c r="U104" s="263" t="s"/>
      <c r="V104" s="263" t="s"/>
      <c r="W104" s="263" t="s"/>
      <c r="X104" s="263" t="s"/>
      <c r="Y104" s="263" t="s"/>
    </row>
    <row r="105" spans="1:25" ht="32" customHeight="true">
      <c r="A105" s="988" t="s">
        <v>2090</v>
      </c>
      <c r="B105" s="989" t="s">
        <v>2505</v>
      </c>
      <c r="C105" s="990" t="s"/>
      <c r="D105" s="990" t="s"/>
      <c r="E105" s="990" t="s"/>
      <c r="F105" s="982">
        <v>30.12</v>
      </c>
      <c r="G105" s="982">
        <f>=F105</f>
        <v>30.12</v>
      </c>
      <c r="H105" s="991" t="s"/>
      <c r="I105" s="991" t="s"/>
      <c r="J105" s="330" t="s"/>
      <c r="K105" s="330" t="s"/>
      <c r="L105" s="263" t="s"/>
      <c r="M105" s="263" t="s"/>
      <c r="N105" s="263" t="s"/>
      <c r="O105" s="263" t="s"/>
      <c r="P105" s="263" t="s"/>
      <c r="Q105" s="263" t="s"/>
      <c r="R105" s="263" t="s"/>
      <c r="S105" s="263" t="s"/>
      <c r="T105" s="263" t="s"/>
      <c r="U105" s="263" t="s"/>
      <c r="V105" s="263" t="s"/>
      <c r="W105" s="263" t="s"/>
      <c r="X105" s="263" t="s"/>
      <c r="Y105" s="263" t="s"/>
    </row>
    <row r="106" spans="1:25" ht="32" customHeight="true">
      <c r="A106" s="988" t="s">
        <v>2091</v>
      </c>
      <c r="B106" s="989" t="s">
        <v>2506</v>
      </c>
      <c r="C106" s="990" t="s"/>
      <c r="D106" s="990" t="s"/>
      <c r="E106" s="990" t="s"/>
      <c r="F106" s="982">
        <v>32.5</v>
      </c>
      <c r="G106" s="982">
        <f>=F106</f>
        <v>32.5</v>
      </c>
      <c r="H106" s="991" t="s"/>
      <c r="I106" s="991" t="s"/>
      <c r="J106" s="330" t="s"/>
      <c r="K106" s="330" t="s"/>
      <c r="L106" s="263" t="s"/>
      <c r="M106" s="263" t="s"/>
      <c r="N106" s="263" t="s"/>
      <c r="O106" s="263" t="s"/>
      <c r="P106" s="263" t="s"/>
      <c r="Q106" s="263" t="s"/>
      <c r="R106" s="263" t="s"/>
      <c r="S106" s="263" t="s"/>
      <c r="T106" s="263" t="s"/>
      <c r="U106" s="263" t="s"/>
      <c r="V106" s="263" t="s"/>
      <c r="W106" s="263" t="s"/>
      <c r="X106" s="263" t="s"/>
      <c r="Y106" s="263" t="s"/>
    </row>
    <row r="107" spans="1:25" ht="32" customHeight="true">
      <c r="A107" s="988" t="s">
        <v>2507</v>
      </c>
      <c r="B107" s="989" t="s">
        <v>2508</v>
      </c>
      <c r="C107" s="990" t="s"/>
      <c r="D107" s="990" t="s"/>
      <c r="E107" s="990" t="s"/>
      <c r="F107" s="982">
        <v>18</v>
      </c>
      <c r="G107" s="982">
        <f>=F107</f>
        <v>18</v>
      </c>
      <c r="H107" s="991" t="s"/>
      <c r="I107" s="991" t="s"/>
      <c r="J107" s="330" t="s"/>
      <c r="K107" s="330" t="s"/>
      <c r="L107" s="263" t="s"/>
      <c r="M107" s="263" t="s"/>
      <c r="N107" s="263" t="s"/>
      <c r="O107" s="263" t="s"/>
      <c r="P107" s="263" t="s"/>
      <c r="Q107" s="263" t="s"/>
      <c r="R107" s="263" t="s"/>
      <c r="S107" s="263" t="s"/>
      <c r="T107" s="263" t="s"/>
      <c r="U107" s="263" t="s"/>
      <c r="V107" s="263" t="s"/>
      <c r="W107" s="263" t="s"/>
      <c r="X107" s="263" t="s"/>
      <c r="Y107" s="263" t="s"/>
    </row>
    <row r="108" spans="1:25" ht="32" customHeight="true">
      <c r="A108" s="988" t="s">
        <v>538</v>
      </c>
      <c r="B108" s="989" t="s">
        <v>539</v>
      </c>
      <c r="C108" s="990" t="s"/>
      <c r="D108" s="990" t="s"/>
      <c r="E108" s="990" t="s"/>
      <c r="F108" s="982" t="e">
        <f>=0.5%*G4</f>
        <v>#VALUE!</v>
      </c>
      <c r="G108" s="982" t="e">
        <f>=F108</f>
        <v>#VALUE!</v>
      </c>
      <c r="H108" s="991" t="s"/>
      <c r="I108" s="991" t="s"/>
      <c r="J108" s="330" t="s"/>
      <c r="K108" s="330" t="s"/>
      <c r="L108" s="263" t="s"/>
      <c r="M108" s="263" t="s"/>
      <c r="N108" s="263" t="s"/>
      <c r="O108" s="263" t="s"/>
      <c r="P108" s="263" t="e">
        <f>=P103+P104</f>
        <v>#VALUE!</v>
      </c>
      <c r="Q108" s="263" t="e">
        <f>=Q104*6.5/100</f>
        <v>#VALUE!</v>
      </c>
      <c r="R108" s="263" t="s"/>
      <c r="S108" s="263" t="s"/>
      <c r="T108" s="263" t="s"/>
      <c r="U108" s="263" t="s"/>
      <c r="V108" s="263" t="s"/>
      <c r="W108" s="263" t="s"/>
      <c r="X108" s="263" t="s"/>
      <c r="Y108" s="263" t="s"/>
    </row>
    <row r="109" spans="1:25" ht="32" customHeight="true">
      <c r="A109" s="988" t="s">
        <v>540</v>
      </c>
      <c r="B109" s="989" t="s">
        <v>541</v>
      </c>
      <c r="C109" s="990" t="s"/>
      <c r="D109" s="990" t="s"/>
      <c r="E109" s="990" t="s"/>
      <c r="F109" s="982" t="e">
        <f>=0.3%*G4</f>
        <v>#VALUE!</v>
      </c>
      <c r="G109" s="982" t="e">
        <f>=F109</f>
        <v>#VALUE!</v>
      </c>
      <c r="H109" s="991" t="s"/>
      <c r="I109" s="991" t="s"/>
      <c r="J109" s="330" t="s"/>
      <c r="K109" s="330" t="s"/>
      <c r="L109" s="263" t="s"/>
      <c r="M109" s="263" t="s"/>
      <c r="N109" s="263" t="s"/>
      <c r="O109" s="263" t="s"/>
      <c r="P109" s="263" t="s"/>
      <c r="Q109" s="263" t="s"/>
      <c r="R109" s="263" t="s"/>
      <c r="S109" s="263" t="s"/>
      <c r="T109" s="263" t="s"/>
      <c r="U109" s="263" t="s"/>
      <c r="V109" s="263" t="s"/>
      <c r="W109" s="263" t="s"/>
      <c r="X109" s="263" t="s"/>
      <c r="Y109" s="263" t="s"/>
    </row>
    <row r="110" spans="1:25" ht="32" customHeight="true">
      <c r="A110" s="988" t="s">
        <v>542</v>
      </c>
      <c r="B110" s="989" t="s">
        <v>545</v>
      </c>
      <c r="C110" s="990" t="s"/>
      <c r="D110" s="990" t="s"/>
      <c r="E110" s="990" t="s"/>
      <c r="F110" s="982" t="e">
        <f>=#REF!H18</f>
        <v>#VALUE!</v>
      </c>
      <c r="G110" s="982" t="e">
        <f>=F110</f>
        <v>#VALUE!</v>
      </c>
      <c r="H110" s="993" t="s"/>
      <c r="I110" s="993" t="s"/>
      <c r="J110" s="325" t="s"/>
      <c r="K110" s="325" t="s"/>
      <c r="L110" s="263" t="s"/>
      <c r="M110" s="263" t="s"/>
      <c r="N110" s="263" t="s"/>
      <c r="O110" s="263" t="s"/>
      <c r="P110" s="263" t="s"/>
      <c r="Q110" s="263" t="s"/>
      <c r="R110" s="263" t="s"/>
      <c r="S110" s="263" t="s"/>
      <c r="T110" s="263" t="s"/>
      <c r="U110" s="263" t="s"/>
      <c r="V110" s="263" t="s"/>
      <c r="W110" s="263" t="s"/>
      <c r="X110" s="263" t="s"/>
      <c r="Y110" s="263" t="s"/>
    </row>
    <row r="111" spans="1:25" ht="32" customHeight="true">
      <c r="A111" s="988" t="s">
        <v>544</v>
      </c>
      <c r="B111" s="989" t="s">
        <v>547</v>
      </c>
      <c r="C111" s="990" t="s"/>
      <c r="D111" s="990" t="s"/>
      <c r="E111" s="990" t="s"/>
      <c r="F111" s="982" t="e">
        <f>=(C4+E4)*2%</f>
        <v>#VALUE!</v>
      </c>
      <c r="G111" s="982" t="e">
        <f>=F111</f>
        <v>#VALUE!</v>
      </c>
      <c r="H111" s="991" t="s"/>
      <c r="I111" s="991" t="s"/>
      <c r="J111" s="330" t="s"/>
      <c r="K111" s="330" t="s"/>
      <c r="L111" s="263" t="s"/>
      <c r="M111" s="263" t="s"/>
      <c r="N111" s="263" t="s"/>
      <c r="O111" s="263" t="s"/>
      <c r="P111" s="263" t="s"/>
      <c r="Q111" s="263" t="s"/>
      <c r="R111" s="263" t="s"/>
      <c r="S111" s="263" t="s"/>
      <c r="T111" s="263" t="s"/>
      <c r="U111" s="263" t="s"/>
      <c r="V111" s="263" t="s"/>
      <c r="W111" s="263" t="s"/>
      <c r="X111" s="263" t="s"/>
      <c r="Y111" s="263" t="s"/>
    </row>
    <row r="112" spans="1:25" ht="32" customHeight="true">
      <c r="A112" s="988" t="s">
        <v>546</v>
      </c>
      <c r="B112" s="989" t="s">
        <v>549</v>
      </c>
      <c r="C112" s="990" t="s"/>
      <c r="D112" s="990" t="s"/>
      <c r="E112" s="990" t="s"/>
      <c r="F112" s="982">
        <v>20</v>
      </c>
      <c r="G112" s="982">
        <f>=F112</f>
        <v>20</v>
      </c>
      <c r="H112" s="991" t="s"/>
      <c r="I112" s="991" t="s"/>
      <c r="J112" s="330" t="s"/>
      <c r="K112" s="330" t="s"/>
      <c r="L112" s="263" t="s"/>
      <c r="M112" s="263" t="s"/>
      <c r="N112" s="263" t="s"/>
      <c r="O112" s="263" t="s"/>
      <c r="P112" s="263" t="s"/>
      <c r="Q112" s="263" t="s"/>
      <c r="R112" s="263" t="s"/>
      <c r="S112" s="263" t="s"/>
      <c r="T112" s="263" t="s"/>
      <c r="U112" s="263" t="s"/>
      <c r="V112" s="263" t="s"/>
      <c r="W112" s="263" t="s"/>
      <c r="X112" s="263" t="s"/>
      <c r="Y112" s="263" t="s"/>
    </row>
    <row r="113" spans="1:25" ht="32" customHeight="true">
      <c r="A113" s="988" t="s">
        <v>548</v>
      </c>
      <c r="B113" s="989" t="s">
        <v>551</v>
      </c>
      <c r="C113" s="990" t="s"/>
      <c r="D113" s="990" t="s"/>
      <c r="E113" s="990" t="s"/>
      <c r="F113" s="982" t="e">
        <f>=D4*0.01</f>
        <v>#VALUE!</v>
      </c>
      <c r="G113" s="982" t="e">
        <f>=F113</f>
        <v>#VALUE!</v>
      </c>
      <c r="H113" s="991" t="s"/>
      <c r="I113" s="991" t="s"/>
      <c r="J113" s="330" t="s"/>
      <c r="K113" s="330" t="s"/>
      <c r="L113" s="263" t="s"/>
      <c r="M113" s="263" t="s"/>
      <c r="N113" s="263" t="s"/>
      <c r="O113" s="263" t="s"/>
      <c r="P113" s="263" t="s"/>
      <c r="Q113" s="263" t="s"/>
      <c r="R113" s="263" t="s"/>
      <c r="S113" s="263" t="s"/>
      <c r="T113" s="263" t="s"/>
      <c r="U113" s="263" t="s"/>
      <c r="V113" s="263" t="s"/>
      <c r="W113" s="263" t="s"/>
      <c r="X113" s="263" t="s"/>
      <c r="Y113" s="263" t="s"/>
    </row>
    <row r="114" spans="1:25" ht="64" customHeight="true">
      <c r="A114" s="988" t="s">
        <v>550</v>
      </c>
      <c r="B114" s="989" t="s">
        <v>2509</v>
      </c>
      <c r="C114" s="990" t="s"/>
      <c r="D114" s="990" t="s"/>
      <c r="E114" s="990" t="s"/>
      <c r="F114" s="982">
        <v>604.458</v>
      </c>
      <c r="G114" s="982">
        <f>=F114</f>
        <v>604.458</v>
      </c>
      <c r="H114" s="991" t="s"/>
      <c r="I114" s="991" t="s"/>
      <c r="J114" s="330" t="s"/>
      <c r="K114" s="992" t="s">
        <v>2510</v>
      </c>
      <c r="L114" s="263" t="s"/>
      <c r="M114" s="263" t="s"/>
      <c r="N114" s="263" t="s"/>
      <c r="O114" s="263" t="s"/>
      <c r="P114" s="263" t="s"/>
      <c r="Q114" s="263" t="s"/>
      <c r="R114" s="263" t="s"/>
      <c r="S114" s="263" t="s"/>
      <c r="T114" s="263" t="s"/>
      <c r="U114" s="263" t="s"/>
      <c r="V114" s="263" t="s"/>
      <c r="W114" s="263" t="s"/>
      <c r="X114" s="263" t="s"/>
      <c r="Y114" s="263" t="s"/>
    </row>
    <row r="115" spans="1:25" ht="48" customHeight="true">
      <c r="A115" s="988" t="s">
        <v>552</v>
      </c>
      <c r="B115" s="989" t="s">
        <v>2511</v>
      </c>
      <c r="C115" s="990" t="s"/>
      <c r="D115" s="990" t="s"/>
      <c r="E115" s="990" t="s"/>
      <c r="F115" s="982">
        <v>86</v>
      </c>
      <c r="G115" s="982">
        <v>86</v>
      </c>
      <c r="H115" s="991" t="s"/>
      <c r="I115" s="991" t="s"/>
      <c r="J115" s="330" t="s"/>
      <c r="K115" s="992" t="s">
        <v>2504</v>
      </c>
      <c r="L115" s="263" t="s"/>
      <c r="M115" s="263" t="s"/>
      <c r="N115" s="263" t="s"/>
      <c r="O115" s="263" t="s"/>
      <c r="P115" s="263" t="s"/>
      <c r="Q115" s="263" t="s"/>
      <c r="R115" s="263" t="s"/>
      <c r="S115" s="263" t="s"/>
      <c r="T115" s="263" t="s"/>
      <c r="U115" s="263" t="s"/>
      <c r="V115" s="263" t="s"/>
      <c r="W115" s="263" t="s"/>
      <c r="X115" s="263" t="s"/>
      <c r="Y115" s="263" t="s"/>
    </row>
    <row r="116" spans="1:25" ht="32" customHeight="true">
      <c r="A116" s="988" t="s">
        <v>554</v>
      </c>
      <c r="B116" s="989" t="s">
        <v>2512</v>
      </c>
      <c r="C116" s="990" t="s"/>
      <c r="D116" s="990" t="s"/>
      <c r="E116" s="990" t="s"/>
      <c r="F116" s="982">
        <v>30</v>
      </c>
      <c r="G116" s="982">
        <v>30</v>
      </c>
      <c r="H116" s="991" t="s"/>
      <c r="I116" s="991" t="s"/>
      <c r="J116" s="330" t="s"/>
      <c r="K116" s="992" t="s"/>
      <c r="L116" s="263" t="s"/>
      <c r="M116" s="263" t="s"/>
      <c r="N116" s="263" t="s"/>
      <c r="O116" s="263" t="s"/>
      <c r="P116" s="263" t="s"/>
      <c r="Q116" s="263" t="s"/>
      <c r="R116" s="263" t="s"/>
      <c r="S116" s="263" t="s"/>
      <c r="T116" s="263" t="s"/>
      <c r="U116" s="263" t="s"/>
      <c r="V116" s="263" t="s"/>
      <c r="W116" s="263" t="s"/>
      <c r="X116" s="263" t="s"/>
      <c r="Y116" s="263" t="s"/>
    </row>
    <row r="117" spans="1:25" ht="32" customHeight="true">
      <c r="A117" s="988" t="s">
        <v>556</v>
      </c>
      <c r="B117" s="989" t="s">
        <v>553</v>
      </c>
      <c r="C117" s="990" t="s"/>
      <c r="D117" s="990" t="s"/>
      <c r="E117" s="990" t="s"/>
      <c r="F117" s="982">
        <f>=40*0.6*5</f>
        <v>120</v>
      </c>
      <c r="G117" s="982">
        <f>=F117</f>
        <v>120</v>
      </c>
      <c r="H117" s="991" t="s"/>
      <c r="I117" s="991" t="s"/>
      <c r="J117" s="330" t="s"/>
      <c r="K117" s="330" t="s"/>
      <c r="L117" s="263" t="s"/>
      <c r="M117" s="263" t="s"/>
      <c r="N117" s="263" t="s"/>
      <c r="O117" s="263" t="s"/>
      <c r="P117" s="263" t="s"/>
      <c r="Q117" s="263" t="s"/>
      <c r="R117" s="263" t="s"/>
      <c r="S117" s="263" t="s"/>
      <c r="T117" s="263" t="s"/>
      <c r="U117" s="263" t="s"/>
      <c r="V117" s="263" t="s"/>
      <c r="W117" s="263" t="s"/>
      <c r="X117" s="263" t="s"/>
      <c r="Y117" s="263" t="s"/>
    </row>
    <row r="118" spans="1:25" ht="32" customHeight="true">
      <c r="A118" s="988" t="s">
        <v>558</v>
      </c>
      <c r="B118" s="989" t="s">
        <v>555</v>
      </c>
      <c r="C118" s="990" t="s"/>
      <c r="D118" s="990" t="s"/>
      <c r="E118" s="990" t="s"/>
      <c r="F118" s="982">
        <f>=40*0.2</f>
        <v>8</v>
      </c>
      <c r="G118" s="982">
        <f>=F118</f>
        <v>8</v>
      </c>
      <c r="H118" s="991" t="s"/>
      <c r="I118" s="991" t="s"/>
      <c r="J118" s="330" t="s"/>
      <c r="K118" s="330" t="s"/>
      <c r="L118" s="263" t="s"/>
      <c r="M118" s="263" t="s"/>
      <c r="N118" s="263" t="s"/>
      <c r="O118" s="263" t="s"/>
      <c r="P118" s="263" t="s"/>
      <c r="Q118" s="263" t="s"/>
      <c r="R118" s="263" t="s"/>
      <c r="S118" s="263" t="s"/>
      <c r="T118" s="263" t="s"/>
      <c r="U118" s="263" t="s"/>
      <c r="V118" s="263" t="s"/>
      <c r="W118" s="263" t="s"/>
      <c r="X118" s="263" t="s"/>
      <c r="Y118" s="263" t="s"/>
    </row>
    <row r="119" spans="1:25" ht="32" customHeight="true">
      <c r="A119" s="988" t="s">
        <v>561</v>
      </c>
      <c r="B119" s="327" t="s">
        <v>557</v>
      </c>
      <c r="C119" s="268" t="s"/>
      <c r="D119" s="268" t="s"/>
      <c r="E119" s="268" t="s"/>
      <c r="F119" s="296">
        <v>6</v>
      </c>
      <c r="G119" s="296">
        <f>=F119</f>
        <v>6</v>
      </c>
      <c r="H119" s="270" t="s"/>
      <c r="I119" s="270" t="s"/>
      <c r="J119" s="330" t="s"/>
      <c r="K119" s="330" t="s"/>
      <c r="L119" s="263" t="s"/>
      <c r="M119" s="263" t="s"/>
      <c r="N119" s="263" t="s"/>
      <c r="O119" s="263" t="s"/>
      <c r="P119" s="263" t="s"/>
      <c r="Q119" s="263" t="s"/>
      <c r="R119" s="263" t="s"/>
      <c r="S119" s="263" t="s"/>
      <c r="T119" s="263" t="s"/>
      <c r="U119" s="263" t="s"/>
      <c r="V119" s="263" t="s"/>
      <c r="W119" s="263" t="s"/>
      <c r="X119" s="263" t="s"/>
      <c r="Y119" s="263" t="s"/>
    </row>
    <row r="120" spans="1:25" ht="32" customHeight="true">
      <c r="A120" s="988" t="s">
        <v>2513</v>
      </c>
      <c r="B120" s="327" t="s">
        <v>559</v>
      </c>
      <c r="C120" s="268" t="s"/>
      <c r="D120" s="268" t="s"/>
      <c r="E120" s="268" t="s"/>
      <c r="F120" s="296">
        <f>=I120*J120/10000</f>
        <v>42</v>
      </c>
      <c r="G120" s="296">
        <f>=F120</f>
        <v>42</v>
      </c>
      <c r="H120" s="270" t="s">
        <v>560</v>
      </c>
      <c r="I120" s="270">
        <v>2500</v>
      </c>
      <c r="J120" s="330">
        <v>168</v>
      </c>
      <c r="K120" s="330" t="s"/>
      <c r="L120" s="263" t="s"/>
      <c r="M120" s="263" t="s"/>
      <c r="N120" s="263" t="s"/>
      <c r="O120" s="263" t="s"/>
      <c r="P120" s="263" t="s"/>
      <c r="Q120" s="263" t="s"/>
      <c r="R120" s="263" t="s"/>
      <c r="S120" s="263" t="s"/>
      <c r="T120" s="263" t="s"/>
      <c r="U120" s="263" t="s"/>
      <c r="V120" s="263" t="s"/>
      <c r="W120" s="263" t="s"/>
      <c r="X120" s="263" t="s"/>
      <c r="Y120" s="263" t="s"/>
    </row>
    <row r="121" spans="1:25" ht="32" customHeight="true">
      <c r="A121" s="988" t="s">
        <v>2514</v>
      </c>
      <c r="B121" s="327" t="s">
        <v>562</v>
      </c>
      <c r="C121" s="268" t="s"/>
      <c r="D121" s="268" t="s"/>
      <c r="E121" s="268" t="s"/>
      <c r="F121" s="296">
        <v>12</v>
      </c>
      <c r="G121" s="296">
        <f>=F121</f>
        <v>12</v>
      </c>
      <c r="H121" s="270" t="s"/>
      <c r="I121" s="270" t="s"/>
      <c r="J121" s="330" t="s"/>
      <c r="K121" s="330" t="s"/>
      <c r="L121" s="263" t="s"/>
      <c r="M121" s="263" t="s"/>
      <c r="N121" s="263" t="s"/>
      <c r="O121" s="263" t="s"/>
      <c r="P121" s="263" t="s"/>
      <c r="Q121" s="263" t="s"/>
      <c r="R121" s="263" t="s"/>
      <c r="S121" s="263" t="s"/>
      <c r="T121" s="263" t="s"/>
      <c r="U121" s="263" t="s"/>
      <c r="V121" s="263" t="s"/>
      <c r="W121" s="263" t="s"/>
      <c r="X121" s="263" t="s"/>
      <c r="Y121" s="263" t="s"/>
    </row>
    <row r="122" spans="1:25" ht="32" customHeight="true">
      <c r="A122" s="323" t="s"/>
      <c r="B122" s="332" t="s">
        <v>563</v>
      </c>
      <c r="C122" s="279">
        <f>=C96+C4</f>
        <v>41031.04496715</v>
      </c>
      <c r="D122" s="279" t="e">
        <f>=D96+D4</f>
        <v>#VALUE!</v>
      </c>
      <c r="E122" s="279" t="e">
        <f>=E96+E4</f>
        <v>#VALUE!</v>
      </c>
      <c r="F122" s="279" t="e">
        <f>=F96+F4</f>
        <v>#VALUE!</v>
      </c>
      <c r="G122" s="279" t="e">
        <f>=SUM(C122:F122)</f>
        <v>#VALUE!</v>
      </c>
      <c r="H122" s="328" t="s"/>
      <c r="I122" s="328" t="s"/>
      <c r="J122" s="325" t="s"/>
      <c r="K122" s="325" t="s"/>
      <c r="L122" s="263" t="s"/>
      <c r="M122" s="263" t="s"/>
      <c r="N122" s="263" t="s"/>
      <c r="O122" s="263" t="s"/>
      <c r="P122" s="263" t="s"/>
      <c r="Q122" s="263" t="s"/>
      <c r="R122" s="263" t="s"/>
      <c r="S122" s="263" t="s"/>
      <c r="T122" s="263" t="s"/>
      <c r="U122" s="263" t="s"/>
      <c r="V122" s="263" t="s"/>
      <c r="W122" s="263" t="s"/>
      <c r="X122" s="263" t="s"/>
      <c r="Y122" s="263" t="s"/>
    </row>
    <row r="123" spans="1:25" ht="32" customHeight="true">
      <c r="A123" s="326" t="s"/>
      <c r="B123" s="327" t="s"/>
      <c r="C123" s="268" t="s"/>
      <c r="D123" s="268" t="s"/>
      <c r="E123" s="268" t="s"/>
      <c r="F123" s="296" t="s"/>
      <c r="G123" s="296" t="s"/>
      <c r="H123" s="270" t="s"/>
      <c r="I123" s="270" t="s"/>
      <c r="J123" s="330" t="s"/>
      <c r="K123" s="330" t="s"/>
      <c r="L123" s="263" t="s"/>
      <c r="M123" s="263" t="s"/>
      <c r="N123" s="263" t="s"/>
      <c r="O123" s="263" t="s"/>
      <c r="P123" s="263" t="s"/>
      <c r="Q123" s="263" t="s"/>
      <c r="R123" s="263" t="s"/>
      <c r="S123" s="263" t="s"/>
      <c r="T123" s="263" t="s"/>
      <c r="U123" s="263" t="s"/>
      <c r="V123" s="263" t="s"/>
      <c r="W123" s="263" t="s"/>
      <c r="X123" s="263" t="s"/>
      <c r="Y123" s="263" t="s"/>
    </row>
    <row r="124" spans="1:25" ht="32" customHeight="true">
      <c r="A124" s="323" t="s">
        <v>564</v>
      </c>
      <c r="B124" s="280" t="s">
        <v>565</v>
      </c>
      <c r="C124" s="268" t="s"/>
      <c r="D124" s="268" t="s"/>
      <c r="E124" s="268" t="s"/>
      <c r="F124" s="328" t="s"/>
      <c r="G124" s="328" t="e">
        <f>=G125</f>
        <v>#VALUE!</v>
      </c>
      <c r="H124" s="280" t="s">
        <v>2525</v>
      </c>
      <c r="I124" s="281">
        <v>100000</v>
      </c>
      <c r="J124" s="282" t="e">
        <f>=G124/I124*10000</f>
        <v>#VALUE!</v>
      </c>
      <c r="K124" s="325" t="s"/>
      <c r="L124" s="263" t="s"/>
      <c r="M124" s="263" t="s"/>
      <c r="N124" s="263" t="s"/>
      <c r="O124" s="263" t="s"/>
      <c r="P124" s="263" t="s"/>
      <c r="Q124" s="263" t="s"/>
      <c r="R124" s="263" t="s"/>
      <c r="S124" s="263" t="s"/>
      <c r="T124" s="263" t="s"/>
      <c r="U124" s="263" t="s"/>
      <c r="V124" s="263" t="s"/>
      <c r="W124" s="263" t="s"/>
      <c r="X124" s="263" t="s"/>
      <c r="Y124" s="263" t="s"/>
    </row>
    <row r="125" spans="1:25" ht="32" customHeight="true">
      <c r="A125" s="326" t="s">
        <v>522</v>
      </c>
      <c r="B125" s="327" t="s">
        <v>2535</v>
      </c>
      <c r="C125" s="268" t="s"/>
      <c r="D125" s="268" t="s"/>
      <c r="E125" s="268" t="s"/>
      <c r="F125" s="270" t="s"/>
      <c r="G125" s="270" t="e">
        <f>=(G4+G96)*0.05</f>
        <v>#VALUE!</v>
      </c>
      <c r="H125" s="270" t="s"/>
      <c r="I125" s="270" t="s"/>
      <c r="J125" s="330" t="s"/>
      <c r="K125" s="330" t="s"/>
      <c r="L125" s="275" t="e">
        <f>=G122-#REF!</f>
        <v>#REF!</v>
      </c>
      <c r="M125" s="263" t="s"/>
      <c r="N125" s="263" t="s"/>
      <c r="O125" s="263" t="s"/>
      <c r="P125" s="263" t="s"/>
      <c r="Q125" s="263" t="s"/>
      <c r="R125" s="263" t="s"/>
      <c r="S125" s="263" t="s"/>
      <c r="T125" s="263" t="s"/>
      <c r="U125" s="263" t="s"/>
      <c r="V125" s="263" t="s"/>
      <c r="W125" s="263" t="s"/>
      <c r="X125" s="263" t="s"/>
      <c r="Y125" s="263" t="s"/>
    </row>
    <row r="126" spans="1:25" ht="32" customHeight="true">
      <c r="A126" s="326" t="s"/>
      <c r="B126" s="327" t="s"/>
      <c r="C126" s="268" t="s"/>
      <c r="D126" s="268" t="s"/>
      <c r="E126" s="268" t="s"/>
      <c r="F126" s="270" t="s"/>
      <c r="G126" s="270" t="s"/>
      <c r="H126" s="270" t="s"/>
      <c r="I126" s="270" t="s"/>
      <c r="J126" s="330" t="s"/>
      <c r="K126" s="330" t="s"/>
      <c r="L126" s="275" t="s"/>
      <c r="M126" s="263" t="s"/>
      <c r="N126" s="263" t="s"/>
      <c r="O126" s="263" t="s"/>
      <c r="P126" s="263" t="s"/>
      <c r="Q126" s="263" t="s"/>
      <c r="R126" s="263" t="s"/>
      <c r="S126" s="263" t="s"/>
      <c r="T126" s="263" t="s"/>
      <c r="U126" s="263" t="s"/>
      <c r="V126" s="263" t="s"/>
      <c r="W126" s="263" t="s"/>
      <c r="X126" s="263" t="s"/>
      <c r="Y126" s="263" t="s"/>
    </row>
    <row r="127" spans="1:25" ht="32" customHeight="true">
      <c r="A127" s="323" t="s">
        <v>566</v>
      </c>
      <c r="B127" s="280" t="s">
        <v>567</v>
      </c>
      <c r="C127" s="268" t="s"/>
      <c r="D127" s="268" t="s"/>
      <c r="E127" s="268" t="s"/>
      <c r="F127" s="328" t="s"/>
      <c r="G127" s="993" t="e">
        <f>=G122+G125</f>
        <v>#VALUE!</v>
      </c>
      <c r="H127" s="280" t="s">
        <v>2525</v>
      </c>
      <c r="I127" s="281">
        <v>100000</v>
      </c>
      <c r="J127" s="282" t="e">
        <f>=G127/I127*10000</f>
        <v>#VALUE!</v>
      </c>
      <c r="K127" s="325" t="s"/>
      <c r="L127" s="334" t="s"/>
      <c r="M127" s="275" t="e">
        <f>=P4-G127</f>
        <v>#VALUE!</v>
      </c>
      <c r="N127" s="263" t="s"/>
      <c r="O127" s="263" t="s"/>
      <c r="P127" s="263" t="s"/>
      <c r="Q127" s="263" t="s"/>
      <c r="R127" s="263" t="s"/>
      <c r="S127" s="263" t="s"/>
      <c r="T127" s="263" t="s"/>
      <c r="U127" s="263" t="s"/>
      <c r="V127" s="263">
        <f>=686.38*0.9453</f>
        <v>648.835014</v>
      </c>
      <c r="W127" s="263" t="s"/>
      <c r="X127" s="263" t="s"/>
      <c r="Y127" s="263" t="s"/>
    </row>
    <row r="128" spans="1:25" ht="32" customHeight="true">
      <c r="A128" s="323" t="s"/>
      <c r="B128" s="280" t="s"/>
      <c r="C128" s="268" t="s"/>
      <c r="D128" s="268" t="s"/>
      <c r="E128" s="268" t="s"/>
      <c r="F128" s="328" t="s"/>
      <c r="G128" s="993" t="s"/>
      <c r="H128" s="328" t="s"/>
      <c r="I128" s="328" t="s"/>
      <c r="J128" s="325" t="s"/>
      <c r="K128" s="325" t="s"/>
      <c r="L128" s="263" t="s"/>
      <c r="M128" s="263" t="s"/>
      <c r="N128" s="276" t="e">
        <f>=G127*0.8</f>
        <v>#VALUE!</v>
      </c>
      <c r="O128" s="263" t="s"/>
      <c r="P128" s="263" t="s"/>
      <c r="Q128" s="263" t="s"/>
      <c r="R128" s="263" t="s"/>
      <c r="S128" s="263" t="s"/>
      <c r="T128" s="263" t="s"/>
      <c r="U128" s="263" t="s"/>
      <c r="V128" s="263" t="s"/>
      <c r="W128" s="263" t="s"/>
      <c r="X128" s="263" t="s"/>
      <c r="Y128" s="263" t="s"/>
    </row>
    <row r="129" spans="1:25" ht="32" customHeight="true">
      <c r="A129" s="323" t="s">
        <v>568</v>
      </c>
      <c r="B129" s="280" t="s">
        <v>569</v>
      </c>
      <c r="C129" s="268" t="s"/>
      <c r="D129" s="268" t="s"/>
      <c r="E129" s="268" t="s"/>
      <c r="F129" s="328" t="s"/>
      <c r="G129" s="993" t="e">
        <f>=O131</f>
        <v>#VALUE!</v>
      </c>
      <c r="H129" s="280" t="s">
        <v>2525</v>
      </c>
      <c r="I129" s="281">
        <v>100000</v>
      </c>
      <c r="J129" s="282" t="e">
        <f>=G129/I129*10000</f>
        <v>#VALUE!</v>
      </c>
      <c r="K129" s="325" t="s"/>
      <c r="L129" s="263" t="s"/>
      <c r="M129" s="263" t="s"/>
      <c r="N129" s="276" t="e">
        <f>=N128*0.5</f>
        <v>#VALUE!</v>
      </c>
      <c r="O129" s="275" t="e">
        <f>=N129*0.049/2</f>
        <v>#VALUE!</v>
      </c>
      <c r="P129" s="263" t="s"/>
      <c r="Q129" s="263" t="s"/>
      <c r="R129" s="263" t="s"/>
      <c r="S129" s="263" t="s"/>
      <c r="T129" s="263" t="s"/>
      <c r="U129" s="263" t="s"/>
      <c r="V129" s="263" t="s"/>
      <c r="W129" s="263" t="s"/>
      <c r="X129" s="263" t="s"/>
      <c r="Y129" s="263" t="s"/>
    </row>
    <row r="130" spans="1:25" ht="32" customHeight="true">
      <c r="A130" s="323" t="s"/>
      <c r="B130" s="280" t="s"/>
      <c r="C130" s="268" t="s"/>
      <c r="D130" s="268" t="s"/>
      <c r="E130" s="268" t="s"/>
      <c r="F130" s="328" t="s"/>
      <c r="G130" s="993" t="s"/>
      <c r="H130" s="328" t="s"/>
      <c r="I130" s="328" t="s"/>
      <c r="J130" s="325" t="s"/>
      <c r="K130" s="325" t="s"/>
      <c r="L130" s="263" t="s"/>
      <c r="M130" s="263" t="s"/>
      <c r="N130" s="276" t="e">
        <f>=N128*0.5</f>
        <v>#VALUE!</v>
      </c>
      <c r="O130" s="275" t="e">
        <f>=N130*0.049/2+N129*0.049</f>
        <v>#VALUE!</v>
      </c>
      <c r="P130" s="263" t="s"/>
      <c r="Q130" s="263" t="s"/>
      <c r="R130" s="263" t="s"/>
      <c r="S130" s="263" t="s"/>
      <c r="T130" s="263" t="s"/>
      <c r="U130" s="263" t="s"/>
      <c r="V130" s="263" t="s"/>
      <c r="W130" s="263" t="s"/>
      <c r="X130" s="263" t="s"/>
      <c r="Y130" s="263" t="s"/>
    </row>
    <row r="131" spans="1:25" ht="32" customHeight="true">
      <c r="A131" s="323" t="s">
        <v>570</v>
      </c>
      <c r="B131" s="280" t="s">
        <v>571</v>
      </c>
      <c r="C131" s="268" t="s"/>
      <c r="D131" s="268" t="s"/>
      <c r="E131" s="268" t="s"/>
      <c r="F131" s="328" t="s"/>
      <c r="G131" s="993">
        <v>335.92</v>
      </c>
      <c r="H131" s="280" t="s">
        <v>2525</v>
      </c>
      <c r="I131" s="281">
        <v>100000</v>
      </c>
      <c r="J131" s="282">
        <f>=G131/I131*10000</f>
        <v>33.592</v>
      </c>
      <c r="K131" s="325" t="s"/>
      <c r="L131" s="263" t="s"/>
      <c r="M131" s="263" t="s"/>
      <c r="N131" s="263" t="s"/>
      <c r="O131" s="275" t="e">
        <f>=SUM(O129:O130)</f>
        <v>#VALUE!</v>
      </c>
      <c r="P131" s="263" t="s"/>
      <c r="Q131" s="263" t="s"/>
      <c r="R131" s="263" t="s"/>
      <c r="S131" s="263" t="s"/>
      <c r="T131" s="263" t="s"/>
      <c r="U131" s="263" t="s"/>
      <c r="V131" s="263" t="s"/>
      <c r="W131" s="263" t="s"/>
      <c r="X131" s="263" t="s"/>
      <c r="Y131" s="263" t="s"/>
    </row>
    <row r="132" spans="1:25" ht="32" customHeight="true">
      <c r="A132" s="323" t="s"/>
      <c r="B132" s="280" t="s"/>
      <c r="C132" s="268" t="s"/>
      <c r="D132" s="268" t="s"/>
      <c r="E132" s="268" t="s"/>
      <c r="F132" s="328" t="s"/>
      <c r="G132" s="993" t="s"/>
      <c r="H132" s="328" t="s"/>
      <c r="I132" s="328" t="s"/>
      <c r="J132" s="325" t="s"/>
      <c r="K132" s="325" t="s"/>
      <c r="L132" s="263" t="s"/>
      <c r="M132" s="263" t="s"/>
      <c r="N132" s="263" t="s"/>
      <c r="O132" s="263" t="s"/>
      <c r="P132" s="263" t="s"/>
      <c r="Q132" s="263" t="s"/>
      <c r="R132" s="263" t="s"/>
      <c r="S132" s="263" t="s"/>
      <c r="T132" s="263" t="s"/>
      <c r="U132" s="263" t="s"/>
      <c r="V132" s="263" t="s"/>
      <c r="W132" s="263" t="s"/>
      <c r="X132" s="263" t="s"/>
      <c r="Y132" s="263" t="s"/>
    </row>
    <row r="133" spans="1:25" ht="32" customHeight="true">
      <c r="A133" s="323" t="s">
        <v>572</v>
      </c>
      <c r="B133" s="280" t="s">
        <v>573</v>
      </c>
      <c r="C133" s="268" t="s"/>
      <c r="D133" s="268" t="s"/>
      <c r="E133" s="268" t="s"/>
      <c r="F133" s="328" t="s"/>
      <c r="G133" s="993" t="e">
        <f>=G127+G129+G131</f>
        <v>#VALUE!</v>
      </c>
      <c r="H133" s="280" t="s">
        <v>2525</v>
      </c>
      <c r="I133" s="281">
        <v>100000</v>
      </c>
      <c r="J133" s="282" t="e">
        <f>=G133/I133*10000</f>
        <v>#VALUE!</v>
      </c>
      <c r="K133" s="325" t="s"/>
      <c r="L133" s="263" t="s"/>
      <c r="M133" s="263" t="s"/>
      <c r="N133" s="263" t="s"/>
      <c r="O133" s="263" t="s"/>
      <c r="P133" s="263" t="s"/>
      <c r="Q133" s="263" t="s"/>
      <c r="R133" s="263" t="s"/>
      <c r="S133" s="263" t="s"/>
      <c r="T133" s="263" t="s"/>
      <c r="U133" s="263" t="s"/>
      <c r="V133" s="263" t="s"/>
      <c r="W133" s="263" t="s"/>
      <c r="X133" s="263" t="s"/>
      <c r="Y133" s="263" t="s"/>
    </row>
    <row r="134" spans="1:25" ht="32" customHeight="true">
      <c r="A134" s="335" t="s"/>
      <c r="B134" s="336" t="s"/>
      <c r="C134" s="263" t="s"/>
      <c r="D134" s="263" t="s"/>
      <c r="E134" s="263" t="s"/>
      <c r="F134" s="337" t="s"/>
      <c r="G134" s="337" t="s"/>
      <c r="H134" s="337" t="s"/>
      <c r="I134" s="337" t="s"/>
      <c r="J134" s="338" t="s"/>
      <c r="K134" s="338" t="s"/>
      <c r="L134" s="263" t="s"/>
      <c r="M134" s="263" t="s"/>
      <c r="N134" s="263" t="s"/>
      <c r="O134" s="263" t="s"/>
      <c r="P134" s="263" t="s"/>
      <c r="Q134" s="263" t="s"/>
      <c r="R134" s="263" t="s"/>
      <c r="S134" s="263" t="s"/>
      <c r="T134" s="263" t="s"/>
      <c r="U134" s="263" t="s"/>
      <c r="V134" s="263" t="s"/>
      <c r="W134" s="263" t="s"/>
      <c r="X134" s="263" t="s"/>
      <c r="Y134" s="263" t="s"/>
    </row>
    <row r="135" spans="1:25" ht="32" customHeight="true">
      <c r="A135" s="335" t="s"/>
      <c r="B135" s="336" t="s"/>
      <c r="C135" s="263" t="s"/>
      <c r="D135" s="263" t="s"/>
      <c r="E135" s="263" t="s"/>
      <c r="F135" s="337" t="s"/>
      <c r="G135" s="337" t="s"/>
      <c r="H135" s="337" t="s"/>
      <c r="I135" s="337" t="s"/>
      <c r="J135" s="338" t="s"/>
      <c r="K135" s="338" t="s"/>
      <c r="L135" s="263" t="s"/>
      <c r="M135" s="263" t="s"/>
      <c r="N135" s="263" t="s"/>
      <c r="O135" s="263" t="s"/>
      <c r="P135" s="263" t="s"/>
      <c r="Q135" s="263" t="s"/>
      <c r="R135" s="263" t="s"/>
      <c r="S135" s="263" t="s"/>
      <c r="T135" s="263" t="s"/>
      <c r="U135" s="263" t="s"/>
      <c r="V135" s="263" t="s"/>
      <c r="W135" s="263" t="s"/>
      <c r="X135" s="263" t="s"/>
      <c r="Y135" s="263" t="s"/>
    </row>
    <row r="136" spans="1:25" customHeight="false">
      <c r="A136" s="263" t="s"/>
      <c r="B136" s="339" t="s"/>
      <c r="C136" s="263" t="s"/>
      <c r="D136" s="263" t="s"/>
      <c r="E136" s="263" t="s"/>
      <c r="F136" s="263" t="s"/>
      <c r="G136" s="263" t="s"/>
      <c r="H136" s="263" t="s"/>
      <c r="I136" s="263" t="s"/>
      <c r="J136" s="340" t="s"/>
      <c r="K136" s="340" t="s"/>
      <c r="L136" s="341" t="s"/>
      <c r="M136" s="263" t="s"/>
      <c r="N136" s="263" t="s"/>
      <c r="O136" s="263" t="s"/>
      <c r="P136" s="263" t="s"/>
      <c r="Q136" s="263" t="s"/>
      <c r="R136" s="263" t="s"/>
      <c r="S136" s="263" t="s"/>
      <c r="T136" s="263" t="s"/>
      <c r="U136" s="263" t="s"/>
      <c r="V136" s="263">
        <f>=686.38*0.973</f>
        <v>667.84774</v>
      </c>
      <c r="W136" s="263" t="s"/>
      <c r="X136" s="263" t="s"/>
      <c r="Y136" s="263" t="s"/>
    </row>
    <row r="137" spans="1:25" customHeight="false">
      <c r="A137" s="263" t="s"/>
      <c r="B137" s="339" t="s"/>
      <c r="C137" s="263" t="s"/>
      <c r="D137" s="263" t="s"/>
      <c r="E137" s="263" t="s"/>
      <c r="F137" s="263" t="s"/>
      <c r="G137" s="342">
        <v>85493.2507817031</v>
      </c>
      <c r="H137" s="263" t="s"/>
      <c r="I137" s="263" t="s"/>
      <c r="J137" s="340" t="s"/>
      <c r="K137" s="340" t="s"/>
      <c r="L137" s="263" t="s"/>
      <c r="M137" s="263" t="s"/>
      <c r="N137" s="263" t="s"/>
      <c r="O137" s="263" t="s"/>
      <c r="P137" s="263" t="s"/>
      <c r="Q137" s="263" t="s"/>
      <c r="R137" s="263" t="s"/>
      <c r="S137" s="263" t="s"/>
      <c r="T137" s="263" t="s"/>
      <c r="U137" s="263" t="s"/>
      <c r="V137" s="263">
        <f>=686.38*0.9668</f>
        <v>663.592184</v>
      </c>
      <c r="W137" s="263" t="s"/>
      <c r="X137" s="263" t="s"/>
      <c r="Y137" s="263" t="s"/>
    </row>
    <row r="138" spans="1:25" customHeight="false">
      <c r="A138" s="263" t="s"/>
      <c r="B138" s="339" t="s"/>
      <c r="C138" s="263" t="s"/>
      <c r="D138" s="263" t="s"/>
      <c r="E138" s="263" t="s"/>
      <c r="F138" s="263" t="s"/>
      <c r="G138" s="263" t="s"/>
      <c r="H138" s="263" t="s"/>
      <c r="I138" s="263" t="s"/>
      <c r="J138" s="340" t="s"/>
      <c r="K138" s="340" t="s"/>
      <c r="L138" s="263" t="s"/>
      <c r="M138" s="263" t="s"/>
      <c r="N138" s="263" t="s"/>
      <c r="O138" s="263" t="s"/>
      <c r="P138" s="263" t="s"/>
      <c r="Q138" s="263" t="s"/>
      <c r="R138" s="263" t="s"/>
      <c r="S138" s="263" t="s"/>
      <c r="T138" s="263" t="s"/>
      <c r="U138" s="263" t="s"/>
      <c r="V138" s="263" t="s"/>
      <c r="W138" s="263" t="s"/>
      <c r="X138" s="263" t="s"/>
      <c r="Y138" s="263" t="s"/>
    </row>
    <row r="139" spans="1:25" customHeight="false">
      <c r="A139" s="263" t="s"/>
      <c r="B139" s="339" t="s"/>
      <c r="C139" s="263" t="s"/>
      <c r="D139" s="263" t="s"/>
      <c r="E139" s="263" t="s"/>
      <c r="F139" s="263" t="s"/>
      <c r="G139" s="263" t="s"/>
      <c r="H139" s="263" t="s"/>
      <c r="I139" s="263" t="s"/>
      <c r="J139" s="340" t="s"/>
      <c r="K139" s="340" t="s"/>
      <c r="L139" s="263">
        <f>=1262.56</f>
        <v>1262.56</v>
      </c>
      <c r="M139" s="263" t="s"/>
      <c r="N139" s="263" t="s"/>
      <c r="O139" s="263" t="s"/>
      <c r="P139" s="263" t="s"/>
      <c r="Q139" s="263" t="s"/>
      <c r="R139" s="263" t="s"/>
      <c r="S139" s="263" t="s"/>
      <c r="T139" s="263" t="s"/>
      <c r="U139" s="263" t="s"/>
      <c r="V139" s="263" t="s"/>
      <c r="W139" s="263" t="s"/>
      <c r="X139" s="263" t="s"/>
      <c r="Y139" s="263" t="s"/>
    </row>
    <row r="140" spans="1:25" customHeight="false">
      <c r="A140" s="263" t="s"/>
      <c r="B140" s="339" t="s"/>
      <c r="C140" s="263" t="s"/>
      <c r="D140" s="263" t="s"/>
      <c r="E140" s="263" t="s"/>
      <c r="F140" s="263" t="s"/>
      <c r="G140" s="263" t="s"/>
      <c r="H140" s="263" t="s"/>
      <c r="I140" s="263" t="s"/>
      <c r="J140" s="340" t="s"/>
      <c r="K140" s="340" t="s"/>
      <c r="L140" s="263" t="s"/>
      <c r="M140" s="263" t="s"/>
      <c r="N140" s="263" t="s"/>
      <c r="O140" s="263" t="s"/>
      <c r="P140" s="263" t="s"/>
      <c r="Q140" s="263" t="s"/>
      <c r="R140" s="263" t="s"/>
      <c r="S140" s="263" t="s"/>
      <c r="T140" s="263" t="s"/>
      <c r="U140" s="263" t="s"/>
      <c r="V140" s="263" t="s"/>
      <c r="W140" s="263" t="s"/>
      <c r="X140" s="263" t="s"/>
      <c r="Y140" s="263" t="s"/>
    </row>
    <row r="141" spans="1:25" customHeight="false">
      <c r="A141" s="263" t="s"/>
      <c r="B141" s="339" t="s"/>
      <c r="C141" s="263" t="s"/>
      <c r="D141" s="263" t="s"/>
      <c r="E141" s="263" t="s"/>
      <c r="F141" s="263" t="s"/>
      <c r="G141" s="263" t="s"/>
      <c r="H141" s="263" t="s"/>
      <c r="I141" s="263" t="s"/>
      <c r="J141" s="340" t="s"/>
      <c r="K141" s="340" t="s"/>
      <c r="L141" s="263" t="s"/>
      <c r="M141" s="263" t="s"/>
      <c r="N141" s="263" t="s"/>
      <c r="O141" s="263" t="s"/>
      <c r="P141" s="263" t="s"/>
      <c r="Q141" s="263" t="s"/>
      <c r="R141" s="263" t="s"/>
      <c r="S141" s="263" t="s"/>
      <c r="T141" s="263" t="s"/>
      <c r="U141" s="263" t="s"/>
      <c r="V141" s="263" t="s"/>
      <c r="W141" s="263" t="s"/>
      <c r="X141" s="263" t="s"/>
      <c r="Y141" s="263" t="s"/>
    </row>
    <row r="142" spans="1:25" customHeight="false">
      <c r="A142" s="263" t="s"/>
      <c r="B142" s="339" t="s"/>
      <c r="C142" s="263" t="s"/>
      <c r="D142" s="263" t="s"/>
      <c r="E142" s="263" t="s"/>
      <c r="F142" s="263" t="s"/>
      <c r="G142" s="263" t="s"/>
      <c r="H142" s="263" t="s"/>
      <c r="I142" s="263" t="s"/>
      <c r="J142" s="340" t="s"/>
      <c r="K142" s="340" t="s"/>
      <c r="L142" s="263" t="s"/>
      <c r="M142" s="263" t="s"/>
      <c r="N142" s="263" t="s"/>
      <c r="O142" s="263" t="s"/>
      <c r="P142" s="263" t="s"/>
      <c r="Q142" s="263" t="s"/>
      <c r="R142" s="263" t="s"/>
      <c r="S142" s="263" t="s"/>
      <c r="T142" s="263" t="s"/>
      <c r="U142" s="263" t="s"/>
      <c r="V142" s="263" t="s"/>
      <c r="W142" s="263" t="s"/>
      <c r="X142" s="263" t="s"/>
      <c r="Y142" s="263" t="s"/>
    </row>
    <row r="143" spans="1:25" customHeight="false">
      <c r="A143" s="263" t="s"/>
      <c r="B143" s="339" t="s"/>
      <c r="C143" s="263" t="s"/>
      <c r="D143" s="263" t="s"/>
      <c r="E143" s="263" t="s"/>
      <c r="F143" s="263" t="s"/>
      <c r="G143" s="263" t="s"/>
      <c r="H143" s="263" t="s"/>
      <c r="I143" s="263" t="s"/>
      <c r="J143" s="340" t="s"/>
      <c r="K143" s="340" t="s"/>
      <c r="L143" s="263" t="s"/>
      <c r="M143" s="263" t="s"/>
      <c r="N143" s="263" t="s"/>
      <c r="O143" s="263" t="s"/>
      <c r="P143" s="263" t="s"/>
      <c r="Q143" s="263" t="s"/>
      <c r="R143" s="263" t="s"/>
      <c r="S143" s="263" t="s"/>
      <c r="T143" s="263" t="s"/>
      <c r="U143" s="263" t="s"/>
      <c r="V143" s="263" t="s"/>
      <c r="W143" s="263" t="s"/>
      <c r="X143" s="263" t="s"/>
      <c r="Y143" s="263" t="s"/>
    </row>
    <row r="144" spans="1:25" customHeight="false">
      <c r="A144" s="263" t="s"/>
      <c r="B144" s="339" t="s"/>
      <c r="C144" s="263" t="s"/>
      <c r="D144" s="263" t="s"/>
      <c r="E144" s="263" t="s"/>
      <c r="F144" s="263" t="s"/>
      <c r="G144" s="263" t="s"/>
      <c r="H144" s="263" t="s"/>
      <c r="I144" s="263" t="s"/>
      <c r="J144" s="340" t="s"/>
      <c r="K144" s="340" t="s"/>
      <c r="L144" s="263" t="s"/>
      <c r="M144" s="263" t="s"/>
      <c r="N144" s="263" t="s"/>
      <c r="O144" s="263" t="s"/>
      <c r="P144" s="263" t="s"/>
      <c r="Q144" s="263" t="s"/>
      <c r="R144" s="263" t="s"/>
      <c r="S144" s="263" t="s"/>
      <c r="T144" s="263" t="s"/>
      <c r="U144" s="263" t="s"/>
      <c r="V144" s="263" t="s"/>
      <c r="W144" s="263" t="s"/>
      <c r="X144" s="263" t="s"/>
      <c r="Y144" s="263" t="s"/>
    </row>
    <row r="145" spans="1:25" customHeight="false">
      <c r="A145" s="263" t="s"/>
      <c r="B145" s="339" t="s"/>
      <c r="C145" s="263" t="s"/>
      <c r="D145" s="263" t="s"/>
      <c r="E145" s="263" t="s"/>
      <c r="F145" s="263" t="s"/>
      <c r="G145" s="263" t="s"/>
      <c r="H145" s="263" t="s"/>
      <c r="I145" s="263" t="s"/>
      <c r="J145" s="340" t="s"/>
      <c r="K145" s="340" t="s"/>
      <c r="L145" s="263" t="s"/>
      <c r="M145" s="263" t="s"/>
      <c r="N145" s="263" t="s"/>
      <c r="O145" s="263" t="s"/>
      <c r="P145" s="263" t="s"/>
      <c r="Q145" s="263" t="s"/>
      <c r="R145" s="263" t="s"/>
      <c r="S145" s="263" t="s"/>
      <c r="T145" s="263" t="s"/>
      <c r="U145" s="263" t="s"/>
      <c r="V145" s="263" t="s"/>
      <c r="W145" s="263" t="s"/>
      <c r="X145" s="263" t="s"/>
      <c r="Y145" s="263" t="s"/>
    </row>
    <row r="146" spans="1:25" customHeight="false">
      <c r="A146" s="263" t="s"/>
      <c r="B146" s="339" t="s"/>
      <c r="C146" s="263" t="s"/>
      <c r="D146" s="263" t="s"/>
      <c r="E146" s="263" t="s"/>
      <c r="F146" s="263" t="s"/>
      <c r="G146" s="263" t="s"/>
      <c r="H146" s="263" t="s"/>
      <c r="I146" s="263" t="s"/>
      <c r="J146" s="340" t="s"/>
      <c r="K146" s="340" t="s"/>
      <c r="L146" s="263" t="s"/>
      <c r="M146" s="263" t="s"/>
      <c r="N146" s="263" t="s"/>
      <c r="O146" s="263" t="s"/>
      <c r="P146" s="263" t="s"/>
      <c r="Q146" s="263" t="s"/>
      <c r="R146" s="263" t="s"/>
      <c r="S146" s="263" t="s"/>
      <c r="T146" s="263" t="s"/>
      <c r="U146" s="263" t="s"/>
      <c r="V146" s="263" t="s"/>
      <c r="W146" s="263" t="s"/>
      <c r="X146" s="263" t="s"/>
      <c r="Y146" s="263" t="s"/>
    </row>
    <row r="147" spans="1:25" customHeight="false">
      <c r="A147" s="263" t="s"/>
      <c r="B147" s="339" t="s"/>
      <c r="C147" s="263" t="s"/>
      <c r="D147" s="263" t="s"/>
      <c r="E147" s="263" t="s"/>
      <c r="F147" s="263" t="s"/>
      <c r="G147" s="263" t="s"/>
      <c r="H147" s="263" t="s"/>
      <c r="I147" s="263" t="s"/>
      <c r="J147" s="340" t="s"/>
      <c r="K147" s="340" t="s"/>
      <c r="L147" s="263" t="s"/>
      <c r="M147" s="263" t="s"/>
      <c r="N147" s="263" t="s"/>
      <c r="O147" s="263" t="s"/>
      <c r="P147" s="263" t="s"/>
      <c r="Q147" s="263" t="s"/>
      <c r="R147" s="263" t="s"/>
      <c r="S147" s="263" t="s"/>
      <c r="T147" s="263" t="s"/>
      <c r="U147" s="263" t="s"/>
      <c r="V147" s="263" t="s"/>
      <c r="W147" s="263" t="s"/>
      <c r="X147" s="263" t="s"/>
      <c r="Y147" s="263" t="s"/>
    </row>
    <row r="148" spans="1:25" customHeight="false">
      <c r="A148" s="263" t="s"/>
      <c r="B148" s="263" t="s"/>
      <c r="C148" s="263" t="s"/>
      <c r="D148" s="263" t="s"/>
      <c r="E148" s="263" t="s"/>
      <c r="F148" s="263" t="s"/>
      <c r="G148" s="263" t="s"/>
      <c r="H148" s="263" t="s"/>
      <c r="I148" s="263" t="s"/>
      <c r="J148" s="340" t="s"/>
      <c r="K148" s="340" t="s"/>
      <c r="L148" s="263" t="s"/>
      <c r="M148" s="263" t="s"/>
      <c r="N148" s="263" t="s"/>
      <c r="O148" s="263" t="s"/>
      <c r="P148" s="263" t="s"/>
      <c r="Q148" s="263" t="s"/>
      <c r="R148" s="263" t="s"/>
      <c r="S148" s="263" t="s"/>
      <c r="T148" s="263" t="s"/>
      <c r="U148" s="263" t="s"/>
      <c r="V148" s="263" t="s"/>
      <c r="W148" s="263" t="s"/>
      <c r="X148" s="263" t="s"/>
      <c r="Y148" s="263" t="s"/>
    </row>
    <row r="149" spans="1:25" customHeight="false">
      <c r="A149" s="263" t="s"/>
      <c r="B149" s="263" t="s"/>
      <c r="C149" s="263" t="s"/>
      <c r="D149" s="263" t="s"/>
      <c r="E149" s="263" t="s"/>
      <c r="F149" s="263" t="s"/>
      <c r="G149" s="263" t="s"/>
      <c r="H149" s="263" t="s"/>
      <c r="I149" s="263" t="s"/>
      <c r="J149" s="340" t="s"/>
      <c r="K149" s="340" t="s"/>
      <c r="L149" s="263" t="s"/>
      <c r="M149" s="263" t="s"/>
      <c r="N149" s="263" t="s"/>
      <c r="O149" s="263" t="s"/>
      <c r="P149" s="263" t="s"/>
      <c r="Q149" s="263" t="s"/>
      <c r="R149" s="263" t="s"/>
      <c r="S149" s="263" t="s"/>
      <c r="T149" s="263" t="s"/>
      <c r="U149" s="263" t="s"/>
      <c r="V149" s="263" t="s"/>
      <c r="W149" s="263" t="s"/>
      <c r="X149" s="263" t="s"/>
      <c r="Y149" s="263" t="s"/>
    </row>
    <row r="150" spans="1:25" customHeight="false">
      <c r="A150" s="263" t="s"/>
      <c r="B150" s="263" t="s"/>
      <c r="C150" s="263" t="s"/>
      <c r="D150" s="263" t="s"/>
      <c r="E150" s="263" t="s"/>
      <c r="F150" s="263" t="s"/>
      <c r="G150" s="263" t="s"/>
      <c r="H150" s="263" t="s"/>
      <c r="I150" s="263" t="s"/>
      <c r="J150" s="340" t="s"/>
      <c r="K150" s="340" t="s"/>
      <c r="L150" s="263" t="s"/>
      <c r="M150" s="263" t="s"/>
      <c r="N150" s="263" t="s"/>
      <c r="O150" s="263" t="s"/>
      <c r="P150" s="263" t="s"/>
      <c r="Q150" s="263" t="s"/>
      <c r="R150" s="263" t="s"/>
      <c r="S150" s="263" t="s"/>
      <c r="T150" s="263" t="s"/>
      <c r="U150" s="263" t="s"/>
      <c r="V150" s="263" t="s"/>
      <c r="W150" s="263" t="s"/>
      <c r="X150" s="263" t="s"/>
      <c r="Y150" s="263" t="s"/>
    </row>
    <row r="151" spans="1:25" customHeight="false">
      <c r="A151" s="263" t="s"/>
      <c r="B151" s="263" t="s"/>
      <c r="C151" s="263" t="s"/>
      <c r="D151" s="263" t="s"/>
      <c r="E151" s="263" t="s"/>
      <c r="F151" s="263" t="s"/>
      <c r="G151" s="263" t="s"/>
      <c r="H151" s="263" t="s"/>
      <c r="I151" s="263" t="s"/>
      <c r="J151" s="340" t="s"/>
      <c r="K151" s="340" t="s"/>
      <c r="L151" s="263" t="s"/>
      <c r="M151" s="263" t="s"/>
      <c r="N151" s="263" t="s"/>
      <c r="O151" s="263" t="s"/>
      <c r="P151" s="263" t="s"/>
      <c r="Q151" s="263" t="s"/>
      <c r="R151" s="263" t="s"/>
      <c r="S151" s="263" t="s"/>
      <c r="T151" s="263" t="s"/>
      <c r="U151" s="263" t="s"/>
      <c r="V151" s="263" t="s"/>
      <c r="W151" s="263" t="s"/>
      <c r="X151" s="263" t="s"/>
      <c r="Y151" s="263" t="s"/>
    </row>
    <row r="152" spans="1:25" customHeight="false">
      <c r="A152" s="263" t="s"/>
      <c r="B152" s="263" t="s"/>
      <c r="C152" s="263" t="s"/>
      <c r="D152" s="263" t="s"/>
      <c r="E152" s="263" t="s"/>
      <c r="F152" s="263" t="s"/>
      <c r="G152" s="263" t="s"/>
      <c r="H152" s="263" t="s"/>
      <c r="I152" s="263" t="s"/>
      <c r="J152" s="340" t="s"/>
      <c r="K152" s="340" t="s"/>
      <c r="L152" s="263" t="s"/>
      <c r="M152" s="263" t="s"/>
      <c r="N152" s="263" t="s"/>
      <c r="O152" s="263" t="s"/>
      <c r="P152" s="263" t="s"/>
      <c r="Q152" s="263" t="s"/>
      <c r="R152" s="263" t="s"/>
      <c r="S152" s="263" t="s"/>
      <c r="T152" s="263" t="s"/>
      <c r="U152" s="263" t="s"/>
      <c r="V152" s="263" t="s"/>
      <c r="W152" s="263" t="s"/>
      <c r="X152" s="263" t="s"/>
      <c r="Y152" s="263" t="s"/>
    </row>
    <row r="153" spans="1:25" customHeight="false">
      <c r="A153" s="263" t="s"/>
      <c r="B153" s="263" t="s"/>
      <c r="C153" s="263" t="s"/>
      <c r="D153" s="263" t="s"/>
      <c r="E153" s="263" t="s"/>
      <c r="F153" s="263" t="s"/>
      <c r="G153" s="263" t="s"/>
      <c r="H153" s="263" t="s"/>
      <c r="I153" s="263" t="s"/>
      <c r="J153" s="340" t="s"/>
      <c r="K153" s="340" t="s"/>
      <c r="L153" s="263" t="s"/>
      <c r="M153" s="263" t="s"/>
      <c r="N153" s="263" t="s"/>
      <c r="O153" s="263" t="s"/>
      <c r="P153" s="263" t="s"/>
      <c r="Q153" s="263" t="s"/>
      <c r="R153" s="263" t="s"/>
      <c r="S153" s="263" t="s"/>
      <c r="T153" s="263" t="s"/>
      <c r="U153" s="263" t="s"/>
      <c r="V153" s="263" t="s"/>
      <c r="W153" s="263" t="s"/>
      <c r="X153" s="263" t="s"/>
      <c r="Y153" s="263" t="s"/>
    </row>
    <row r="154" spans="1:25" customHeight="false">
      <c r="A154" s="263" t="s"/>
      <c r="B154" s="263" t="s"/>
      <c r="C154" s="263" t="s"/>
      <c r="D154" s="263" t="s"/>
      <c r="E154" s="263" t="s"/>
      <c r="F154" s="263" t="s"/>
      <c r="G154" s="263" t="s"/>
      <c r="H154" s="263" t="s"/>
      <c r="I154" s="263" t="s"/>
      <c r="J154" s="340" t="s"/>
      <c r="K154" s="340" t="s"/>
      <c r="L154" s="263" t="s"/>
      <c r="M154" s="263" t="s"/>
      <c r="N154" s="263" t="s"/>
      <c r="O154" s="263" t="s"/>
      <c r="P154" s="263" t="s"/>
      <c r="Q154" s="263" t="s"/>
      <c r="R154" s="263" t="s"/>
      <c r="S154" s="263" t="s"/>
      <c r="T154" s="263" t="s"/>
      <c r="U154" s="263" t="s"/>
      <c r="V154" s="263" t="s"/>
      <c r="W154" s="263" t="s"/>
      <c r="X154" s="263" t="s"/>
      <c r="Y154" s="263" t="s"/>
    </row>
    <row r="155" spans="1:25" customHeight="false">
      <c r="A155" s="263" t="s"/>
      <c r="B155" s="263" t="s"/>
      <c r="C155" s="263" t="s"/>
      <c r="D155" s="263" t="s"/>
      <c r="E155" s="263" t="s"/>
      <c r="F155" s="263" t="s"/>
      <c r="G155" s="263" t="s"/>
      <c r="H155" s="263" t="s"/>
      <c r="I155" s="263" t="s"/>
      <c r="J155" s="340" t="s"/>
      <c r="K155" s="340" t="s"/>
      <c r="L155" s="263" t="s"/>
      <c r="M155" s="263" t="s"/>
      <c r="N155" s="263" t="s"/>
      <c r="O155" s="263" t="s"/>
      <c r="P155" s="263" t="s"/>
      <c r="Q155" s="263" t="s"/>
      <c r="R155" s="263" t="s"/>
      <c r="S155" s="263" t="s"/>
      <c r="T155" s="263" t="s"/>
      <c r="U155" s="263" t="s"/>
      <c r="V155" s="263" t="s"/>
      <c r="W155" s="263" t="s"/>
      <c r="X155" s="263" t="s"/>
      <c r="Y155" s="263" t="s"/>
    </row>
    <row r="156" spans="1:25" customHeight="false">
      <c r="A156" s="263" t="s"/>
      <c r="B156" s="263" t="s"/>
      <c r="C156" s="263" t="s"/>
      <c r="D156" s="263" t="s"/>
      <c r="E156" s="263" t="s"/>
      <c r="F156" s="263" t="s"/>
      <c r="G156" s="263" t="s"/>
      <c r="H156" s="263" t="s"/>
      <c r="I156" s="263" t="s"/>
      <c r="J156" s="340" t="s"/>
      <c r="K156" s="340" t="s"/>
      <c r="L156" s="263" t="s"/>
      <c r="M156" s="263" t="s"/>
      <c r="N156" s="263" t="s"/>
      <c r="O156" s="263" t="s"/>
      <c r="P156" s="263" t="s"/>
      <c r="Q156" s="263" t="s"/>
      <c r="R156" s="263" t="s"/>
      <c r="S156" s="263" t="s"/>
      <c r="T156" s="263" t="s"/>
      <c r="U156" s="263" t="s"/>
      <c r="V156" s="263" t="s"/>
      <c r="W156" s="263" t="s"/>
      <c r="X156" s="263" t="s"/>
      <c r="Y156" s="263" t="s"/>
    </row>
    <row r="157" spans="1:25" customHeight="false">
      <c r="A157" s="263" t="s"/>
      <c r="B157" s="263" t="s"/>
      <c r="C157" s="263" t="s"/>
      <c r="D157" s="263" t="s"/>
      <c r="E157" s="263" t="s"/>
      <c r="F157" s="263" t="s"/>
      <c r="G157" s="263" t="s"/>
      <c r="H157" s="263" t="s"/>
      <c r="I157" s="263" t="s"/>
      <c r="J157" s="340" t="s"/>
      <c r="K157" s="340" t="s"/>
      <c r="L157" s="263" t="s"/>
      <c r="M157" s="263" t="s"/>
      <c r="N157" s="263" t="s"/>
      <c r="O157" s="263" t="s"/>
      <c r="P157" s="263" t="s"/>
      <c r="Q157" s="263" t="s"/>
      <c r="R157" s="263" t="s"/>
      <c r="S157" s="263" t="s"/>
      <c r="T157" s="263" t="s"/>
      <c r="U157" s="263" t="s"/>
      <c r="V157" s="263" t="s"/>
      <c r="W157" s="263" t="s"/>
      <c r="X157" s="263" t="s"/>
      <c r="Y157" s="263" t="s"/>
    </row>
    <row r="158" spans="1:25" customHeight="false">
      <c r="A158" s="263" t="s"/>
      <c r="B158" s="263" t="s"/>
      <c r="C158" s="263" t="s"/>
      <c r="D158" s="263" t="s"/>
      <c r="E158" s="263" t="s"/>
      <c r="F158" s="263" t="s"/>
      <c r="G158" s="263" t="s"/>
      <c r="H158" s="263" t="s"/>
      <c r="I158" s="263" t="s"/>
      <c r="J158" s="340" t="s"/>
      <c r="K158" s="340" t="s"/>
      <c r="L158" s="263" t="s"/>
      <c r="M158" s="263" t="s"/>
      <c r="N158" s="263" t="s"/>
      <c r="O158" s="263" t="s"/>
      <c r="P158" s="263" t="s"/>
      <c r="Q158" s="263" t="s"/>
      <c r="R158" s="263" t="s"/>
      <c r="S158" s="263" t="s"/>
      <c r="T158" s="263" t="s"/>
      <c r="U158" s="263" t="s"/>
      <c r="V158" s="263" t="s"/>
      <c r="W158" s="263" t="s"/>
      <c r="X158" s="263" t="s"/>
      <c r="Y158" s="263" t="s"/>
    </row>
    <row r="159" spans="1:25" customHeight="false">
      <c r="A159" s="263" t="s"/>
      <c r="B159" s="263" t="s"/>
      <c r="C159" s="263" t="s"/>
      <c r="D159" s="263" t="s"/>
      <c r="E159" s="263" t="s"/>
      <c r="F159" s="263" t="s"/>
      <c r="G159" s="263" t="s"/>
      <c r="H159" s="263" t="s"/>
      <c r="I159" s="263" t="s"/>
      <c r="J159" s="340" t="s"/>
      <c r="K159" s="340" t="s"/>
      <c r="L159" s="263" t="s"/>
      <c r="M159" s="263" t="s"/>
      <c r="N159" s="263" t="s"/>
      <c r="O159" s="263" t="s"/>
      <c r="P159" s="263" t="s"/>
      <c r="Q159" s="263" t="s"/>
      <c r="R159" s="263" t="s"/>
      <c r="S159" s="263" t="s"/>
      <c r="T159" s="263" t="s"/>
      <c r="U159" s="263" t="s"/>
      <c r="V159" s="263" t="s"/>
      <c r="W159" s="263" t="s"/>
      <c r="X159" s="263" t="s"/>
      <c r="Y159" s="263" t="s"/>
    </row>
    <row r="160" spans="1:25" customHeight="false">
      <c r="A160" s="263" t="s"/>
      <c r="B160" s="263" t="s"/>
      <c r="C160" s="263" t="s"/>
      <c r="D160" s="263" t="s"/>
      <c r="E160" s="263" t="s"/>
      <c r="F160" s="263" t="s"/>
      <c r="G160" s="263" t="s"/>
      <c r="H160" s="263" t="s"/>
      <c r="I160" s="263" t="s"/>
      <c r="J160" s="340" t="s"/>
      <c r="K160" s="340" t="s"/>
      <c r="L160" s="263" t="s"/>
      <c r="M160" s="263" t="s"/>
      <c r="N160" s="263" t="s"/>
      <c r="O160" s="263" t="s"/>
      <c r="P160" s="263" t="s"/>
      <c r="Q160" s="263" t="s"/>
      <c r="R160" s="263" t="s"/>
      <c r="S160" s="263" t="s"/>
      <c r="T160" s="263" t="s"/>
      <c r="U160" s="263" t="s"/>
      <c r="V160" s="263" t="s"/>
      <c r="W160" s="263" t="s"/>
      <c r="X160" s="263" t="s"/>
      <c r="Y160" s="263" t="s"/>
    </row>
    <row r="161" spans="1:25" customHeight="false">
      <c r="A161" s="263" t="s"/>
      <c r="B161" s="263" t="s"/>
      <c r="C161" s="263" t="s"/>
      <c r="D161" s="263" t="s"/>
      <c r="E161" s="263" t="s"/>
      <c r="F161" s="263" t="s"/>
      <c r="G161" s="263" t="s"/>
      <c r="H161" s="263" t="s"/>
      <c r="I161" s="263" t="s"/>
      <c r="J161" s="340" t="s"/>
      <c r="K161" s="340" t="s"/>
      <c r="L161" s="263" t="s"/>
      <c r="M161" s="263" t="s"/>
      <c r="N161" s="263" t="s"/>
      <c r="O161" s="263" t="s"/>
      <c r="P161" s="263" t="s"/>
      <c r="Q161" s="263" t="s"/>
      <c r="R161" s="263" t="s"/>
      <c r="S161" s="263" t="s"/>
      <c r="T161" s="263" t="s"/>
      <c r="U161" s="263" t="s"/>
      <c r="V161" s="263" t="s"/>
      <c r="W161" s="263" t="s"/>
      <c r="X161" s="263" t="s"/>
      <c r="Y161" s="263" t="s"/>
    </row>
    <row r="162" spans="1:25" customHeight="false">
      <c r="A162" s="263" t="s"/>
      <c r="B162" s="263" t="s"/>
      <c r="C162" s="263" t="s"/>
      <c r="D162" s="263" t="s"/>
      <c r="E162" s="263" t="s"/>
      <c r="F162" s="263" t="s"/>
      <c r="G162" s="263" t="s"/>
      <c r="H162" s="263" t="s"/>
      <c r="I162" s="263" t="s"/>
      <c r="J162" s="340" t="s"/>
      <c r="K162" s="340" t="s"/>
      <c r="L162" s="263" t="s"/>
      <c r="M162" s="263" t="s"/>
      <c r="N162" s="263" t="s"/>
      <c r="O162" s="263" t="s"/>
      <c r="P162" s="263" t="s"/>
      <c r="Q162" s="263" t="s"/>
      <c r="R162" s="263" t="s"/>
      <c r="S162" s="263" t="s"/>
      <c r="T162" s="263" t="s"/>
      <c r="U162" s="263" t="s"/>
      <c r="V162" s="263" t="s"/>
      <c r="W162" s="263" t="s"/>
      <c r="X162" s="263" t="s"/>
      <c r="Y162" s="263" t="s"/>
    </row>
    <row r="163" spans="1:25" customHeight="false">
      <c r="A163" s="263" t="s"/>
      <c r="B163" s="263" t="s"/>
      <c r="C163" s="263" t="s"/>
      <c r="D163" s="263" t="s"/>
      <c r="E163" s="263" t="s"/>
      <c r="F163" s="263" t="s"/>
      <c r="G163" s="263" t="s"/>
      <c r="H163" s="263" t="s"/>
      <c r="I163" s="263" t="s"/>
      <c r="J163" s="340" t="s"/>
      <c r="K163" s="340" t="s"/>
      <c r="L163" s="263" t="s"/>
      <c r="M163" s="263" t="s"/>
      <c r="N163" s="263" t="s"/>
      <c r="O163" s="263" t="s"/>
      <c r="P163" s="263" t="s"/>
      <c r="Q163" s="263" t="s"/>
      <c r="R163" s="263" t="s"/>
      <c r="S163" s="263" t="s"/>
      <c r="T163" s="263" t="s"/>
      <c r="U163" s="263" t="s"/>
      <c r="V163" s="263" t="s"/>
      <c r="W163" s="263" t="s"/>
      <c r="X163" s="263" t="s"/>
      <c r="Y163" s="263" t="s"/>
    </row>
    <row r="164" spans="1:25" customHeight="false">
      <c r="A164" s="263" t="s"/>
      <c r="B164" s="263" t="s"/>
      <c r="C164" s="263" t="s"/>
      <c r="D164" s="263" t="s"/>
      <c r="E164" s="263" t="s"/>
      <c r="F164" s="263" t="s"/>
      <c r="G164" s="263" t="s"/>
      <c r="H164" s="263" t="s"/>
      <c r="I164" s="263" t="s"/>
      <c r="J164" s="340" t="s"/>
      <c r="K164" s="340" t="s"/>
      <c r="L164" s="263" t="s"/>
      <c r="M164" s="263" t="s"/>
      <c r="N164" s="263" t="s"/>
      <c r="O164" s="263" t="s"/>
      <c r="P164" s="263" t="s"/>
      <c r="Q164" s="263" t="s"/>
      <c r="R164" s="263" t="s"/>
      <c r="S164" s="263" t="s"/>
      <c r="T164" s="263" t="s"/>
      <c r="U164" s="263" t="s"/>
      <c r="V164" s="263" t="s"/>
      <c r="W164" s="263" t="s"/>
      <c r="X164" s="263" t="s"/>
      <c r="Y164" s="263" t="s"/>
    </row>
    <row r="165" spans="1:25" customHeight="false">
      <c r="A165" s="263" t="s"/>
      <c r="B165" s="263" t="s"/>
      <c r="C165" s="263" t="s"/>
      <c r="D165" s="263" t="s"/>
      <c r="E165" s="263" t="s"/>
      <c r="F165" s="263" t="s"/>
      <c r="G165" s="263" t="s"/>
      <c r="H165" s="263" t="s"/>
      <c r="I165" s="263" t="s"/>
      <c r="J165" s="340" t="s"/>
      <c r="K165" s="340" t="s"/>
      <c r="L165" s="263" t="s"/>
      <c r="M165" s="263" t="s"/>
      <c r="N165" s="263" t="s"/>
      <c r="O165" s="263" t="s"/>
      <c r="P165" s="263" t="s"/>
      <c r="Q165" s="263" t="s"/>
      <c r="R165" s="263" t="s"/>
      <c r="S165" s="263" t="s"/>
      <c r="T165" s="263" t="s"/>
      <c r="U165" s="263" t="s"/>
      <c r="V165" s="263" t="s"/>
      <c r="W165" s="263" t="s"/>
      <c r="X165" s="263" t="s"/>
      <c r="Y165" s="263" t="s"/>
    </row>
    <row r="166" spans="1:25" customHeight="false">
      <c r="A166" s="263" t="s"/>
      <c r="B166" s="263" t="s"/>
      <c r="C166" s="263" t="s"/>
      <c r="D166" s="263" t="s"/>
      <c r="E166" s="263" t="s"/>
      <c r="F166" s="263" t="s"/>
      <c r="G166" s="263" t="s"/>
      <c r="H166" s="263" t="s"/>
      <c r="I166" s="263" t="s"/>
      <c r="J166" s="340" t="s"/>
      <c r="K166" s="340" t="s"/>
      <c r="L166" s="263" t="s"/>
      <c r="M166" s="263" t="s"/>
      <c r="N166" s="263" t="s"/>
      <c r="O166" s="263" t="s"/>
      <c r="P166" s="263" t="s"/>
      <c r="Q166" s="263" t="s"/>
      <c r="R166" s="263" t="s"/>
      <c r="S166" s="263" t="s"/>
      <c r="T166" s="263" t="s"/>
      <c r="U166" s="263" t="s"/>
      <c r="V166" s="263" t="s"/>
      <c r="W166" s="263" t="s"/>
      <c r="X166" s="263" t="s"/>
      <c r="Y166" s="263" t="s"/>
    </row>
    <row r="167" spans="1:25" customHeight="false">
      <c r="A167" s="263" t="s"/>
      <c r="B167" s="263" t="s"/>
      <c r="C167" s="263" t="s"/>
      <c r="D167" s="263" t="s"/>
      <c r="E167" s="263" t="s"/>
      <c r="F167" s="263" t="s"/>
      <c r="G167" s="263" t="s"/>
      <c r="H167" s="263" t="s"/>
      <c r="I167" s="263" t="s"/>
      <c r="J167" s="340" t="s"/>
      <c r="K167" s="340" t="s"/>
      <c r="L167" s="263" t="s"/>
      <c r="M167" s="263" t="s"/>
      <c r="N167" s="263" t="s"/>
      <c r="O167" s="263" t="s"/>
      <c r="P167" s="263" t="s"/>
      <c r="Q167" s="263" t="s"/>
      <c r="R167" s="263" t="s"/>
      <c r="S167" s="263" t="s"/>
      <c r="T167" s="263" t="s"/>
      <c r="U167" s="263" t="s"/>
      <c r="V167" s="263" t="s"/>
      <c r="W167" s="263" t="s"/>
      <c r="X167" s="263" t="s"/>
      <c r="Y167" s="263" t="s"/>
    </row>
    <row r="168" spans="1:25" customHeight="false">
      <c r="A168" s="263" t="s"/>
      <c r="B168" s="263" t="s"/>
      <c r="C168" s="263" t="s"/>
      <c r="D168" s="263" t="s"/>
      <c r="E168" s="263" t="s"/>
      <c r="F168" s="263" t="s"/>
      <c r="G168" s="263" t="s"/>
      <c r="H168" s="263" t="s"/>
      <c r="I168" s="263" t="s"/>
      <c r="J168" s="340" t="s"/>
      <c r="K168" s="340" t="s"/>
      <c r="L168" s="263" t="s"/>
      <c r="M168" s="263" t="s"/>
      <c r="N168" s="263" t="s"/>
      <c r="O168" s="263" t="s"/>
      <c r="P168" s="263" t="s"/>
      <c r="Q168" s="263" t="s"/>
      <c r="R168" s="263" t="s"/>
      <c r="S168" s="263" t="s"/>
      <c r="T168" s="263" t="s"/>
      <c r="U168" s="263" t="s"/>
      <c r="V168" s="263" t="s"/>
      <c r="W168" s="263" t="s"/>
      <c r="X168" s="263" t="s"/>
      <c r="Y168" s="263" t="s"/>
    </row>
    <row r="169" spans="1:25" customHeight="false">
      <c r="A169" s="263" t="s"/>
      <c r="B169" s="263" t="s"/>
      <c r="C169" s="263" t="s"/>
      <c r="D169" s="263" t="s"/>
      <c r="E169" s="263" t="s"/>
      <c r="F169" s="263" t="s"/>
      <c r="G169" s="263" t="s"/>
      <c r="H169" s="263" t="s"/>
      <c r="I169" s="263" t="s"/>
      <c r="J169" s="340" t="s"/>
      <c r="K169" s="340" t="s"/>
      <c r="L169" s="263" t="s"/>
      <c r="M169" s="263" t="s"/>
      <c r="N169" s="263" t="s"/>
      <c r="O169" s="263" t="s"/>
      <c r="P169" s="263" t="s"/>
      <c r="Q169" s="263" t="s"/>
      <c r="R169" s="263" t="s"/>
      <c r="S169" s="263" t="s"/>
      <c r="T169" s="263" t="s"/>
      <c r="U169" s="263" t="s"/>
      <c r="V169" s="263" t="s"/>
      <c r="W169" s="263" t="s"/>
      <c r="X169" s="263" t="s"/>
      <c r="Y169" s="263" t="s"/>
    </row>
    <row r="170" spans="1:25" customHeight="false">
      <c r="A170" s="263" t="s"/>
      <c r="B170" s="263" t="s"/>
      <c r="C170" s="263" t="s"/>
      <c r="D170" s="263" t="s"/>
      <c r="E170" s="263" t="s"/>
      <c r="F170" s="263" t="s"/>
      <c r="G170" s="263" t="s"/>
      <c r="H170" s="263" t="s"/>
      <c r="I170" s="263" t="s"/>
      <c r="J170" s="340" t="s"/>
      <c r="K170" s="340" t="s"/>
      <c r="L170" s="263" t="s"/>
      <c r="M170" s="263" t="s"/>
      <c r="N170" s="263" t="s"/>
      <c r="O170" s="263" t="s"/>
      <c r="P170" s="263" t="s"/>
      <c r="Q170" s="263" t="s"/>
      <c r="R170" s="263" t="s"/>
      <c r="S170" s="263" t="s"/>
      <c r="T170" s="263" t="s"/>
      <c r="U170" s="263" t="s"/>
      <c r="V170" s="263" t="s"/>
      <c r="W170" s="263" t="s"/>
      <c r="X170" s="263" t="s"/>
      <c r="Y170" s="263" t="s"/>
    </row>
    <row r="171" spans="1:25" customHeight="false">
      <c r="A171" s="263" t="s"/>
      <c r="B171" s="263" t="s"/>
      <c r="C171" s="263" t="s"/>
      <c r="D171" s="263" t="s"/>
      <c r="E171" s="263" t="s"/>
      <c r="F171" s="263" t="s"/>
      <c r="G171" s="263" t="s"/>
      <c r="H171" s="263" t="s"/>
      <c r="I171" s="263" t="s"/>
      <c r="J171" s="340" t="s"/>
      <c r="K171" s="340" t="s"/>
      <c r="L171" s="263" t="s"/>
      <c r="M171" s="263" t="s"/>
      <c r="N171" s="263" t="s"/>
      <c r="O171" s="263" t="s"/>
      <c r="P171" s="263" t="s"/>
      <c r="Q171" s="263" t="s"/>
      <c r="R171" s="263" t="s"/>
      <c r="S171" s="263" t="s"/>
      <c r="T171" s="263" t="s"/>
      <c r="U171" s="263" t="s"/>
      <c r="V171" s="263" t="s"/>
      <c r="W171" s="263" t="s"/>
      <c r="X171" s="263" t="s"/>
      <c r="Y171" s="263" t="s"/>
    </row>
    <row r="172" spans="1:25" customHeight="false">
      <c r="A172" s="263" t="s"/>
      <c r="B172" s="263" t="s"/>
      <c r="C172" s="263" t="s"/>
      <c r="D172" s="263" t="s"/>
      <c r="E172" s="263" t="s"/>
      <c r="F172" s="263" t="s"/>
      <c r="G172" s="263" t="s"/>
      <c r="H172" s="263" t="s"/>
      <c r="I172" s="263" t="s"/>
      <c r="J172" s="340" t="s"/>
      <c r="K172" s="340" t="s"/>
      <c r="L172" s="263" t="s"/>
      <c r="M172" s="263" t="s"/>
      <c r="N172" s="263" t="s"/>
      <c r="O172" s="263" t="s"/>
      <c r="P172" s="263" t="s"/>
      <c r="Q172" s="263" t="s"/>
      <c r="R172" s="263" t="s"/>
      <c r="S172" s="263" t="s"/>
      <c r="T172" s="263" t="s"/>
      <c r="U172" s="263" t="s"/>
      <c r="V172" s="263" t="s"/>
      <c r="W172" s="263" t="s"/>
      <c r="X172" s="263" t="s"/>
      <c r="Y172" s="263" t="s"/>
    </row>
    <row r="173" spans="1:25" customHeight="false">
      <c r="A173" s="263" t="s"/>
      <c r="B173" s="263" t="s"/>
      <c r="C173" s="263" t="s"/>
      <c r="D173" s="263" t="s"/>
      <c r="E173" s="263" t="s"/>
      <c r="F173" s="263" t="s"/>
      <c r="G173" s="263" t="s"/>
      <c r="H173" s="263" t="s"/>
      <c r="I173" s="263" t="s"/>
      <c r="J173" s="340" t="s"/>
      <c r="K173" s="340" t="s"/>
      <c r="L173" s="263" t="s"/>
      <c r="M173" s="263" t="s"/>
      <c r="N173" s="263" t="s"/>
      <c r="O173" s="263" t="s"/>
      <c r="P173" s="263" t="s"/>
      <c r="Q173" s="263" t="s"/>
      <c r="R173" s="263" t="s"/>
      <c r="S173" s="263" t="s"/>
      <c r="T173" s="263" t="s"/>
      <c r="U173" s="263" t="s"/>
      <c r="V173" s="263" t="s"/>
      <c r="W173" s="263" t="s"/>
      <c r="X173" s="263" t="s"/>
      <c r="Y173" s="263" t="s"/>
    </row>
    <row r="174" spans="1:25" customHeight="false">
      <c r="A174" s="263" t="s"/>
      <c r="B174" s="263" t="s"/>
      <c r="C174" s="263" t="s"/>
      <c r="D174" s="263" t="s"/>
      <c r="E174" s="263" t="s"/>
      <c r="F174" s="263" t="s"/>
      <c r="G174" s="263" t="s"/>
      <c r="H174" s="263" t="s"/>
      <c r="I174" s="263" t="s"/>
      <c r="J174" s="340" t="s"/>
      <c r="K174" s="340" t="s"/>
      <c r="L174" s="263" t="s"/>
      <c r="M174" s="263" t="s"/>
      <c r="N174" s="263" t="s"/>
      <c r="O174" s="263" t="s"/>
      <c r="P174" s="263" t="s"/>
      <c r="Q174" s="263" t="s"/>
      <c r="R174" s="263" t="s"/>
      <c r="S174" s="263" t="s"/>
      <c r="T174" s="263" t="s"/>
      <c r="U174" s="263" t="s"/>
      <c r="V174" s="263" t="s"/>
      <c r="W174" s="263" t="s"/>
      <c r="X174" s="263" t="s"/>
      <c r="Y174" s="263" t="s"/>
    </row>
    <row r="175" spans="1:25" customHeight="false">
      <c r="A175" s="263" t="s"/>
      <c r="B175" s="263" t="s"/>
      <c r="C175" s="263" t="s"/>
      <c r="D175" s="263" t="s"/>
      <c r="E175" s="263" t="s"/>
      <c r="F175" s="263" t="s"/>
      <c r="G175" s="263" t="s"/>
      <c r="H175" s="263" t="s"/>
      <c r="I175" s="263" t="s"/>
      <c r="J175" s="340" t="s"/>
      <c r="K175" s="340" t="s"/>
      <c r="L175" s="263" t="s"/>
      <c r="M175" s="263" t="s"/>
      <c r="N175" s="263" t="s"/>
      <c r="O175" s="263" t="s"/>
      <c r="P175" s="263" t="s"/>
      <c r="Q175" s="263" t="s"/>
      <c r="R175" s="263" t="s"/>
      <c r="S175" s="263" t="s"/>
      <c r="T175" s="263" t="s"/>
      <c r="U175" s="263" t="s"/>
      <c r="V175" s="263" t="s"/>
      <c r="W175" s="263" t="s"/>
      <c r="X175" s="263" t="s"/>
      <c r="Y175" s="263" t="s"/>
    </row>
    <row r="176" spans="1:25" customHeight="false">
      <c r="A176" s="263" t="s"/>
      <c r="B176" s="263" t="s"/>
      <c r="C176" s="263" t="s"/>
      <c r="D176" s="263" t="s"/>
      <c r="E176" s="263" t="s"/>
      <c r="F176" s="263" t="s"/>
      <c r="G176" s="263" t="s"/>
      <c r="H176" s="263" t="s"/>
      <c r="I176" s="263" t="s"/>
      <c r="J176" s="340" t="s"/>
      <c r="K176" s="340" t="s"/>
      <c r="L176" s="263" t="s"/>
      <c r="M176" s="263" t="s"/>
      <c r="N176" s="263" t="s"/>
      <c r="O176" s="263" t="s"/>
      <c r="P176" s="263" t="s"/>
      <c r="Q176" s="263" t="s"/>
      <c r="R176" s="263" t="s"/>
      <c r="S176" s="263" t="s"/>
      <c r="T176" s="263" t="s"/>
      <c r="U176" s="263" t="s"/>
      <c r="V176" s="263" t="s"/>
      <c r="W176" s="263" t="s"/>
      <c r="X176" s="263" t="s"/>
      <c r="Y176" s="263" t="s"/>
    </row>
    <row r="177" spans="1:25" customHeight="false">
      <c r="A177" s="263" t="s"/>
      <c r="B177" s="263" t="s"/>
      <c r="C177" s="263" t="s"/>
      <c r="D177" s="263" t="s"/>
      <c r="E177" s="263" t="s"/>
      <c r="F177" s="263" t="s"/>
      <c r="G177" s="263" t="s"/>
      <c r="H177" s="263" t="s"/>
      <c r="I177" s="263" t="s"/>
      <c r="J177" s="340" t="s"/>
      <c r="K177" s="340" t="s"/>
      <c r="L177" s="263" t="s"/>
      <c r="M177" s="263" t="s"/>
      <c r="N177" s="263" t="s"/>
      <c r="O177" s="263" t="s"/>
      <c r="P177" s="263" t="s"/>
      <c r="Q177" s="263" t="s"/>
      <c r="R177" s="263" t="s"/>
      <c r="S177" s="263" t="s"/>
      <c r="T177" s="263" t="s"/>
      <c r="U177" s="263" t="s"/>
      <c r="V177" s="263" t="s"/>
      <c r="W177" s="263" t="s"/>
      <c r="X177" s="263" t="s"/>
      <c r="Y177" s="263" t="s"/>
    </row>
    <row r="178" spans="1:25" customHeight="false">
      <c r="A178" s="263" t="s"/>
      <c r="B178" s="263" t="s"/>
      <c r="C178" s="263" t="s"/>
      <c r="D178" s="263" t="s"/>
      <c r="E178" s="263" t="s"/>
      <c r="F178" s="263" t="s"/>
      <c r="G178" s="263" t="s"/>
      <c r="H178" s="263" t="s"/>
      <c r="I178" s="263" t="s"/>
      <c r="J178" s="340" t="s"/>
      <c r="K178" s="340" t="s"/>
      <c r="L178" s="263" t="s"/>
      <c r="M178" s="263" t="s"/>
      <c r="N178" s="263" t="s"/>
      <c r="O178" s="263" t="s"/>
      <c r="P178" s="263" t="s"/>
      <c r="Q178" s="263" t="s"/>
      <c r="R178" s="263" t="s"/>
      <c r="S178" s="263" t="s"/>
      <c r="T178" s="263" t="s"/>
      <c r="U178" s="263" t="s"/>
      <c r="V178" s="263" t="s"/>
      <c r="W178" s="263" t="s"/>
      <c r="X178" s="263" t="s"/>
      <c r="Y178" s="263" t="s"/>
    </row>
    <row r="179" spans="1:25" customHeight="false">
      <c r="A179" s="263" t="s"/>
      <c r="B179" s="263" t="s"/>
      <c r="C179" s="263" t="s"/>
      <c r="D179" s="263" t="s"/>
      <c r="E179" s="263" t="s"/>
      <c r="F179" s="263" t="s"/>
      <c r="G179" s="263" t="s"/>
      <c r="H179" s="263" t="s"/>
      <c r="I179" s="263" t="s"/>
      <c r="J179" s="340" t="s"/>
      <c r="K179" s="340" t="s"/>
      <c r="L179" s="263" t="s"/>
      <c r="M179" s="263" t="s"/>
      <c r="N179" s="263" t="s"/>
      <c r="O179" s="263" t="s"/>
      <c r="P179" s="263" t="s"/>
      <c r="Q179" s="263" t="s"/>
      <c r="R179" s="263" t="s"/>
      <c r="S179" s="263" t="s"/>
      <c r="T179" s="263" t="s"/>
      <c r="U179" s="263" t="s"/>
      <c r="V179" s="263" t="s"/>
      <c r="W179" s="263" t="s"/>
      <c r="X179" s="263" t="s"/>
      <c r="Y179" s="263" t="s"/>
    </row>
    <row r="180" spans="1:25" customHeight="false">
      <c r="A180" s="263" t="s"/>
      <c r="B180" s="263" t="s"/>
      <c r="C180" s="263" t="s"/>
      <c r="D180" s="263" t="s"/>
      <c r="E180" s="263" t="s"/>
      <c r="F180" s="263" t="s"/>
      <c r="G180" s="263" t="s"/>
      <c r="H180" s="263" t="s"/>
      <c r="I180" s="263" t="s"/>
      <c r="J180" s="340" t="s"/>
      <c r="K180" s="340" t="s"/>
      <c r="L180" s="263" t="s"/>
      <c r="M180" s="263" t="s"/>
      <c r="N180" s="263" t="s"/>
      <c r="O180" s="263" t="s"/>
      <c r="P180" s="263" t="s"/>
      <c r="Q180" s="263" t="s"/>
      <c r="R180" s="263" t="s"/>
      <c r="S180" s="263" t="s"/>
      <c r="T180" s="263" t="s"/>
      <c r="U180" s="263" t="s"/>
      <c r="V180" s="263" t="s"/>
      <c r="W180" s="263" t="s"/>
      <c r="X180" s="263" t="s"/>
      <c r="Y180" s="263" t="s"/>
    </row>
    <row r="181" spans="1:25" customHeight="false">
      <c r="A181" s="263" t="s"/>
      <c r="B181" s="263" t="s"/>
      <c r="C181" s="263" t="s"/>
      <c r="D181" s="263" t="s"/>
      <c r="E181" s="263" t="s"/>
      <c r="F181" s="263" t="s"/>
      <c r="G181" s="263" t="s"/>
      <c r="H181" s="263" t="s"/>
      <c r="I181" s="263" t="s"/>
      <c r="J181" s="340" t="s"/>
      <c r="K181" s="340" t="s"/>
      <c r="L181" s="263" t="s"/>
      <c r="M181" s="263" t="s"/>
      <c r="N181" s="263" t="s"/>
      <c r="O181" s="263" t="s"/>
      <c r="P181" s="263" t="s"/>
      <c r="Q181" s="263" t="s"/>
      <c r="R181" s="263" t="s"/>
      <c r="S181" s="263" t="s"/>
      <c r="T181" s="263" t="s"/>
      <c r="U181" s="263" t="s"/>
      <c r="V181" s="263" t="s"/>
      <c r="W181" s="263" t="s"/>
      <c r="X181" s="263" t="s"/>
      <c r="Y181" s="263" t="s"/>
    </row>
    <row r="182" spans="1:25" customHeight="false">
      <c r="A182" s="263" t="s"/>
      <c r="B182" s="263" t="s"/>
      <c r="C182" s="263" t="s"/>
      <c r="D182" s="263" t="s"/>
      <c r="E182" s="263" t="s"/>
      <c r="F182" s="263" t="s"/>
      <c r="G182" s="263" t="s"/>
      <c r="H182" s="263" t="s"/>
      <c r="I182" s="263" t="s"/>
      <c r="J182" s="340" t="s"/>
      <c r="K182" s="340" t="s"/>
      <c r="L182" s="263" t="s"/>
      <c r="M182" s="263" t="s"/>
      <c r="N182" s="263" t="s"/>
      <c r="O182" s="263" t="s"/>
      <c r="P182" s="263" t="s"/>
      <c r="Q182" s="263" t="s"/>
      <c r="R182" s="263" t="s"/>
      <c r="S182" s="263" t="s"/>
      <c r="T182" s="263" t="s"/>
      <c r="U182" s="263" t="s"/>
      <c r="V182" s="263" t="s"/>
      <c r="W182" s="263" t="s"/>
      <c r="X182" s="263" t="s"/>
      <c r="Y182" s="263" t="s"/>
    </row>
    <row r="183" spans="1:25" customHeight="false">
      <c r="A183" s="263" t="s"/>
      <c r="B183" s="263" t="s"/>
      <c r="C183" s="263" t="s"/>
      <c r="D183" s="263" t="s"/>
      <c r="E183" s="263" t="s"/>
      <c r="F183" s="263" t="s"/>
      <c r="G183" s="263" t="s"/>
      <c r="H183" s="263" t="s"/>
      <c r="I183" s="263" t="s"/>
      <c r="J183" s="340" t="s"/>
      <c r="K183" s="340" t="s"/>
      <c r="L183" s="263" t="s"/>
      <c r="M183" s="263" t="s"/>
      <c r="N183" s="263" t="s"/>
      <c r="O183" s="263" t="s"/>
      <c r="P183" s="263" t="s"/>
      <c r="Q183" s="263" t="s"/>
      <c r="R183" s="263" t="s"/>
      <c r="S183" s="263" t="s"/>
      <c r="T183" s="263" t="s"/>
      <c r="U183" s="263" t="s"/>
      <c r="V183" s="263" t="s"/>
      <c r="W183" s="263" t="s"/>
      <c r="X183" s="263" t="s"/>
      <c r="Y183" s="263" t="s"/>
    </row>
    <row r="184" spans="1:25" customHeight="false">
      <c r="A184" s="263" t="s"/>
      <c r="B184" s="263" t="s"/>
      <c r="C184" s="263" t="s"/>
      <c r="D184" s="263" t="s"/>
      <c r="E184" s="263" t="s"/>
      <c r="F184" s="263" t="s"/>
      <c r="G184" s="263" t="s"/>
      <c r="H184" s="263" t="s"/>
      <c r="I184" s="263" t="s"/>
      <c r="J184" s="340" t="s"/>
      <c r="K184" s="340" t="s"/>
      <c r="L184" s="263" t="s"/>
      <c r="M184" s="263" t="s"/>
      <c r="N184" s="263" t="s"/>
      <c r="O184" s="263" t="s"/>
      <c r="P184" s="263" t="s"/>
      <c r="Q184" s="263" t="s"/>
      <c r="R184" s="263" t="s"/>
      <c r="S184" s="263" t="s"/>
      <c r="T184" s="263" t="s"/>
      <c r="U184" s="263" t="s"/>
      <c r="V184" s="263" t="s"/>
      <c r="W184" s="263" t="s"/>
      <c r="X184" s="263" t="s"/>
      <c r="Y184" s="263" t="s"/>
    </row>
    <row r="185" spans="1:25" customHeight="false">
      <c r="A185" s="263" t="s"/>
      <c r="B185" s="263" t="s"/>
      <c r="C185" s="263" t="s"/>
      <c r="D185" s="263" t="s"/>
      <c r="E185" s="263" t="s"/>
      <c r="F185" s="263" t="s"/>
      <c r="G185" s="263" t="s"/>
      <c r="H185" s="263" t="s"/>
      <c r="I185" s="263" t="s"/>
      <c r="J185" s="340" t="s"/>
      <c r="K185" s="340" t="s"/>
      <c r="L185" s="263" t="s"/>
      <c r="M185" s="263" t="s"/>
      <c r="N185" s="263" t="s"/>
      <c r="O185" s="263" t="s"/>
      <c r="P185" s="263" t="s"/>
      <c r="Q185" s="263" t="s"/>
      <c r="R185" s="263" t="s"/>
      <c r="S185" s="263" t="s"/>
      <c r="T185" s="263" t="s"/>
      <c r="U185" s="263" t="s"/>
      <c r="V185" s="263" t="s"/>
      <c r="W185" s="263" t="s"/>
      <c r="X185" s="263" t="s"/>
      <c r="Y185" s="263" t="s"/>
    </row>
    <row r="186" spans="1:25" customHeight="false">
      <c r="A186" s="263" t="s"/>
      <c r="B186" s="263" t="s"/>
      <c r="C186" s="263" t="s"/>
      <c r="D186" s="263" t="s"/>
      <c r="E186" s="263" t="s"/>
      <c r="F186" s="263" t="s"/>
      <c r="G186" s="263" t="s"/>
      <c r="H186" s="263" t="s"/>
      <c r="I186" s="263" t="s"/>
      <c r="J186" s="340" t="s"/>
      <c r="K186" s="340" t="s"/>
      <c r="L186" s="263" t="s"/>
      <c r="M186" s="263" t="s"/>
      <c r="N186" s="263" t="s"/>
      <c r="O186" s="263" t="s"/>
      <c r="P186" s="263" t="s"/>
      <c r="Q186" s="263" t="s"/>
      <c r="R186" s="263" t="s"/>
      <c r="S186" s="263" t="s"/>
      <c r="T186" s="263" t="s"/>
      <c r="U186" s="263" t="s"/>
      <c r="V186" s="263" t="s"/>
      <c r="W186" s="263" t="s"/>
      <c r="X186" s="263" t="s"/>
      <c r="Y186" s="263" t="s"/>
    </row>
    <row r="187" spans="1:25" customHeight="false">
      <c r="A187" s="263" t="s"/>
      <c r="B187" s="263" t="s"/>
      <c r="C187" s="263" t="s"/>
      <c r="D187" s="263" t="s"/>
      <c r="E187" s="263" t="s"/>
      <c r="F187" s="263" t="s"/>
      <c r="G187" s="263" t="s"/>
      <c r="H187" s="263" t="s"/>
      <c r="I187" s="263" t="s"/>
      <c r="J187" s="340" t="s"/>
      <c r="K187" s="340" t="s"/>
      <c r="L187" s="263" t="s"/>
      <c r="M187" s="263" t="s"/>
      <c r="N187" s="263" t="s"/>
      <c r="O187" s="263" t="s"/>
      <c r="P187" s="263" t="s"/>
      <c r="Q187" s="263" t="s"/>
      <c r="R187" s="263" t="s"/>
      <c r="S187" s="263" t="s"/>
      <c r="T187" s="263" t="s"/>
      <c r="U187" s="263" t="s"/>
      <c r="V187" s="263" t="s"/>
      <c r="W187" s="263" t="s"/>
      <c r="X187" s="263" t="s"/>
      <c r="Y187" s="263" t="s"/>
    </row>
    <row r="188" spans="1:25" customHeight="false">
      <c r="A188" s="263" t="s"/>
      <c r="B188" s="263" t="s"/>
      <c r="C188" s="263" t="s"/>
      <c r="D188" s="263" t="s"/>
      <c r="E188" s="263" t="s"/>
      <c r="F188" s="263" t="s"/>
      <c r="G188" s="263" t="s"/>
      <c r="H188" s="263" t="s"/>
      <c r="I188" s="263" t="s"/>
      <c r="J188" s="340" t="s"/>
      <c r="K188" s="340" t="s"/>
      <c r="L188" s="263" t="s"/>
      <c r="M188" s="263" t="s"/>
      <c r="N188" s="263" t="s"/>
      <c r="O188" s="263" t="s"/>
      <c r="P188" s="263" t="s"/>
      <c r="Q188" s="263" t="s"/>
      <c r="R188" s="263" t="s"/>
      <c r="S188" s="263" t="s"/>
      <c r="T188" s="263" t="s"/>
      <c r="U188" s="263" t="s"/>
      <c r="V188" s="263" t="s"/>
      <c r="W188" s="263" t="s"/>
      <c r="X188" s="263" t="s"/>
      <c r="Y188" s="263" t="s"/>
    </row>
    <row r="189" spans="1:25" customHeight="false">
      <c r="A189" s="263" t="s"/>
      <c r="B189" s="263" t="s"/>
      <c r="C189" s="263" t="s"/>
      <c r="D189" s="263" t="s"/>
      <c r="E189" s="263" t="s"/>
      <c r="F189" s="263" t="s"/>
      <c r="G189" s="263" t="s"/>
      <c r="H189" s="263" t="s"/>
      <c r="I189" s="263" t="s"/>
      <c r="J189" s="340" t="s"/>
      <c r="K189" s="340" t="s"/>
      <c r="L189" s="263" t="s"/>
      <c r="M189" s="263" t="s"/>
      <c r="N189" s="263" t="s"/>
      <c r="O189" s="263" t="s"/>
      <c r="P189" s="263" t="s"/>
      <c r="Q189" s="263" t="s"/>
      <c r="R189" s="263" t="s"/>
      <c r="S189" s="263" t="s"/>
      <c r="T189" s="263" t="s"/>
      <c r="U189" s="263" t="s"/>
      <c r="V189" s="263" t="s"/>
      <c r="W189" s="263" t="s"/>
      <c r="X189" s="263" t="s"/>
      <c r="Y189" s="263" t="s"/>
    </row>
    <row r="190" spans="1:25" customHeight="false">
      <c r="A190" s="263" t="s"/>
      <c r="B190" s="263" t="s"/>
      <c r="C190" s="263" t="s"/>
      <c r="D190" s="263" t="s"/>
      <c r="E190" s="263" t="s"/>
      <c r="F190" s="263" t="s"/>
      <c r="G190" s="263" t="s"/>
      <c r="H190" s="263" t="s"/>
      <c r="I190" s="263" t="s"/>
      <c r="J190" s="340" t="s"/>
      <c r="K190" s="340" t="s"/>
      <c r="L190" s="263" t="s"/>
      <c r="M190" s="263" t="s"/>
      <c r="N190" s="263" t="s"/>
      <c r="O190" s="263" t="s"/>
      <c r="P190" s="263" t="s"/>
      <c r="Q190" s="263" t="s"/>
      <c r="R190" s="263" t="s"/>
      <c r="S190" s="263" t="s"/>
      <c r="T190" s="263" t="s"/>
      <c r="U190" s="263" t="s"/>
      <c r="V190" s="263" t="s"/>
      <c r="W190" s="263" t="s"/>
      <c r="X190" s="263" t="s"/>
      <c r="Y190" s="263" t="s"/>
    </row>
    <row r="191" spans="1:25" customHeight="false">
      <c r="A191" s="263" t="s"/>
      <c r="B191" s="263" t="s"/>
      <c r="C191" s="263" t="s"/>
      <c r="D191" s="263" t="s"/>
      <c r="E191" s="263" t="s"/>
      <c r="F191" s="263" t="s"/>
      <c r="G191" s="263" t="s"/>
      <c r="H191" s="263" t="s"/>
      <c r="I191" s="263" t="s"/>
      <c r="J191" s="340" t="s"/>
      <c r="K191" s="340" t="s"/>
      <c r="L191" s="263" t="s"/>
      <c r="M191" s="263" t="s"/>
      <c r="N191" s="263" t="s"/>
      <c r="O191" s="263" t="s"/>
      <c r="P191" s="263" t="s"/>
      <c r="Q191" s="263" t="s"/>
      <c r="R191" s="263" t="s"/>
      <c r="S191" s="263" t="s"/>
      <c r="T191" s="263" t="s"/>
      <c r="U191" s="263" t="s"/>
      <c r="V191" s="263" t="s"/>
      <c r="W191" s="263" t="s"/>
      <c r="X191" s="263" t="s"/>
      <c r="Y191" s="263" t="s"/>
    </row>
    <row r="192" spans="1:25" customHeight="false">
      <c r="A192" s="263" t="s"/>
      <c r="B192" s="263" t="s"/>
      <c r="C192" s="263" t="s"/>
      <c r="D192" s="263" t="s"/>
      <c r="E192" s="263" t="s"/>
      <c r="F192" s="263" t="s"/>
      <c r="G192" s="263" t="s"/>
      <c r="H192" s="263" t="s"/>
      <c r="I192" s="263" t="s"/>
      <c r="J192" s="340" t="s"/>
      <c r="K192" s="340" t="s"/>
      <c r="L192" s="263" t="s"/>
      <c r="M192" s="263" t="s"/>
      <c r="N192" s="263" t="s"/>
      <c r="O192" s="263" t="s"/>
      <c r="P192" s="263" t="s"/>
      <c r="Q192" s="263" t="s"/>
      <c r="R192" s="263" t="s"/>
      <c r="S192" s="263" t="s"/>
      <c r="T192" s="263" t="s"/>
      <c r="U192" s="263" t="s"/>
      <c r="V192" s="263" t="s"/>
      <c r="W192" s="263" t="s"/>
      <c r="X192" s="263" t="s"/>
      <c r="Y192" s="263" t="s"/>
    </row>
    <row r="193" spans="1:25" customHeight="false">
      <c r="A193" s="263" t="s"/>
      <c r="B193" s="263" t="s"/>
      <c r="C193" s="263" t="s"/>
      <c r="D193" s="263" t="s"/>
      <c r="E193" s="263" t="s"/>
      <c r="F193" s="263" t="s"/>
      <c r="G193" s="263" t="s"/>
      <c r="H193" s="263" t="s"/>
      <c r="I193" s="263" t="s"/>
      <c r="J193" s="340" t="s"/>
      <c r="K193" s="340" t="s"/>
      <c r="L193" s="263" t="s"/>
      <c r="M193" s="263" t="s"/>
      <c r="N193" s="263" t="s"/>
      <c r="O193" s="263" t="s"/>
      <c r="P193" s="263" t="s"/>
      <c r="Q193" s="263" t="s"/>
      <c r="R193" s="263" t="s"/>
      <c r="S193" s="263" t="s"/>
      <c r="T193" s="263" t="s"/>
      <c r="U193" s="263" t="s"/>
      <c r="V193" s="263" t="s"/>
      <c r="W193" s="263" t="s"/>
      <c r="X193" s="263" t="s"/>
      <c r="Y193" s="263" t="s"/>
    </row>
    <row r="194" spans="1:25" customHeight="false">
      <c r="A194" s="263" t="s"/>
      <c r="B194" s="263" t="s"/>
      <c r="C194" s="263" t="s"/>
      <c r="D194" s="263" t="s"/>
      <c r="E194" s="263" t="s"/>
      <c r="F194" s="263" t="s"/>
      <c r="G194" s="263" t="s"/>
      <c r="H194" s="263" t="s"/>
      <c r="I194" s="263" t="s"/>
      <c r="J194" s="340" t="s"/>
      <c r="K194" s="340" t="s"/>
      <c r="L194" s="263" t="s"/>
      <c r="M194" s="263" t="s"/>
      <c r="N194" s="263" t="s"/>
      <c r="O194" s="263" t="s"/>
      <c r="P194" s="263" t="s"/>
      <c r="Q194" s="263" t="s"/>
      <c r="R194" s="263" t="s"/>
      <c r="S194" s="263" t="s"/>
      <c r="T194" s="263" t="s"/>
      <c r="U194" s="263" t="s"/>
      <c r="V194" s="263" t="s"/>
      <c r="W194" s="263" t="s"/>
      <c r="X194" s="263" t="s"/>
      <c r="Y194" s="263" t="s"/>
    </row>
    <row r="195" spans="1:25" customHeight="false">
      <c r="A195" s="263" t="s"/>
      <c r="B195" s="263" t="s"/>
      <c r="C195" s="263" t="s"/>
      <c r="D195" s="263" t="s"/>
      <c r="E195" s="263" t="s"/>
      <c r="F195" s="263" t="s"/>
      <c r="G195" s="263" t="s"/>
      <c r="H195" s="263" t="s"/>
      <c r="I195" s="263" t="s"/>
      <c r="J195" s="340" t="s"/>
      <c r="K195" s="340" t="s"/>
      <c r="L195" s="263" t="s"/>
      <c r="M195" s="263" t="s"/>
      <c r="N195" s="263" t="s"/>
      <c r="O195" s="263" t="s"/>
      <c r="P195" s="263" t="s"/>
      <c r="Q195" s="263" t="s"/>
      <c r="R195" s="263" t="s"/>
      <c r="S195" s="263" t="s"/>
      <c r="T195" s="263" t="s"/>
      <c r="U195" s="263" t="s"/>
      <c r="V195" s="263" t="s"/>
      <c r="W195" s="263" t="s"/>
      <c r="X195" s="263" t="s"/>
      <c r="Y195" s="263" t="s"/>
    </row>
    <row r="196" spans="1:25" customHeight="false">
      <c r="A196" s="263" t="s"/>
      <c r="B196" s="263" t="s"/>
      <c r="C196" s="263" t="s"/>
      <c r="D196" s="263" t="s"/>
      <c r="E196" s="263" t="s"/>
      <c r="F196" s="263" t="s"/>
      <c r="G196" s="263" t="s"/>
      <c r="H196" s="263" t="s"/>
      <c r="I196" s="263" t="s"/>
      <c r="J196" s="340" t="s"/>
      <c r="K196" s="340" t="s"/>
      <c r="L196" s="263" t="s"/>
      <c r="M196" s="263" t="s"/>
      <c r="N196" s="263" t="s"/>
      <c r="O196" s="263" t="s"/>
      <c r="P196" s="263" t="s"/>
      <c r="Q196" s="263" t="s"/>
      <c r="R196" s="263" t="s"/>
      <c r="S196" s="263" t="s"/>
      <c r="T196" s="263" t="s"/>
      <c r="U196" s="263" t="s"/>
      <c r="V196" s="263" t="s"/>
      <c r="W196" s="263" t="s"/>
      <c r="X196" s="263" t="s"/>
      <c r="Y196" s="263" t="s"/>
    </row>
    <row r="197" spans="1:25" customHeight="false">
      <c r="A197" s="263" t="s"/>
      <c r="B197" s="263" t="s"/>
      <c r="C197" s="263" t="s"/>
      <c r="D197" s="263" t="s"/>
      <c r="E197" s="263" t="s"/>
      <c r="F197" s="263" t="s"/>
      <c r="G197" s="263" t="s"/>
      <c r="H197" s="263" t="s"/>
      <c r="I197" s="263" t="s"/>
      <c r="J197" s="340" t="s"/>
      <c r="K197" s="340" t="s"/>
      <c r="L197" s="263" t="s"/>
      <c r="M197" s="263" t="s"/>
      <c r="N197" s="263" t="s"/>
      <c r="O197" s="263" t="s"/>
      <c r="P197" s="263" t="s"/>
      <c r="Q197" s="263" t="s"/>
      <c r="R197" s="263" t="s"/>
      <c r="S197" s="263" t="s"/>
      <c r="T197" s="263" t="s"/>
      <c r="U197" s="263" t="s"/>
      <c r="V197" s="263" t="s"/>
      <c r="W197" s="263" t="s"/>
      <c r="X197" s="263" t="s"/>
      <c r="Y197" s="263" t="s"/>
    </row>
    <row r="198" spans="1:25" customHeight="false">
      <c r="A198" s="263" t="s"/>
      <c r="B198" s="263" t="s"/>
      <c r="C198" s="263" t="s"/>
      <c r="D198" s="263" t="s"/>
      <c r="E198" s="263" t="s"/>
      <c r="F198" s="263" t="s"/>
      <c r="G198" s="263" t="s"/>
      <c r="H198" s="263" t="s"/>
      <c r="I198" s="263" t="s"/>
      <c r="J198" s="340" t="s"/>
      <c r="K198" s="340" t="s"/>
      <c r="L198" s="263" t="s"/>
      <c r="M198" s="263" t="s"/>
      <c r="N198" s="263" t="s"/>
      <c r="O198" s="263" t="s"/>
      <c r="P198" s="263" t="s"/>
      <c r="Q198" s="263" t="s"/>
      <c r="R198" s="263" t="s"/>
      <c r="S198" s="263" t="s"/>
      <c r="T198" s="263" t="s"/>
      <c r="U198" s="263" t="s"/>
      <c r="V198" s="263" t="s"/>
      <c r="W198" s="263" t="s"/>
      <c r="X198" s="263" t="s"/>
      <c r="Y198" s="263" t="s"/>
    </row>
    <row r="199" spans="1:25" customHeight="false">
      <c r="A199" s="263" t="s"/>
      <c r="B199" s="263" t="s"/>
      <c r="C199" s="263" t="s"/>
      <c r="D199" s="263" t="s"/>
      <c r="E199" s="263" t="s"/>
      <c r="F199" s="263" t="s"/>
      <c r="G199" s="263" t="s"/>
      <c r="H199" s="263" t="s"/>
      <c r="I199" s="263" t="s"/>
      <c r="J199" s="340" t="s"/>
      <c r="K199" s="340" t="s"/>
      <c r="L199" s="263" t="s"/>
      <c r="M199" s="263" t="s"/>
      <c r="N199" s="263" t="s"/>
      <c r="O199" s="263" t="s"/>
      <c r="P199" s="263" t="s"/>
      <c r="Q199" s="263" t="s"/>
      <c r="R199" s="263" t="s"/>
      <c r="S199" s="263" t="s"/>
      <c r="T199" s="263" t="s"/>
      <c r="U199" s="263" t="s"/>
      <c r="V199" s="263" t="s"/>
      <c r="W199" s="263" t="s"/>
      <c r="X199" s="263" t="s"/>
      <c r="Y199" s="263" t="s"/>
    </row>
    <row r="200" spans="1:25" customHeight="false">
      <c r="A200" s="263" t="s"/>
      <c r="B200" s="263" t="s"/>
      <c r="C200" s="263" t="s"/>
      <c r="D200" s="263" t="s"/>
      <c r="E200" s="263" t="s"/>
      <c r="F200" s="263" t="s"/>
      <c r="G200" s="263" t="s"/>
      <c r="H200" s="263" t="s"/>
      <c r="I200" s="263" t="s"/>
      <c r="J200" s="340" t="s"/>
      <c r="K200" s="340" t="s"/>
      <c r="L200" s="263" t="s"/>
      <c r="M200" s="263" t="s"/>
      <c r="N200" s="263" t="s"/>
      <c r="O200" s="263" t="s"/>
      <c r="P200" s="263" t="s"/>
      <c r="Q200" s="263" t="s"/>
      <c r="R200" s="263" t="s"/>
      <c r="S200" s="263" t="s"/>
      <c r="T200" s="263" t="s"/>
      <c r="U200" s="263" t="s"/>
      <c r="V200" s="263" t="s"/>
      <c r="W200" s="263" t="s"/>
      <c r="X200" s="263" t="s"/>
      <c r="Y200" s="263" t="s"/>
    </row>
    <row r="201" spans="1:25" customHeight="false">
      <c r="A201" s="263" t="s"/>
      <c r="B201" s="263" t="s"/>
      <c r="C201" s="263" t="s"/>
      <c r="D201" s="263" t="s"/>
      <c r="E201" s="263" t="s"/>
      <c r="F201" s="263" t="s"/>
      <c r="G201" s="263" t="s"/>
      <c r="H201" s="263" t="s"/>
      <c r="I201" s="263" t="s"/>
      <c r="J201" s="340" t="s"/>
      <c r="K201" s="340" t="s"/>
      <c r="L201" s="263" t="s"/>
      <c r="M201" s="263" t="s"/>
      <c r="N201" s="263" t="s"/>
      <c r="O201" s="263" t="s"/>
      <c r="P201" s="263" t="s"/>
      <c r="Q201" s="263" t="s"/>
      <c r="R201" s="263" t="s"/>
      <c r="S201" s="263" t="s"/>
      <c r="T201" s="263" t="s"/>
      <c r="U201" s="263" t="s"/>
      <c r="V201" s="263" t="s"/>
      <c r="W201" s="263" t="s"/>
      <c r="X201" s="263" t="s"/>
      <c r="Y201" s="263" t="s"/>
    </row>
  </sheetData>
  <mergeCells count="7">
    <mergeCell ref="A1:J1"/>
    <mergeCell ref="C2:G2"/>
    <mergeCell ref="N67:Q67"/>
    <mergeCell ref="T67:W67"/>
    <mergeCell ref="A2:A3"/>
    <mergeCell ref="B2:B3"/>
    <mergeCell ref="K2:K3"/>
  </mergeCells>
</worksheet>
</file>

<file path=xl/worksheets/sheet10.xml><?xml version="1.0" encoding="utf-8"?>
<worksheet xmlns="http://schemas.openxmlformats.org/spreadsheetml/2006/main">
  <sheetPr>
    <tabColor rgb="FFFFFFFF"/>
  </sheetPr>
  <dimension ref="AA201"/>
  <sheetViews>
    <sheetView showGridLines="true" rightToLeft="false" workbookViewId="0"/>
  </sheetViews>
  <cols>
    <col min="1" max="1" width="6.57422" customWidth="true"/>
    <col min="2" max="2" width="17.293" customWidth="true"/>
    <col min="3" max="3" width="7.00391" customWidth="true"/>
    <col min="4" max="5" width="12.1445" customWidth="true"/>
    <col min="6" max="6" width="13.5742" customWidth="true"/>
    <col min="7" max="10" width="12.1445" customWidth="true"/>
    <col min="11" max="11" width="13.0039" customWidth="true"/>
    <col min="12" max="12" width="12.1445" customWidth="true"/>
    <col min="13" max="13" width="13.293" customWidth="true"/>
    <col min="14" max="14" width="15.0039" customWidth="true"/>
    <col min="15" max="15" width="10.293" customWidth="true"/>
    <col min="16" max="16" width="11.8633" customWidth="true"/>
    <col min="17" max="17" width="17.1523" customWidth="true"/>
    <col min="18" max="19" width="10.293" customWidth="true"/>
    <col min="20" max="20" width="13.293" customWidth="true"/>
    <col min="21" max="21" width="15.0039" customWidth="true"/>
    <col min="22" max="22" width="10.8633" customWidth="true"/>
    <col min="23" max="23" width="12.0039" customWidth="true"/>
    <col min="24" max="24" width="10.8633" customWidth="true"/>
    <col min="25" max="25" width="10.293" customWidth="true"/>
    <col min="26" max="27" width="11.8633" customWidth="true"/>
  </cols>
  <sheetData>
    <row r="1" spans="1:27" customHeight="false">
      <c r="A1" s="191" t="s">
        <v>257</v>
      </c>
      <c r="B1" s="192" t="s"/>
      <c r="C1" s="192" t="s"/>
      <c r="D1" s="192" t="s"/>
      <c r="E1" s="192" t="s"/>
      <c r="F1" s="192" t="s"/>
      <c r="G1" s="192" t="s"/>
      <c r="H1" s="192" t="s"/>
      <c r="I1" s="192" t="s"/>
      <c r="J1" s="192" t="s"/>
      <c r="K1" s="192" t="s"/>
      <c r="L1" s="192" t="s"/>
      <c r="M1" s="192" t="s"/>
      <c r="N1" s="192" t="s"/>
      <c r="O1" s="192" t="s"/>
      <c r="P1" s="191" t="s"/>
      <c r="Q1" s="191" t="s"/>
      <c r="R1" s="191" t="s"/>
      <c r="S1" s="191" t="s"/>
      <c r="T1" s="191" t="s"/>
      <c r="U1" s="191" t="s"/>
      <c r="V1" s="191" t="s"/>
      <c r="W1" s="191" t="s"/>
      <c r="X1" s="191" t="s"/>
      <c r="Y1" s="191" t="s"/>
      <c r="Z1" s="192" t="s">
        <v>258</v>
      </c>
      <c r="AA1" s="192" t="s">
        <v>259</v>
      </c>
    </row>
    <row r="2" spans="1:27" customHeight="false">
      <c r="A2" s="191" t="s">
        <v>260</v>
      </c>
      <c r="B2" s="192" t="s"/>
      <c r="C2" s="192" t="s"/>
      <c r="D2" s="192" t="s"/>
      <c r="E2" s="192" t="s"/>
      <c r="F2" s="192" t="s"/>
      <c r="G2" s="192" t="s"/>
      <c r="H2" s="192" t="s"/>
      <c r="I2" s="192" t="s"/>
      <c r="J2" s="192" t="s"/>
      <c r="K2" s="192" t="s"/>
      <c r="L2" s="192" t="s"/>
      <c r="M2" s="192" t="s"/>
      <c r="N2" s="192" t="s"/>
      <c r="O2" s="192" t="s"/>
      <c r="P2" s="191" t="s"/>
      <c r="Q2" s="191" t="s"/>
      <c r="R2" s="191" t="s"/>
      <c r="S2" s="191" t="s"/>
      <c r="T2" s="191" t="s"/>
      <c r="U2" s="191" t="s"/>
      <c r="V2" s="191" t="s"/>
      <c r="W2" s="191" t="s"/>
      <c r="X2" s="191" t="s"/>
      <c r="Y2" s="191" t="s"/>
      <c r="Z2" s="192" t="s"/>
      <c r="AA2" s="192" t="s"/>
    </row>
    <row r="3" spans="1:27" customHeight="false">
      <c r="A3" s="193" t="s">
        <v>2524</v>
      </c>
      <c r="B3" s="193" t="s"/>
      <c r="C3" s="193" t="s"/>
      <c r="D3" s="193" t="s"/>
      <c r="E3" s="193" t="s"/>
      <c r="F3" s="193" t="s"/>
      <c r="G3" s="193" t="s"/>
      <c r="H3" s="193" t="s"/>
      <c r="I3" s="193" t="s"/>
      <c r="J3" s="193" t="s"/>
      <c r="K3" s="193" t="s"/>
      <c r="L3" s="193" t="s"/>
      <c r="M3" s="193" t="s"/>
      <c r="N3" s="193" t="s"/>
      <c r="O3" s="193" t="s"/>
      <c r="P3" s="194" t="s"/>
      <c r="Q3" s="195" t="s"/>
      <c r="R3" s="195" t="s"/>
      <c r="S3" s="195" t="s"/>
      <c r="T3" s="195" t="s"/>
      <c r="U3" s="195" t="s"/>
      <c r="V3" s="195" t="s"/>
      <c r="W3" s="195" t="s"/>
      <c r="X3" s="195" t="s"/>
      <c r="Y3" s="195" t="s"/>
      <c r="Z3" s="192" t="s"/>
      <c r="AA3" s="192" t="s"/>
    </row>
    <row r="4" spans="1:27" customHeight="false">
      <c r="A4" s="193" t="s"/>
      <c r="B4" s="193" t="s"/>
      <c r="C4" s="193" t="s"/>
      <c r="D4" s="193" t="s"/>
      <c r="E4" s="193" t="s"/>
      <c r="F4" s="193" t="s"/>
      <c r="G4" s="193" t="s"/>
      <c r="H4" s="193" t="s"/>
      <c r="I4" s="193" t="s"/>
      <c r="J4" s="193" t="s"/>
      <c r="K4" s="193" t="s"/>
      <c r="L4" s="193" t="s"/>
      <c r="M4" s="193" t="s"/>
      <c r="N4" s="193" t="s"/>
      <c r="O4" s="193" t="s"/>
      <c r="P4" s="194" t="s"/>
      <c r="Q4" s="195" t="s"/>
      <c r="R4" s="195" t="s"/>
      <c r="S4" s="195" t="s"/>
      <c r="T4" s="195" t="s"/>
      <c r="U4" s="195" t="s"/>
      <c r="V4" s="195" t="s"/>
      <c r="W4" s="195" t="s"/>
      <c r="X4" s="195" t="s"/>
      <c r="Y4" s="195" t="s"/>
      <c r="Z4" s="192" t="s"/>
      <c r="AA4" s="192" t="s"/>
    </row>
    <row r="5" spans="1:27" customHeight="false">
      <c r="A5" s="193" t="s"/>
      <c r="B5" s="193" t="s"/>
      <c r="C5" s="193" t="s"/>
      <c r="D5" s="193" t="s"/>
      <c r="E5" s="193" t="s"/>
      <c r="F5" s="193" t="s"/>
      <c r="G5" s="193" t="s"/>
      <c r="H5" s="193" t="s"/>
      <c r="I5" s="193" t="s"/>
      <c r="J5" s="193" t="s"/>
      <c r="K5" s="193" t="s"/>
      <c r="L5" s="193" t="s"/>
      <c r="M5" s="193" t="s"/>
      <c r="N5" s="193" t="s"/>
      <c r="O5" s="193" t="s"/>
      <c r="P5" s="194" t="s"/>
      <c r="Q5" s="195" t="s"/>
      <c r="R5" s="195" t="s"/>
      <c r="S5" s="195" t="s"/>
      <c r="T5" s="195" t="s"/>
      <c r="U5" s="195" t="s"/>
      <c r="V5" s="195" t="s"/>
      <c r="W5" s="195" t="s"/>
      <c r="X5" s="195" t="s"/>
      <c r="Y5" s="195" t="s"/>
      <c r="Z5" s="192" t="s"/>
      <c r="AA5" s="192" t="s"/>
    </row>
    <row r="6" spans="1:27" customHeight="false">
      <c r="A6" s="191" t="s">
        <v>261</v>
      </c>
      <c r="B6" s="192" t="s"/>
      <c r="C6" s="192" t="s"/>
      <c r="D6" s="192" t="s"/>
      <c r="E6" s="192" t="s"/>
      <c r="F6" s="192" t="s"/>
      <c r="G6" s="192" t="s"/>
      <c r="H6" s="192" t="s"/>
      <c r="I6" s="192" t="s"/>
      <c r="J6" s="192" t="s"/>
      <c r="K6" s="192" t="s"/>
      <c r="L6" s="192" t="s"/>
      <c r="M6" s="192" t="s"/>
      <c r="N6" s="192" t="s"/>
      <c r="O6" s="192" t="s"/>
      <c r="P6" s="192" t="s"/>
      <c r="Q6" s="192" t="s"/>
      <c r="R6" s="192" t="s"/>
      <c r="S6" s="192" t="s"/>
      <c r="T6" s="192" t="s"/>
      <c r="U6" s="192" t="s"/>
      <c r="V6" s="192" t="s"/>
      <c r="W6" s="192" t="s"/>
      <c r="X6" s="192" t="s"/>
      <c r="Y6" s="194" t="s"/>
      <c r="Z6" s="192" t="s"/>
      <c r="AA6" s="192" t="s"/>
    </row>
    <row r="7" spans="1:27" customHeight="false">
      <c r="A7" s="196" t="s"/>
      <c r="B7" s="197" t="s"/>
      <c r="C7" s="197" t="s"/>
      <c r="D7" s="197" t="s">
        <v>262</v>
      </c>
      <c r="E7" s="197" t="s"/>
      <c r="F7" s="197" t="s"/>
      <c r="G7" s="197" t="s">
        <v>263</v>
      </c>
      <c r="H7" s="197" t="s"/>
      <c r="I7" s="197" t="s"/>
      <c r="J7" s="197" t="s"/>
      <c r="K7" s="197" t="s"/>
      <c r="L7" s="198" t="s">
        <v>258</v>
      </c>
      <c r="M7" s="199" t="s"/>
      <c r="N7" s="199" t="s"/>
      <c r="O7" s="200" t="s"/>
      <c r="P7" s="192" t="s"/>
      <c r="Q7" s="192" t="s"/>
      <c r="R7" s="192" t="s"/>
      <c r="S7" s="192" t="s"/>
      <c r="T7" s="192" t="s"/>
      <c r="U7" s="192" t="s"/>
      <c r="V7" s="192" t="s"/>
      <c r="W7" s="192" t="s"/>
      <c r="X7" s="192" t="s"/>
      <c r="Y7" s="194" t="s"/>
      <c r="Z7" s="192" t="s"/>
      <c r="AA7" s="192" t="s"/>
    </row>
    <row r="8" spans="1:27" ht="40" customHeight="true">
      <c r="A8" s="201" t="s">
        <v>3</v>
      </c>
      <c r="B8" s="201" t="s">
        <v>264</v>
      </c>
      <c r="C8" s="201" t="s">
        <v>7</v>
      </c>
      <c r="D8" s="201" t="s">
        <v>265</v>
      </c>
      <c r="E8" s="201" t="s">
        <v>266</v>
      </c>
      <c r="F8" s="201" t="s">
        <v>267</v>
      </c>
      <c r="G8" s="201" t="s">
        <v>268</v>
      </c>
      <c r="H8" s="201" t="s">
        <v>269</v>
      </c>
      <c r="I8" s="201" t="s">
        <v>266</v>
      </c>
      <c r="J8" s="201" t="s">
        <v>270</v>
      </c>
      <c r="K8" s="201" t="s">
        <v>271</v>
      </c>
      <c r="L8" s="202" t="s"/>
      <c r="M8" s="203" t="s"/>
      <c r="N8" s="203" t="s"/>
      <c r="O8" s="204" t="s"/>
      <c r="P8" s="194" t="s"/>
      <c r="Q8" s="194" t="s"/>
      <c r="R8" s="194" t="s"/>
      <c r="S8" s="194" t="s"/>
      <c r="T8" s="194" t="s"/>
      <c r="U8" s="194" t="s"/>
      <c r="V8" s="194" t="s"/>
      <c r="W8" s="194" t="s"/>
      <c r="X8" s="194" t="s"/>
      <c r="Y8" s="194" t="s"/>
      <c r="Z8" s="192" t="s"/>
      <c r="AA8" s="192" t="s"/>
    </row>
    <row r="9" spans="1:27" ht="27" customHeight="true">
      <c r="A9" s="197">
        <v>1</v>
      </c>
      <c r="B9" s="205" t="s">
        <v>272</v>
      </c>
      <c r="C9" s="205" t="s">
        <v>273</v>
      </c>
      <c r="D9" s="206">
        <v>662</v>
      </c>
      <c r="E9" s="207">
        <v>100586.616314199</v>
      </c>
      <c r="F9" s="208">
        <f>=D9*E9/10000</f>
        <v>6658.83399999998</v>
      </c>
      <c r="G9" s="206">
        <f>=K9/I9*10000</f>
        <v>649.075815375485</v>
      </c>
      <c r="H9" s="206">
        <f>=G9-D9</f>
        <v>-12.9241846245153</v>
      </c>
      <c r="I9" s="207">
        <f>=E9</f>
        <v>100586.616314199</v>
      </c>
      <c r="J9" s="205">
        <v>130</v>
      </c>
      <c r="K9" s="208">
        <f>=F9-J9</f>
        <v>6528.83399999998</v>
      </c>
      <c r="L9" s="209" t="s">
        <v>274</v>
      </c>
      <c r="M9" s="209" t="s"/>
      <c r="N9" s="209" t="s"/>
      <c r="O9" s="209" t="s"/>
      <c r="P9" s="194" t="s"/>
      <c r="Q9" s="195" t="s"/>
      <c r="R9" s="194" t="s"/>
      <c r="S9" s="194" t="s"/>
      <c r="T9" s="194" t="s"/>
      <c r="U9" s="195" t="s"/>
      <c r="V9" s="195" t="s"/>
      <c r="W9" s="195" t="s"/>
      <c r="X9" s="194" t="s"/>
      <c r="Y9" s="194" t="s"/>
      <c r="Z9" s="194" t="s">
        <v>275</v>
      </c>
      <c r="AA9" s="194">
        <v>0.48</v>
      </c>
    </row>
    <row r="10" spans="1:27" ht="27" customHeight="true">
      <c r="A10" s="197">
        <v>2</v>
      </c>
      <c r="B10" s="205" t="s">
        <v>276</v>
      </c>
      <c r="C10" s="205" t="s">
        <v>277</v>
      </c>
      <c r="D10" s="206">
        <v>467240</v>
      </c>
      <c r="E10" s="207">
        <v>76.3941443369575</v>
      </c>
      <c r="F10" s="208">
        <f>=D10*E10/10000</f>
        <v>3569.44</v>
      </c>
      <c r="G10" s="206">
        <f>=K10/I10*10000</f>
        <v>401789.95741629</v>
      </c>
      <c r="H10" s="206">
        <f>=G10-D10</f>
        <v>-65450.0425837106</v>
      </c>
      <c r="I10" s="207">
        <f>=E10</f>
        <v>76.3941443369575</v>
      </c>
      <c r="J10" s="205">
        <v>500</v>
      </c>
      <c r="K10" s="208">
        <f>=F10-J10</f>
        <v>3069.44</v>
      </c>
      <c r="L10" s="209" t="s">
        <v>278</v>
      </c>
      <c r="M10" s="209" t="s"/>
      <c r="N10" s="209" t="s"/>
      <c r="O10" s="209" t="s"/>
      <c r="P10" s="194" t="s"/>
      <c r="Q10" s="195" t="s"/>
      <c r="R10" s="194" t="s"/>
      <c r="S10" s="194" t="s"/>
      <c r="T10" s="194" t="s"/>
      <c r="U10" s="195" t="s"/>
      <c r="V10" s="195" t="s"/>
      <c r="W10" s="195" t="s"/>
      <c r="X10" s="194" t="s"/>
      <c r="Y10" s="194" t="s"/>
      <c r="Z10" s="194" t="s">
        <v>275</v>
      </c>
      <c r="AA10" s="194">
        <v>0</v>
      </c>
    </row>
    <row r="11" spans="1:27" ht="27" customHeight="true">
      <c r="A11" s="197">
        <v>3</v>
      </c>
      <c r="B11" s="205" t="s">
        <v>279</v>
      </c>
      <c r="C11" s="205" t="s">
        <v>280</v>
      </c>
      <c r="D11" s="206">
        <v>42869.03</v>
      </c>
      <c r="E11" s="207">
        <v>3198</v>
      </c>
      <c r="F11" s="208">
        <f>=D11*E11/10000</f>
        <v>13709.515794</v>
      </c>
      <c r="G11" s="206">
        <f>=K11/I11*10000</f>
        <v>39742.0756535335</v>
      </c>
      <c r="H11" s="206">
        <f>=G11-D11</f>
        <v>-3126.95434646654</v>
      </c>
      <c r="I11" s="207">
        <f>=E11</f>
        <v>3198</v>
      </c>
      <c r="J11" s="205">
        <v>1000</v>
      </c>
      <c r="K11" s="208">
        <f>=F11-J11</f>
        <v>12709.515794</v>
      </c>
      <c r="L11" s="209" t="s">
        <v>281</v>
      </c>
      <c r="M11" s="209" t="s"/>
      <c r="N11" s="209" t="s"/>
      <c r="O11" s="209" t="s"/>
      <c r="P11" s="194" t="s"/>
      <c r="Q11" s="195" t="s"/>
      <c r="R11" s="194" t="s"/>
      <c r="S11" s="194" t="s"/>
      <c r="T11" s="194" t="s"/>
      <c r="U11" s="195" t="s"/>
      <c r="V11" s="195" t="s"/>
      <c r="W11" s="195" t="s"/>
      <c r="X11" s="194" t="s"/>
      <c r="Y11" s="194" t="s"/>
      <c r="Z11" s="194" t="s">
        <v>275</v>
      </c>
      <c r="AA11" s="194" t="s"/>
    </row>
    <row r="12" spans="1:27" ht="27" customHeight="true">
      <c r="A12" s="197">
        <v>4</v>
      </c>
      <c r="B12" s="205" t="s">
        <v>282</v>
      </c>
      <c r="C12" s="205" t="s">
        <v>280</v>
      </c>
      <c r="D12" s="205">
        <v>3200</v>
      </c>
      <c r="E12" s="205">
        <v>5000</v>
      </c>
      <c r="F12" s="208">
        <f>=D12*E12/10000</f>
        <v>1600</v>
      </c>
      <c r="G12" s="205">
        <f>=K12/I12*10000</f>
        <v>2600</v>
      </c>
      <c r="H12" s="206">
        <f>=G12-D12</f>
        <v>-600</v>
      </c>
      <c r="I12" s="205">
        <f>=E12</f>
        <v>5000</v>
      </c>
      <c r="J12" s="205">
        <v>300</v>
      </c>
      <c r="K12" s="208">
        <f>=F12-J12</f>
        <v>1300</v>
      </c>
      <c r="L12" s="209" t="s">
        <v>281</v>
      </c>
      <c r="M12" s="209" t="s"/>
      <c r="N12" s="209" t="s"/>
      <c r="O12" s="209" t="s"/>
      <c r="P12" s="194" t="s"/>
      <c r="Q12" s="195" t="s"/>
      <c r="R12" s="194" t="s"/>
      <c r="S12" s="194" t="s"/>
      <c r="T12" s="194" t="s"/>
      <c r="U12" s="195" t="s"/>
      <c r="V12" s="195" t="s"/>
      <c r="W12" s="195" t="s"/>
      <c r="X12" s="194" t="s"/>
      <c r="Y12" s="194" t="s"/>
      <c r="Z12" s="194" t="s">
        <v>275</v>
      </c>
      <c r="AA12" s="194" t="s"/>
    </row>
    <row r="13" spans="1:27" ht="27" customHeight="true">
      <c r="A13" s="197">
        <v>5</v>
      </c>
      <c r="B13" s="205" t="s">
        <v>283</v>
      </c>
      <c r="C13" s="205" t="s"/>
      <c r="D13" s="205" t="s"/>
      <c r="E13" s="205" t="s"/>
      <c r="F13" s="208">
        <f>=SUM(F14:F17)</f>
        <v>1730.7624</v>
      </c>
      <c r="G13" s="205" t="s"/>
      <c r="H13" s="205" t="s"/>
      <c r="I13" s="205" t="s"/>
      <c r="J13" s="205">
        <v>250</v>
      </c>
      <c r="K13" s="208">
        <f>=F13-J13</f>
        <v>1480.7624</v>
      </c>
      <c r="L13" s="209" t="s"/>
      <c r="M13" s="209" t="s"/>
      <c r="N13" s="209" t="s"/>
      <c r="O13" s="209" t="s"/>
      <c r="P13" s="194" t="s"/>
      <c r="Q13" s="195" t="s"/>
      <c r="R13" s="194" t="s"/>
      <c r="S13" s="194" t="s"/>
      <c r="T13" s="194" t="s"/>
      <c r="U13" s="195" t="s"/>
      <c r="V13" s="195" t="s"/>
      <c r="W13" s="195" t="s"/>
      <c r="X13" s="194" t="s"/>
      <c r="Y13" s="194" t="s"/>
      <c r="Z13" s="194" t="s">
        <v>275</v>
      </c>
      <c r="AA13" s="194" t="s"/>
    </row>
    <row r="14" spans="1:27" ht="27" customHeight="true">
      <c r="A14" s="197">
        <v>5.1</v>
      </c>
      <c r="B14" s="205" t="s">
        <v>284</v>
      </c>
      <c r="C14" s="205" t="s">
        <v>273</v>
      </c>
      <c r="D14" s="205">
        <v>1960</v>
      </c>
      <c r="E14" s="206">
        <v>7529.4</v>
      </c>
      <c r="F14" s="208">
        <f>=D14*E14/10000</f>
        <v>1475.7624</v>
      </c>
      <c r="G14" s="205" t="s"/>
      <c r="H14" s="205" t="s"/>
      <c r="I14" s="205" t="s"/>
      <c r="J14" s="205" t="s"/>
      <c r="K14" s="205" t="s"/>
      <c r="L14" s="209" t="s">
        <v>285</v>
      </c>
      <c r="M14" s="209" t="s"/>
      <c r="N14" s="209" t="s"/>
      <c r="O14" s="209" t="s"/>
      <c r="P14" s="194" t="s"/>
      <c r="Q14" s="195" t="s"/>
      <c r="R14" s="194" t="s"/>
      <c r="S14" s="194" t="s"/>
      <c r="T14" s="194" t="s"/>
      <c r="U14" s="195" t="s"/>
      <c r="V14" s="195" t="s"/>
      <c r="W14" s="195" t="s"/>
      <c r="X14" s="194" t="s"/>
      <c r="Y14" s="194" t="s"/>
      <c r="Z14" s="194" t="s">
        <v>275</v>
      </c>
      <c r="AA14" s="194" t="s"/>
    </row>
    <row r="15" spans="1:27" ht="27" customHeight="true">
      <c r="A15" s="197">
        <v>5.2</v>
      </c>
      <c r="B15" s="205" t="s">
        <v>286</v>
      </c>
      <c r="C15" s="205" t="s">
        <v>280</v>
      </c>
      <c r="D15" s="205">
        <v>400</v>
      </c>
      <c r="E15" s="206">
        <v>3000</v>
      </c>
      <c r="F15" s="208">
        <f>=D15*E15/10000</f>
        <v>120</v>
      </c>
      <c r="G15" s="205" t="s"/>
      <c r="H15" s="205" t="s"/>
      <c r="I15" s="205" t="s"/>
      <c r="J15" s="205" t="s"/>
      <c r="K15" s="205" t="s"/>
      <c r="L15" s="209" t="s">
        <v>281</v>
      </c>
      <c r="M15" s="209" t="s"/>
      <c r="N15" s="209" t="s"/>
      <c r="O15" s="209" t="s"/>
      <c r="P15" s="194" t="s"/>
      <c r="Q15" s="195" t="s"/>
      <c r="R15" s="194" t="s"/>
      <c r="S15" s="194" t="s"/>
      <c r="T15" s="194" t="s"/>
      <c r="U15" s="195" t="s"/>
      <c r="V15" s="195" t="s"/>
      <c r="W15" s="195" t="s"/>
      <c r="X15" s="194" t="s"/>
      <c r="Y15" s="194" t="s"/>
      <c r="Z15" s="194" t="s">
        <v>275</v>
      </c>
      <c r="AA15" s="194" t="s"/>
    </row>
    <row r="16" spans="1:27" ht="27" customHeight="true">
      <c r="A16" s="197">
        <v>5.3</v>
      </c>
      <c r="B16" s="205" t="s">
        <v>287</v>
      </c>
      <c r="C16" s="205" t="s">
        <v>280</v>
      </c>
      <c r="D16" s="205">
        <v>150</v>
      </c>
      <c r="E16" s="206">
        <v>3000</v>
      </c>
      <c r="F16" s="208">
        <f>=D16*E16/10000</f>
        <v>45</v>
      </c>
      <c r="G16" s="205" t="s"/>
      <c r="H16" s="205" t="s"/>
      <c r="I16" s="205" t="s"/>
      <c r="J16" s="205" t="s"/>
      <c r="K16" s="205" t="s"/>
      <c r="L16" s="209" t="s">
        <v>281</v>
      </c>
      <c r="M16" s="209" t="s"/>
      <c r="N16" s="209" t="s"/>
      <c r="O16" s="209" t="s"/>
      <c r="P16" s="194" t="s"/>
      <c r="Q16" s="195" t="s"/>
      <c r="R16" s="194" t="s"/>
      <c r="S16" s="194" t="s"/>
      <c r="T16" s="194" t="s"/>
      <c r="U16" s="195" t="s"/>
      <c r="V16" s="195" t="s"/>
      <c r="W16" s="195" t="s"/>
      <c r="X16" s="194" t="s"/>
      <c r="Y16" s="194" t="s"/>
      <c r="Z16" s="194" t="s">
        <v>275</v>
      </c>
      <c r="AA16" s="194" t="s"/>
    </row>
    <row r="17" spans="1:27" ht="27" customHeight="true">
      <c r="A17" s="197">
        <v>5.4</v>
      </c>
      <c r="B17" s="205" t="s">
        <v>288</v>
      </c>
      <c r="C17" s="205" t="s">
        <v>280</v>
      </c>
      <c r="D17" s="205">
        <v>300</v>
      </c>
      <c r="E17" s="206">
        <v>3000</v>
      </c>
      <c r="F17" s="208">
        <f>=D17*E17/10000</f>
        <v>90</v>
      </c>
      <c r="G17" s="205" t="s"/>
      <c r="H17" s="205" t="s"/>
      <c r="I17" s="205" t="s"/>
      <c r="J17" s="205" t="s"/>
      <c r="K17" s="205" t="s"/>
      <c r="L17" s="209" t="s">
        <v>281</v>
      </c>
      <c r="M17" s="209" t="s"/>
      <c r="N17" s="209" t="s"/>
      <c r="O17" s="209" t="s"/>
      <c r="P17" s="194" t="s"/>
      <c r="Q17" s="195" t="s"/>
      <c r="R17" s="194" t="s"/>
      <c r="S17" s="194" t="s"/>
      <c r="T17" s="194" t="s"/>
      <c r="U17" s="195" t="s"/>
      <c r="V17" s="195" t="s"/>
      <c r="W17" s="195" t="s"/>
      <c r="X17" s="194" t="s"/>
      <c r="Y17" s="194" t="s"/>
      <c r="Z17" s="194" t="s">
        <v>275</v>
      </c>
      <c r="AA17" s="194" t="s"/>
    </row>
    <row r="18" spans="1:27" ht="27" customHeight="true">
      <c r="A18" s="197">
        <v>6</v>
      </c>
      <c r="B18" s="205" t="s">
        <v>289</v>
      </c>
      <c r="C18" s="205" t="s">
        <v>290</v>
      </c>
      <c r="D18" s="205">
        <v>100000</v>
      </c>
      <c r="E18" s="206">
        <v>2905.71525</v>
      </c>
      <c r="F18" s="208">
        <f>=D18*E18/10000</f>
        <v>29057.1525</v>
      </c>
      <c r="G18" s="205" t="s"/>
      <c r="H18" s="205" t="s"/>
      <c r="I18" s="205" t="s"/>
      <c r="J18" s="205">
        <v>2000</v>
      </c>
      <c r="K18" s="208">
        <f>=F18-J18</f>
        <v>27057.1525</v>
      </c>
      <c r="L18" s="209" t="s">
        <v>291</v>
      </c>
      <c r="M18" s="209" t="s"/>
      <c r="N18" s="209" t="s"/>
      <c r="O18" s="209" t="s"/>
      <c r="P18" s="194" t="s"/>
      <c r="Q18" s="195" t="s"/>
      <c r="R18" s="194" t="s"/>
      <c r="S18" s="194" t="s"/>
      <c r="T18" s="194" t="s"/>
      <c r="U18" s="195" t="s"/>
      <c r="V18" s="195" t="s"/>
      <c r="W18" s="195" t="s"/>
      <c r="X18" s="194" t="s"/>
      <c r="Y18" s="194" t="s"/>
      <c r="Z18" s="194" t="s">
        <v>275</v>
      </c>
      <c r="AA18" s="194" t="s"/>
    </row>
    <row r="19" spans="1:27" ht="27" customHeight="true">
      <c r="A19" s="197" t="s"/>
      <c r="B19" s="205" t="s">
        <v>292</v>
      </c>
      <c r="C19" s="205" t="s"/>
      <c r="D19" s="205" t="s"/>
      <c r="E19" s="206" t="s"/>
      <c r="F19" s="208" t="s"/>
      <c r="G19" s="205" t="s"/>
      <c r="H19" s="205" t="s"/>
      <c r="I19" s="205" t="s"/>
      <c r="J19" s="205">
        <f>=J9+J10+J11+J12+J13+J18</f>
        <v>4180</v>
      </c>
      <c r="K19" s="208" t="s"/>
      <c r="L19" s="209" t="s"/>
      <c r="M19" s="209" t="s"/>
      <c r="N19" s="209" t="s"/>
      <c r="O19" s="209" t="s"/>
      <c r="P19" s="194" t="s"/>
      <c r="Q19" s="195" t="s"/>
      <c r="R19" s="194" t="s"/>
      <c r="S19" s="194" t="s"/>
      <c r="T19" s="194" t="s"/>
      <c r="U19" s="195" t="s"/>
      <c r="V19" s="195" t="s"/>
      <c r="W19" s="195" t="s"/>
      <c r="X19" s="194" t="s"/>
      <c r="Y19" s="194" t="s"/>
      <c r="Z19" s="194" t="s"/>
      <c r="AA19" s="194" t="s"/>
    </row>
    <row r="20" spans="1:27" ht="27" customHeight="true">
      <c r="A20" s="197" t="s"/>
      <c r="B20" s="210" t="s">
        <v>293</v>
      </c>
      <c r="C20" s="210" t="s">
        <v>290</v>
      </c>
      <c r="D20" s="210">
        <v>100000</v>
      </c>
      <c r="E20" s="211">
        <f>=F20/D20*10000</f>
        <v>7008.819746715</v>
      </c>
      <c r="F20" s="212">
        <v>70088.19746715</v>
      </c>
      <c r="G20" s="210">
        <f>=D20</f>
        <v>100000</v>
      </c>
      <c r="H20" s="210" t="s"/>
      <c r="I20" s="211">
        <f>=K20/G20*10000</f>
        <v>6590.819746715</v>
      </c>
      <c r="J20" s="210" t="s"/>
      <c r="K20" s="212">
        <f>=F20-J19</f>
        <v>65908.19746715</v>
      </c>
      <c r="L20" s="209" t="s"/>
      <c r="M20" s="209" t="s"/>
      <c r="N20" s="209" t="s"/>
      <c r="O20" s="209" t="s"/>
      <c r="P20" s="194" t="s"/>
      <c r="Q20" s="195" t="s"/>
      <c r="R20" s="194" t="s"/>
      <c r="S20" s="194" t="s"/>
      <c r="T20" s="194" t="s"/>
      <c r="U20" s="195" t="s"/>
      <c r="V20" s="195" t="s"/>
      <c r="W20" s="195" t="s"/>
      <c r="X20" s="194" t="s"/>
      <c r="Y20" s="194" t="s"/>
      <c r="Z20" s="194" t="s">
        <v>275</v>
      </c>
      <c r="AA20" s="194" t="s"/>
    </row>
    <row r="21" spans="1:27" ht="27" customHeight="true">
      <c r="A21" s="194" t="s"/>
      <c r="B21" s="194" t="s"/>
      <c r="C21" s="194" t="s"/>
      <c r="D21" s="194" t="s"/>
      <c r="E21" s="194" t="s"/>
      <c r="F21" s="195" t="s"/>
      <c r="G21" s="194" t="s"/>
      <c r="H21" s="194" t="s"/>
      <c r="I21" s="194" t="s"/>
      <c r="J21" s="194" t="s"/>
      <c r="K21" s="194" t="s"/>
      <c r="L21" s="194" t="s"/>
      <c r="M21" s="194" t="s"/>
      <c r="N21" s="195" t="s"/>
      <c r="O21" s="194" t="s"/>
      <c r="P21" s="194" t="s"/>
      <c r="Q21" s="195" t="s"/>
      <c r="R21" s="194" t="s"/>
      <c r="S21" s="194" t="s"/>
      <c r="T21" s="194" t="s"/>
      <c r="U21" s="195" t="s"/>
      <c r="V21" s="195" t="s"/>
      <c r="W21" s="195" t="s"/>
      <c r="X21" s="194" t="s"/>
      <c r="Y21" s="194" t="s"/>
      <c r="Z21" s="194" t="s">
        <v>275</v>
      </c>
      <c r="AA21" s="194" t="s"/>
    </row>
    <row r="22" spans="1:27" ht="27" customHeight="true">
      <c r="A22" s="194" t="s"/>
      <c r="B22" s="194" t="s"/>
      <c r="C22" s="194" t="s"/>
      <c r="D22" s="194" t="s"/>
      <c r="E22" s="194" t="s"/>
      <c r="F22" s="195" t="s"/>
      <c r="G22" s="194" t="s"/>
      <c r="H22" s="194" t="s"/>
      <c r="I22" s="194" t="s"/>
      <c r="J22" s="194" t="s"/>
      <c r="K22" s="194" t="s"/>
      <c r="L22" s="194" t="s"/>
      <c r="M22" s="194" t="s"/>
      <c r="N22" s="194" t="s"/>
      <c r="O22" s="194" t="s"/>
      <c r="P22" s="194" t="s"/>
      <c r="Q22" s="195" t="s"/>
      <c r="R22" s="194" t="s"/>
      <c r="S22" s="194" t="s"/>
      <c r="T22" s="194" t="s"/>
      <c r="U22" s="195" t="s"/>
      <c r="V22" s="195" t="s"/>
      <c r="W22" s="195" t="s"/>
      <c r="X22" s="194" t="s"/>
      <c r="Y22" s="194" t="s"/>
      <c r="Z22" s="194" t="s">
        <v>275</v>
      </c>
      <c r="AA22" s="194" t="s"/>
    </row>
    <row r="23" spans="1:27" ht="27" customHeight="true">
      <c r="A23" s="194" t="s"/>
      <c r="B23" s="194" t="s"/>
      <c r="C23" s="194" t="s"/>
      <c r="D23" s="194" t="s"/>
      <c r="E23" s="194" t="s"/>
      <c r="F23" s="195" t="s"/>
      <c r="G23" s="194" t="s"/>
      <c r="H23" s="194" t="s"/>
      <c r="I23" s="194" t="s"/>
      <c r="J23" s="194" t="s"/>
      <c r="K23" s="194" t="s"/>
      <c r="L23" s="194" t="s"/>
      <c r="M23" s="194" t="s"/>
      <c r="N23" s="195" t="s"/>
      <c r="O23" s="194" t="s"/>
      <c r="P23" s="194" t="s"/>
      <c r="Q23" s="195" t="s"/>
      <c r="R23" s="194" t="s"/>
      <c r="S23" s="194" t="s"/>
      <c r="T23" s="194" t="s"/>
      <c r="U23" s="195" t="s"/>
      <c r="V23" s="195" t="s"/>
      <c r="W23" s="195" t="s"/>
      <c r="X23" s="194" t="s"/>
      <c r="Y23" s="194" t="s"/>
      <c r="Z23" s="194" t="s">
        <v>275</v>
      </c>
      <c r="AA23" s="194" t="s"/>
    </row>
    <row r="24" spans="1:27" ht="27" customHeight="true">
      <c r="A24" s="194" t="s"/>
      <c r="B24" s="194" t="s"/>
      <c r="C24" s="194" t="s"/>
      <c r="D24" s="194" t="s"/>
      <c r="E24" s="194" t="s"/>
      <c r="F24" s="195" t="s"/>
      <c r="G24" s="194" t="s"/>
      <c r="H24" s="194" t="s"/>
      <c r="I24" s="194" t="s"/>
      <c r="J24" s="194" t="s"/>
      <c r="K24" s="194" t="s"/>
      <c r="L24" s="194" t="s"/>
      <c r="M24" s="194" t="s"/>
      <c r="N24" s="195" t="s"/>
      <c r="O24" s="194" t="s"/>
      <c r="P24" s="194" t="s"/>
      <c r="Q24" s="195" t="s"/>
      <c r="R24" s="194" t="s"/>
      <c r="S24" s="194" t="s"/>
      <c r="T24" s="194" t="s"/>
      <c r="U24" s="195" t="s"/>
      <c r="V24" s="195" t="s"/>
      <c r="W24" s="195" t="s"/>
      <c r="X24" s="194" t="s"/>
      <c r="Y24" s="194" t="s"/>
      <c r="Z24" s="194" t="s">
        <v>275</v>
      </c>
      <c r="AA24" s="194" t="s"/>
    </row>
    <row r="25" spans="1:27" ht="27" customHeight="true">
      <c r="A25" s="194" t="s"/>
      <c r="B25" s="194" t="s"/>
      <c r="C25" s="194" t="s"/>
      <c r="D25" s="194" t="s"/>
      <c r="E25" s="194" t="s"/>
      <c r="F25" s="195" t="s"/>
      <c r="G25" s="194" t="s"/>
      <c r="H25" s="194" t="s"/>
      <c r="I25" s="194" t="s"/>
      <c r="J25" s="194" t="s"/>
      <c r="K25" s="194" t="s"/>
      <c r="L25" s="194" t="s"/>
      <c r="M25" s="194" t="s"/>
      <c r="N25" s="195" t="s"/>
      <c r="O25" s="194" t="s"/>
      <c r="P25" s="194" t="s"/>
      <c r="Q25" s="195" t="s"/>
      <c r="R25" s="194" t="s"/>
      <c r="S25" s="194" t="s"/>
      <c r="T25" s="194" t="s"/>
      <c r="U25" s="195" t="s"/>
      <c r="V25" s="195" t="s"/>
      <c r="W25" s="195" t="s"/>
      <c r="X25" s="194" t="s"/>
      <c r="Y25" s="194" t="s"/>
      <c r="Z25" s="194" t="s">
        <v>275</v>
      </c>
      <c r="AA25" s="194" t="s"/>
    </row>
    <row r="26" spans="1:27" ht="27" customHeight="true">
      <c r="A26" s="194" t="s"/>
      <c r="B26" s="194" t="s"/>
      <c r="C26" s="194" t="s"/>
      <c r="D26" s="194" t="s"/>
      <c r="E26" s="194" t="s"/>
      <c r="F26" s="195" t="s"/>
      <c r="G26" s="194" t="s"/>
      <c r="H26" s="194" t="s"/>
      <c r="I26" s="194" t="s"/>
      <c r="J26" s="194" t="s"/>
      <c r="K26" s="194" t="s"/>
      <c r="L26" s="194" t="s"/>
      <c r="M26" s="194" t="s"/>
      <c r="N26" s="195" t="s"/>
      <c r="O26" s="194" t="s"/>
      <c r="P26" s="194" t="s"/>
      <c r="Q26" s="195" t="s"/>
      <c r="R26" s="194" t="s"/>
      <c r="S26" s="194" t="s"/>
      <c r="T26" s="194" t="s"/>
      <c r="U26" s="195" t="s"/>
      <c r="V26" s="195" t="s"/>
      <c r="W26" s="195" t="s"/>
      <c r="X26" s="194" t="s"/>
      <c r="Y26" s="194" t="s"/>
      <c r="Z26" s="194" t="s">
        <v>275</v>
      </c>
      <c r="AA26" s="194" t="s"/>
    </row>
    <row r="27" spans="1:27" customHeight="false">
      <c r="A27" s="194" t="s"/>
      <c r="B27" s="194" t="s"/>
      <c r="C27" s="194" t="s"/>
      <c r="D27" s="194" t="s"/>
      <c r="E27" s="194" t="s"/>
      <c r="F27" s="195" t="s"/>
      <c r="G27" s="194" t="s"/>
      <c r="H27" s="194" t="s"/>
      <c r="I27" s="194" t="s"/>
      <c r="J27" s="194" t="s"/>
      <c r="K27" s="194" t="s"/>
      <c r="L27" s="194" t="s"/>
      <c r="M27" s="194" t="s"/>
      <c r="N27" s="195" t="s"/>
      <c r="O27" s="194" t="s"/>
      <c r="P27" s="194" t="s"/>
      <c r="Q27" s="195" t="s"/>
      <c r="R27" s="194" t="s"/>
      <c r="S27" s="194" t="s"/>
      <c r="T27" s="194" t="s"/>
      <c r="U27" s="195" t="s"/>
      <c r="V27" s="195" t="s"/>
      <c r="W27" s="195" t="s"/>
      <c r="X27" s="194" t="s"/>
      <c r="Y27" s="194" t="s"/>
      <c r="Z27" s="194" t="s">
        <v>275</v>
      </c>
      <c r="AA27" s="194" t="s"/>
    </row>
    <row r="28" spans="1:27" customHeight="false">
      <c r="A28" s="194" t="s"/>
      <c r="B28" s="194" t="s"/>
      <c r="C28" s="194" t="s"/>
      <c r="D28" s="194" t="s"/>
      <c r="E28" s="194" t="s"/>
      <c r="F28" s="195" t="s"/>
      <c r="G28" s="194" t="s"/>
      <c r="H28" s="194" t="s"/>
      <c r="I28" s="194" t="s"/>
      <c r="J28" s="194" t="s"/>
      <c r="K28" s="194" t="s"/>
      <c r="L28" s="194" t="s"/>
      <c r="M28" s="194" t="s"/>
      <c r="N28" s="195" t="s"/>
      <c r="O28" s="194" t="s"/>
      <c r="P28" s="194" t="s"/>
      <c r="Q28" s="195" t="s"/>
      <c r="R28" s="194" t="s"/>
      <c r="S28" s="194" t="s"/>
      <c r="T28" s="194" t="s"/>
      <c r="U28" s="195" t="s"/>
      <c r="V28" s="195" t="s"/>
      <c r="W28" s="195" t="s"/>
      <c r="X28" s="194" t="s"/>
      <c r="Y28" s="194" t="s"/>
      <c r="Z28" s="194" t="s">
        <v>275</v>
      </c>
      <c r="AA28" s="194" t="s"/>
    </row>
    <row r="29" spans="1:27" customHeight="false">
      <c r="A29" s="194" t="s"/>
      <c r="B29" s="194" t="s"/>
      <c r="C29" s="194" t="s"/>
      <c r="D29" s="194" t="s"/>
      <c r="E29" s="194" t="s"/>
      <c r="F29" s="195" t="s"/>
      <c r="G29" s="194" t="s"/>
      <c r="H29" s="194" t="s"/>
      <c r="I29" s="194" t="s"/>
      <c r="J29" s="194" t="s"/>
      <c r="K29" s="194" t="s"/>
      <c r="L29" s="194" t="s"/>
      <c r="M29" s="194" t="s"/>
      <c r="N29" s="195" t="s"/>
      <c r="O29" s="194" t="s"/>
      <c r="P29" s="194" t="s"/>
      <c r="Q29" s="195" t="s"/>
      <c r="R29" s="194" t="s"/>
      <c r="S29" s="194" t="s"/>
      <c r="T29" s="194" t="s"/>
      <c r="U29" s="195" t="s"/>
      <c r="V29" s="195" t="s"/>
      <c r="W29" s="195" t="s"/>
      <c r="X29" s="194" t="s"/>
      <c r="Y29" s="194" t="s"/>
      <c r="Z29" s="194" t="s">
        <v>275</v>
      </c>
      <c r="AA29" s="194" t="s"/>
    </row>
    <row r="30" spans="1:27" customHeight="false">
      <c r="A30" s="194" t="s"/>
      <c r="B30" s="194" t="s"/>
      <c r="C30" s="194" t="s"/>
      <c r="D30" s="194" t="s"/>
      <c r="E30" s="194" t="s"/>
      <c r="F30" s="195" t="s"/>
      <c r="G30" s="194" t="s"/>
      <c r="H30" s="194" t="s"/>
      <c r="I30" s="194" t="s"/>
      <c r="J30" s="194" t="s"/>
      <c r="K30" s="194" t="s"/>
      <c r="L30" s="194" t="s"/>
      <c r="M30" s="194" t="s"/>
      <c r="N30" s="194" t="s"/>
      <c r="O30" s="194" t="s"/>
      <c r="P30" s="194" t="s"/>
      <c r="Q30" s="195" t="s"/>
      <c r="R30" s="194" t="s"/>
      <c r="S30" s="194" t="s"/>
      <c r="T30" s="194" t="s"/>
      <c r="U30" s="195" t="s"/>
      <c r="V30" s="195" t="s"/>
      <c r="W30" s="195" t="s"/>
      <c r="X30" s="194" t="s"/>
      <c r="Y30" s="194" t="s"/>
      <c r="Z30" s="194" t="s"/>
      <c r="AA30" s="194" t="s"/>
    </row>
    <row r="31" spans="1:27" customHeight="false">
      <c r="A31" s="194" t="s"/>
      <c r="B31" s="194" t="s"/>
      <c r="C31" s="194" t="s"/>
      <c r="D31" s="194" t="s"/>
      <c r="E31" s="194" t="s"/>
      <c r="F31" s="195" t="s"/>
      <c r="G31" s="194" t="s"/>
      <c r="H31" s="194" t="s"/>
      <c r="I31" s="194" t="s"/>
      <c r="J31" s="194" t="s"/>
      <c r="K31" s="194" t="s"/>
      <c r="L31" s="194" t="s"/>
      <c r="M31" s="194" t="s"/>
      <c r="N31" s="194" t="s"/>
      <c r="O31" s="194" t="s"/>
      <c r="P31" s="194" t="s"/>
      <c r="Q31" s="195" t="s"/>
      <c r="R31" s="194" t="s"/>
      <c r="S31" s="194" t="s"/>
      <c r="T31" s="194" t="s"/>
      <c r="U31" s="195" t="s"/>
      <c r="V31" s="195" t="s"/>
      <c r="W31" s="195" t="s"/>
      <c r="X31" s="194" t="s"/>
      <c r="Y31" s="194" t="s"/>
      <c r="Z31" s="194" t="s"/>
      <c r="AA31" s="194" t="s"/>
    </row>
    <row r="32" spans="1:27" customHeight="false">
      <c r="A32" s="194" t="s"/>
      <c r="B32" s="194" t="s"/>
      <c r="C32" s="194" t="s"/>
      <c r="D32" s="194" t="s"/>
      <c r="E32" s="194" t="s"/>
      <c r="F32" s="195" t="s"/>
      <c r="G32" s="194" t="s"/>
      <c r="H32" s="194" t="s"/>
      <c r="I32" s="194" t="s"/>
      <c r="J32" s="194" t="s"/>
      <c r="K32" s="194" t="s"/>
      <c r="L32" s="194" t="s"/>
      <c r="M32" s="194" t="s"/>
      <c r="N32" s="194" t="s"/>
      <c r="O32" s="194" t="s"/>
      <c r="P32" s="194" t="s"/>
      <c r="Q32" s="195" t="s"/>
      <c r="R32" s="194" t="s"/>
      <c r="S32" s="194" t="s"/>
      <c r="T32" s="194" t="s"/>
      <c r="U32" s="195" t="s"/>
      <c r="V32" s="195" t="s"/>
      <c r="W32" s="195" t="s"/>
      <c r="X32" s="194" t="s"/>
      <c r="Y32" s="194" t="s"/>
      <c r="Z32" s="194" t="s"/>
      <c r="AA32" s="194" t="s"/>
    </row>
    <row r="33" spans="1:27" customHeight="false">
      <c r="A33" s="194" t="s"/>
      <c r="B33" s="194" t="s"/>
      <c r="C33" s="194" t="s"/>
      <c r="D33" s="194" t="s"/>
      <c r="E33" s="194" t="s"/>
      <c r="F33" s="195" t="s"/>
      <c r="G33" s="194" t="s"/>
      <c r="H33" s="194" t="s"/>
      <c r="I33" s="194" t="s"/>
      <c r="J33" s="194" t="s"/>
      <c r="K33" s="194" t="s"/>
      <c r="L33" s="194" t="s"/>
      <c r="M33" s="194" t="s"/>
      <c r="N33" s="194" t="s"/>
      <c r="O33" s="194" t="s"/>
      <c r="P33" s="194" t="s"/>
      <c r="Q33" s="195" t="s"/>
      <c r="R33" s="194" t="s"/>
      <c r="S33" s="194" t="s"/>
      <c r="T33" s="194" t="s"/>
      <c r="U33" s="195" t="s"/>
      <c r="V33" s="195" t="s"/>
      <c r="W33" s="195" t="s"/>
      <c r="X33" s="194" t="s"/>
      <c r="Y33" s="194" t="s"/>
      <c r="Z33" s="194" t="s">
        <v>275</v>
      </c>
      <c r="AA33" s="194" t="s"/>
    </row>
    <row r="34" spans="1:27" customHeight="false">
      <c r="A34" s="194" t="s"/>
      <c r="B34" s="194" t="s"/>
      <c r="C34" s="194" t="s"/>
      <c r="D34" s="194" t="s"/>
      <c r="E34" s="194" t="s"/>
      <c r="F34" s="195" t="s"/>
      <c r="G34" s="194" t="s"/>
      <c r="H34" s="194" t="s"/>
      <c r="I34" s="194" t="s"/>
      <c r="J34" s="194" t="s"/>
      <c r="K34" s="194" t="s"/>
      <c r="L34" s="194" t="s"/>
      <c r="M34" s="194" t="s"/>
      <c r="N34" s="194" t="s"/>
      <c r="O34" s="194" t="s"/>
      <c r="P34" s="194" t="s"/>
      <c r="Q34" s="195" t="s"/>
      <c r="R34" s="194" t="s"/>
      <c r="S34" s="194" t="s"/>
      <c r="T34" s="194" t="s"/>
      <c r="U34" s="195" t="s"/>
      <c r="V34" s="195" t="s"/>
      <c r="W34" s="195" t="s"/>
      <c r="X34" s="194" t="s"/>
      <c r="Y34" s="194" t="s"/>
      <c r="Z34" s="194" t="s">
        <v>275</v>
      </c>
      <c r="AA34" s="194" t="s"/>
    </row>
    <row r="35" spans="1:27" customHeight="false">
      <c r="A35" s="194" t="s"/>
      <c r="B35" s="194" t="s"/>
      <c r="C35" s="194" t="s"/>
      <c r="D35" s="194" t="s"/>
      <c r="E35" s="194" t="s"/>
      <c r="F35" s="195" t="s"/>
      <c r="G35" s="194" t="s"/>
      <c r="H35" s="194" t="s"/>
      <c r="I35" s="194" t="s"/>
      <c r="J35" s="194" t="s"/>
      <c r="K35" s="194" t="s"/>
      <c r="L35" s="194" t="s"/>
      <c r="M35" s="194" t="s"/>
      <c r="N35" s="194" t="s"/>
      <c r="O35" s="194" t="s"/>
      <c r="P35" s="194" t="s"/>
      <c r="Q35" s="195" t="s"/>
      <c r="R35" s="194" t="s"/>
      <c r="S35" s="194" t="s"/>
      <c r="T35" s="194" t="s"/>
      <c r="U35" s="195" t="s"/>
      <c r="V35" s="195" t="s"/>
      <c r="W35" s="195" t="s"/>
      <c r="X35" s="194" t="s"/>
      <c r="Y35" s="194" t="s"/>
      <c r="Z35" s="194" t="s">
        <v>275</v>
      </c>
      <c r="AA35" s="194" t="s"/>
    </row>
    <row r="36" spans="1:27" customHeight="false">
      <c r="A36" s="194" t="s"/>
      <c r="B36" s="194" t="s"/>
      <c r="C36" s="194" t="s"/>
      <c r="D36" s="194" t="s"/>
      <c r="E36" s="194" t="s"/>
      <c r="F36" s="195" t="s"/>
      <c r="G36" s="194" t="s"/>
      <c r="H36" s="194" t="s"/>
      <c r="I36" s="194" t="s"/>
      <c r="J36" s="194" t="s"/>
      <c r="K36" s="194" t="s"/>
      <c r="L36" s="194" t="s"/>
      <c r="M36" s="194" t="s"/>
      <c r="N36" s="194" t="s"/>
      <c r="O36" s="194" t="s"/>
      <c r="P36" s="194" t="s"/>
      <c r="Q36" s="195" t="s"/>
      <c r="R36" s="194" t="s"/>
      <c r="S36" s="194" t="s"/>
      <c r="T36" s="194" t="s"/>
      <c r="U36" s="195" t="s"/>
      <c r="V36" s="195" t="s"/>
      <c r="W36" s="195" t="s"/>
      <c r="X36" s="194" t="s"/>
      <c r="Y36" s="194" t="s"/>
      <c r="Z36" s="194" t="s">
        <v>275</v>
      </c>
      <c r="AA36" s="194" t="s"/>
    </row>
    <row r="37" spans="1:27" customHeight="false">
      <c r="A37" s="194" t="s"/>
      <c r="B37" s="194" t="s"/>
      <c r="C37" s="194" t="s"/>
      <c r="D37" s="194" t="s"/>
      <c r="E37" s="194" t="s"/>
      <c r="F37" s="195" t="s"/>
      <c r="G37" s="194" t="s"/>
      <c r="H37" s="194" t="s"/>
      <c r="I37" s="194" t="s"/>
      <c r="J37" s="194" t="s"/>
      <c r="K37" s="194" t="s"/>
      <c r="L37" s="194" t="s"/>
      <c r="M37" s="194" t="s"/>
      <c r="N37" s="194" t="s"/>
      <c r="O37" s="194" t="s"/>
      <c r="P37" s="194" t="s"/>
      <c r="Q37" s="195" t="s"/>
      <c r="R37" s="194" t="s"/>
      <c r="S37" s="194" t="s"/>
      <c r="T37" s="194" t="s"/>
      <c r="U37" s="195" t="s"/>
      <c r="V37" s="195" t="s"/>
      <c r="W37" s="195" t="s"/>
      <c r="X37" s="194" t="s"/>
      <c r="Y37" s="194" t="s"/>
      <c r="Z37" s="194" t="s">
        <v>275</v>
      </c>
      <c r="AA37" s="194" t="s"/>
    </row>
    <row r="38" spans="1:27" customHeight="false">
      <c r="A38" s="194" t="s"/>
      <c r="B38" s="194" t="s"/>
      <c r="C38" s="194" t="s"/>
      <c r="D38" s="194" t="s"/>
      <c r="E38" s="194" t="s"/>
      <c r="F38" s="195" t="s"/>
      <c r="G38" s="194" t="s"/>
      <c r="H38" s="194" t="s"/>
      <c r="I38" s="194" t="s"/>
      <c r="J38" s="194" t="s"/>
      <c r="K38" s="194" t="s"/>
      <c r="L38" s="194" t="s"/>
      <c r="M38" s="194" t="s"/>
      <c r="N38" s="194" t="s"/>
      <c r="O38" s="194" t="s"/>
      <c r="P38" s="194" t="s"/>
      <c r="Q38" s="195" t="s"/>
      <c r="R38" s="194" t="s"/>
      <c r="S38" s="194" t="s"/>
      <c r="T38" s="194" t="s"/>
      <c r="U38" s="195" t="s"/>
      <c r="V38" s="195" t="s"/>
      <c r="W38" s="195" t="s"/>
      <c r="X38" s="194" t="s"/>
      <c r="Y38" s="194" t="s"/>
      <c r="Z38" s="194" t="s">
        <v>275</v>
      </c>
      <c r="AA38" s="194" t="s"/>
    </row>
    <row r="39" spans="1:27" customHeight="false">
      <c r="A39" s="194" t="s"/>
      <c r="B39" s="194" t="s"/>
      <c r="C39" s="194" t="s"/>
      <c r="D39" s="194" t="s"/>
      <c r="E39" s="194" t="s"/>
      <c r="F39" s="195" t="s"/>
      <c r="G39" s="194" t="s"/>
      <c r="H39" s="194" t="s"/>
      <c r="I39" s="194" t="s"/>
      <c r="J39" s="194" t="s"/>
      <c r="K39" s="194" t="s"/>
      <c r="L39" s="194" t="s"/>
      <c r="M39" s="194" t="s"/>
      <c r="N39" s="194" t="s"/>
      <c r="O39" s="194" t="s"/>
      <c r="P39" s="194" t="s"/>
      <c r="Q39" s="195" t="s"/>
      <c r="R39" s="194" t="s"/>
      <c r="S39" s="194" t="s"/>
      <c r="T39" s="194" t="s"/>
      <c r="U39" s="195" t="s"/>
      <c r="V39" s="195" t="s"/>
      <c r="W39" s="195" t="s"/>
      <c r="X39" s="194" t="s"/>
      <c r="Y39" s="194" t="s"/>
      <c r="Z39" s="194" t="s">
        <v>275</v>
      </c>
      <c r="AA39" s="194" t="s"/>
    </row>
    <row r="40" spans="1:27" customHeight="false">
      <c r="A40" s="194" t="s"/>
      <c r="B40" s="194" t="s"/>
      <c r="C40" s="194" t="s"/>
      <c r="D40" s="194" t="s"/>
      <c r="E40" s="194" t="s"/>
      <c r="F40" s="195" t="s"/>
      <c r="G40" s="194" t="s"/>
      <c r="H40" s="194" t="s"/>
      <c r="I40" s="194" t="s"/>
      <c r="J40" s="194" t="s"/>
      <c r="K40" s="194" t="s"/>
      <c r="L40" s="194" t="s"/>
      <c r="M40" s="194" t="s"/>
      <c r="N40" s="194" t="s"/>
      <c r="O40" s="194" t="s"/>
      <c r="P40" s="194" t="s"/>
      <c r="Q40" s="195" t="s"/>
      <c r="R40" s="194" t="s"/>
      <c r="S40" s="194" t="s"/>
      <c r="T40" s="194" t="s"/>
      <c r="U40" s="195" t="s"/>
      <c r="V40" s="195" t="s"/>
      <c r="W40" s="195" t="s"/>
      <c r="X40" s="194" t="s"/>
      <c r="Y40" s="194" t="s"/>
      <c r="Z40" s="194" t="s">
        <v>275</v>
      </c>
      <c r="AA40" s="194" t="s"/>
    </row>
    <row r="41" spans="1:27" customHeight="false">
      <c r="A41" s="194" t="s"/>
      <c r="B41" s="194" t="s"/>
      <c r="C41" s="194" t="s"/>
      <c r="D41" s="194" t="s"/>
      <c r="E41" s="194" t="s"/>
      <c r="F41" s="195" t="s"/>
      <c r="G41" s="194" t="s"/>
      <c r="H41" s="194" t="s"/>
      <c r="I41" s="194" t="s"/>
      <c r="J41" s="194" t="s"/>
      <c r="K41" s="194" t="s"/>
      <c r="L41" s="194" t="s"/>
      <c r="M41" s="194" t="s"/>
      <c r="N41" s="194" t="s"/>
      <c r="O41" s="194" t="s"/>
      <c r="P41" s="194" t="s"/>
      <c r="Q41" s="195" t="s"/>
      <c r="R41" s="194" t="s"/>
      <c r="S41" s="194" t="s"/>
      <c r="T41" s="194" t="s"/>
      <c r="U41" s="195" t="s"/>
      <c r="V41" s="195" t="s"/>
      <c r="W41" s="195" t="s"/>
      <c r="X41" s="194" t="s"/>
      <c r="Y41" s="194" t="s"/>
      <c r="Z41" s="194" t="s">
        <v>275</v>
      </c>
      <c r="AA41" s="194" t="s"/>
    </row>
    <row r="42" spans="1:27" customHeight="false">
      <c r="A42" s="194" t="s"/>
      <c r="B42" s="194" t="s"/>
      <c r="C42" s="194" t="s"/>
      <c r="D42" s="194" t="s"/>
      <c r="E42" s="194" t="s"/>
      <c r="F42" s="195" t="s"/>
      <c r="G42" s="194" t="s"/>
      <c r="H42" s="194" t="s"/>
      <c r="I42" s="194" t="s"/>
      <c r="J42" s="194" t="s"/>
      <c r="K42" s="194" t="s"/>
      <c r="L42" s="194" t="s"/>
      <c r="M42" s="194" t="s"/>
      <c r="N42" s="194" t="s"/>
      <c r="O42" s="194" t="s"/>
      <c r="P42" s="194" t="s"/>
      <c r="Q42" s="194" t="s"/>
      <c r="R42" s="194" t="s"/>
      <c r="S42" s="194" t="s"/>
      <c r="T42" s="194" t="s"/>
      <c r="U42" s="194" t="s"/>
      <c r="V42" s="194" t="s"/>
      <c r="W42" s="194" t="s"/>
      <c r="X42" s="194" t="s"/>
      <c r="Y42" s="194" t="s"/>
      <c r="Z42" s="194" t="s">
        <v>275</v>
      </c>
      <c r="AA42" s="194" t="s"/>
    </row>
    <row r="43" spans="1:27" customHeight="false">
      <c r="A43" s="194" t="s"/>
      <c r="B43" s="194" t="s"/>
      <c r="C43" s="194" t="s"/>
      <c r="D43" s="194" t="s"/>
      <c r="E43" s="194" t="s"/>
      <c r="F43" s="194" t="s"/>
      <c r="G43" s="194" t="s"/>
      <c r="H43" s="194" t="s"/>
      <c r="I43" s="194" t="s"/>
      <c r="J43" s="194" t="s"/>
      <c r="K43" s="194" t="s"/>
      <c r="L43" s="194" t="s"/>
      <c r="M43" s="194" t="s"/>
      <c r="N43" s="194" t="s"/>
      <c r="O43" s="194" t="s"/>
      <c r="P43" s="194" t="s"/>
      <c r="Q43" s="195" t="s"/>
      <c r="R43" s="194" t="s"/>
      <c r="S43" s="194" t="s"/>
      <c r="T43" s="194" t="s"/>
      <c r="U43" s="194" t="s"/>
      <c r="V43" s="194" t="s"/>
      <c r="W43" s="195" t="s"/>
      <c r="X43" s="194" t="s"/>
      <c r="Y43" s="194" t="s"/>
      <c r="Z43" s="194" t="s">
        <v>275</v>
      </c>
      <c r="AA43" s="194" t="s"/>
    </row>
    <row r="44" spans="1:27" customHeight="false">
      <c r="A44" s="194" t="s"/>
      <c r="B44" s="194" t="s"/>
      <c r="C44" s="194" t="s"/>
      <c r="D44" s="194" t="s"/>
      <c r="E44" s="194" t="s"/>
      <c r="F44" s="194" t="s"/>
      <c r="G44" s="194" t="s"/>
      <c r="H44" s="194" t="s"/>
      <c r="I44" s="194" t="s"/>
      <c r="J44" s="194" t="s"/>
      <c r="K44" s="194" t="s"/>
      <c r="L44" s="194" t="s"/>
      <c r="M44" s="194" t="s"/>
      <c r="N44" s="194" t="s"/>
      <c r="O44" s="194" t="s"/>
      <c r="P44" s="194" t="s"/>
      <c r="Q44" s="194" t="s"/>
      <c r="R44" s="194" t="s"/>
      <c r="S44" s="194" t="s"/>
      <c r="T44" s="194" t="s"/>
      <c r="U44" s="194" t="s"/>
      <c r="V44" s="194" t="s"/>
      <c r="W44" s="194" t="s"/>
      <c r="X44" s="194" t="s"/>
      <c r="Y44" s="194" t="s"/>
      <c r="Z44" s="194" t="s">
        <v>275</v>
      </c>
      <c r="AA44" s="194" t="s"/>
    </row>
    <row r="45" spans="1:27" customHeight="false">
      <c r="A45" s="194" t="s"/>
      <c r="B45" s="194" t="s"/>
      <c r="C45" s="194" t="s"/>
      <c r="D45" s="194" t="s"/>
      <c r="E45" s="194" t="s"/>
      <c r="F45" s="194" t="s"/>
      <c r="G45" s="194" t="s"/>
      <c r="H45" s="194" t="s"/>
      <c r="I45" s="194" t="s"/>
      <c r="J45" s="194" t="s"/>
      <c r="K45" s="194" t="s"/>
      <c r="L45" s="194" t="s"/>
      <c r="M45" s="194" t="s"/>
      <c r="N45" s="194" t="s"/>
      <c r="O45" s="194" t="s"/>
      <c r="P45" s="194" t="s"/>
      <c r="Q45" s="194" t="s"/>
      <c r="R45" s="194" t="s"/>
      <c r="S45" s="194" t="s"/>
      <c r="T45" s="194" t="s"/>
      <c r="U45" s="194" t="s"/>
      <c r="V45" s="194" t="s"/>
      <c r="W45" s="194" t="s"/>
      <c r="X45" s="194" t="s"/>
      <c r="Y45" s="194" t="s"/>
      <c r="Z45" s="194" t="s">
        <v>275</v>
      </c>
      <c r="AA45" s="194" t="s"/>
    </row>
    <row r="46" spans="1:27" customHeight="false">
      <c r="A46" s="194" t="s"/>
      <c r="B46" s="194" t="s"/>
      <c r="C46" s="194" t="s"/>
      <c r="D46" s="194" t="s"/>
      <c r="E46" s="194" t="s"/>
      <c r="F46" s="194" t="s"/>
      <c r="G46" s="194" t="s"/>
      <c r="H46" s="194" t="s"/>
      <c r="I46" s="194" t="s"/>
      <c r="J46" s="194" t="s"/>
      <c r="K46" s="194" t="s"/>
      <c r="L46" s="194" t="s"/>
      <c r="M46" s="194" t="s"/>
      <c r="N46" s="194" t="s"/>
      <c r="O46" s="194" t="s"/>
      <c r="P46" s="194" t="s"/>
      <c r="Q46" s="195" t="s"/>
      <c r="R46" s="194" t="s"/>
      <c r="S46" s="194" t="s"/>
      <c r="T46" s="194" t="s"/>
      <c r="U46" s="194" t="s"/>
      <c r="V46" s="194" t="s"/>
      <c r="W46" s="195" t="s"/>
      <c r="X46" s="194" t="s"/>
      <c r="Y46" s="194" t="s"/>
      <c r="Z46" s="194" t="s">
        <v>275</v>
      </c>
      <c r="AA46" s="194" t="s"/>
    </row>
    <row r="47" spans="1:27" customHeight="false">
      <c r="A47" s="194" t="s"/>
      <c r="B47" s="194" t="s"/>
      <c r="C47" s="194" t="s"/>
      <c r="D47" s="194" t="s"/>
      <c r="E47" s="194" t="s"/>
      <c r="F47" s="194" t="s"/>
      <c r="G47" s="194" t="s"/>
      <c r="H47" s="194" t="s"/>
      <c r="I47" s="194" t="s"/>
      <c r="J47" s="194" t="s"/>
      <c r="K47" s="194" t="s"/>
      <c r="L47" s="194" t="s"/>
      <c r="M47" s="194" t="s"/>
      <c r="N47" s="194" t="s"/>
      <c r="O47" s="194" t="s"/>
      <c r="P47" s="194" t="s"/>
      <c r="Q47" s="194" t="s"/>
      <c r="R47" s="194" t="s"/>
      <c r="S47" s="194" t="s"/>
      <c r="T47" s="194" t="s"/>
      <c r="U47" s="194" t="s"/>
      <c r="V47" s="194" t="s"/>
      <c r="W47" s="194" t="s"/>
      <c r="X47" s="194" t="s"/>
      <c r="Y47" s="194" t="s"/>
      <c r="Z47" s="194" t="s">
        <v>275</v>
      </c>
      <c r="AA47" s="194" t="s"/>
    </row>
    <row r="48" spans="1:27" customHeight="false">
      <c r="A48" s="194" t="s"/>
      <c r="B48" s="194" t="s"/>
      <c r="C48" s="194" t="s"/>
      <c r="D48" s="194" t="s"/>
      <c r="E48" s="194" t="s"/>
      <c r="F48" s="194" t="s"/>
      <c r="G48" s="194" t="s"/>
      <c r="H48" s="194" t="s"/>
      <c r="I48" s="194" t="s"/>
      <c r="J48" s="194" t="s"/>
      <c r="K48" s="194" t="s"/>
      <c r="L48" s="194" t="s"/>
      <c r="M48" s="194" t="s"/>
      <c r="N48" s="194" t="s"/>
      <c r="O48" s="194" t="s"/>
      <c r="P48" s="194" t="s"/>
      <c r="Q48" s="194" t="s"/>
      <c r="R48" s="194" t="s"/>
      <c r="S48" s="194" t="s"/>
      <c r="T48" s="194" t="s"/>
      <c r="U48" s="194" t="s"/>
      <c r="V48" s="194" t="s"/>
      <c r="W48" s="194" t="s"/>
      <c r="X48" s="194" t="s"/>
      <c r="Y48" s="194" t="s"/>
      <c r="Z48" s="194" t="s">
        <v>275</v>
      </c>
      <c r="AA48" s="194" t="s"/>
    </row>
    <row r="49" spans="1:27" customHeight="false">
      <c r="A49" s="194" t="s"/>
      <c r="B49" s="194" t="s"/>
      <c r="C49" s="194" t="s"/>
      <c r="D49" s="194" t="s"/>
      <c r="E49" s="194" t="s"/>
      <c r="F49" s="194" t="s"/>
      <c r="G49" s="194" t="s"/>
      <c r="H49" s="194" t="s"/>
      <c r="I49" s="194" t="s"/>
      <c r="J49" s="194" t="s"/>
      <c r="K49" s="194" t="s"/>
      <c r="L49" s="194" t="s"/>
      <c r="M49" s="194" t="s"/>
      <c r="N49" s="194" t="s"/>
      <c r="O49" s="194" t="s"/>
      <c r="P49" s="194" t="s"/>
      <c r="Q49" s="195" t="s"/>
      <c r="R49" s="194" t="s"/>
      <c r="S49" s="194" t="s"/>
      <c r="T49" s="194" t="s"/>
      <c r="U49" s="194" t="s"/>
      <c r="V49" s="194" t="s"/>
      <c r="W49" s="195" t="s"/>
      <c r="X49" s="194" t="s"/>
      <c r="Y49" s="194" t="s"/>
      <c r="Z49" s="194" t="s">
        <v>275</v>
      </c>
      <c r="AA49" s="194" t="s"/>
    </row>
    <row r="50" spans="1:27" customHeight="false">
      <c r="A50" s="194" t="s"/>
      <c r="B50" s="194" t="s"/>
      <c r="C50" s="194" t="s"/>
      <c r="D50" s="194" t="s"/>
      <c r="E50" s="194" t="s"/>
      <c r="F50" s="194" t="s"/>
      <c r="G50" s="194" t="s"/>
      <c r="H50" s="194" t="s"/>
      <c r="I50" s="194" t="s"/>
      <c r="J50" s="194" t="s"/>
      <c r="K50" s="194" t="s"/>
      <c r="L50" s="194" t="s"/>
      <c r="M50" s="194" t="s"/>
      <c r="N50" s="194" t="s"/>
      <c r="O50" s="194" t="s"/>
      <c r="P50" s="194" t="s"/>
      <c r="Q50" s="194" t="s"/>
      <c r="R50" s="194" t="s"/>
      <c r="S50" s="194" t="s"/>
      <c r="T50" s="194" t="s"/>
      <c r="U50" s="194" t="s"/>
      <c r="V50" s="194" t="s"/>
      <c r="W50" s="194" t="s"/>
      <c r="X50" s="194" t="s"/>
      <c r="Y50" s="194" t="s"/>
      <c r="Z50" s="194" t="s"/>
      <c r="AA50" s="194" t="s"/>
    </row>
    <row r="51" spans="1:27" customHeight="false">
      <c r="A51" s="194" t="s"/>
      <c r="B51" s="194" t="s"/>
      <c r="C51" s="194" t="s"/>
      <c r="D51" s="194" t="s"/>
      <c r="E51" s="194" t="s"/>
      <c r="F51" s="194" t="s"/>
      <c r="G51" s="194" t="s"/>
      <c r="H51" s="194" t="s"/>
      <c r="I51" s="194" t="s"/>
      <c r="J51" s="194" t="s"/>
      <c r="K51" s="194" t="s"/>
      <c r="L51" s="194" t="s"/>
      <c r="M51" s="194" t="s"/>
      <c r="N51" s="194" t="s"/>
      <c r="O51" s="194" t="s"/>
      <c r="P51" s="194" t="s"/>
      <c r="Q51" s="194" t="s"/>
      <c r="R51" s="194" t="s"/>
      <c r="S51" s="194" t="s"/>
      <c r="T51" s="194" t="s"/>
      <c r="U51" s="194" t="s"/>
      <c r="V51" s="194" t="s"/>
      <c r="W51" s="194" t="s"/>
      <c r="X51" s="194" t="s"/>
      <c r="Y51" s="194" t="s"/>
      <c r="Z51" s="194" t="s"/>
      <c r="AA51" s="194" t="s"/>
    </row>
    <row r="52" spans="1:27" customHeight="false">
      <c r="A52" s="194" t="s"/>
      <c r="B52" s="194" t="s"/>
      <c r="C52" s="194" t="s"/>
      <c r="D52" s="194" t="s"/>
      <c r="E52" s="194" t="s"/>
      <c r="F52" s="194" t="s"/>
      <c r="G52" s="194" t="s"/>
      <c r="H52" s="194" t="s"/>
      <c r="I52" s="194" t="s"/>
      <c r="J52" s="194" t="s"/>
      <c r="K52" s="194" t="s"/>
      <c r="L52" s="194" t="s"/>
      <c r="M52" s="194" t="s"/>
      <c r="N52" s="194" t="s"/>
      <c r="O52" s="194" t="s"/>
      <c r="P52" s="194" t="s"/>
      <c r="Q52" s="194" t="s"/>
      <c r="R52" s="194" t="s"/>
      <c r="S52" s="194" t="s"/>
      <c r="T52" s="194" t="s"/>
      <c r="U52" s="194" t="s"/>
      <c r="V52" s="194" t="s"/>
      <c r="W52" s="194" t="s"/>
      <c r="X52" s="194" t="s"/>
      <c r="Y52" s="194" t="s"/>
      <c r="Z52" s="194" t="s"/>
      <c r="AA52" s="194" t="s"/>
    </row>
    <row r="53" spans="1:27" customHeight="false">
      <c r="A53" s="194" t="s"/>
      <c r="B53" s="194" t="s"/>
      <c r="C53" s="194" t="s"/>
      <c r="D53" s="194" t="s"/>
      <c r="E53" s="194" t="s"/>
      <c r="F53" s="194" t="s"/>
      <c r="G53" s="194" t="s"/>
      <c r="H53" s="194" t="s"/>
      <c r="I53" s="194" t="s"/>
      <c r="J53" s="194" t="s"/>
      <c r="K53" s="194" t="s"/>
      <c r="L53" s="194" t="s"/>
      <c r="M53" s="194" t="s"/>
      <c r="N53" s="194" t="s"/>
      <c r="O53" s="194" t="s"/>
      <c r="P53" s="194" t="s"/>
      <c r="Q53" s="194" t="s"/>
      <c r="R53" s="194" t="s"/>
      <c r="S53" s="194" t="s"/>
      <c r="T53" s="194" t="s"/>
      <c r="U53" s="194" t="s"/>
      <c r="V53" s="194" t="s"/>
      <c r="W53" s="194" t="s"/>
      <c r="X53" s="194" t="s"/>
      <c r="Y53" s="194" t="s"/>
      <c r="Z53" s="194" t="s"/>
      <c r="AA53" s="194" t="s"/>
    </row>
    <row r="54" spans="1:27" customHeight="false">
      <c r="A54" s="194" t="s"/>
      <c r="B54" s="194" t="s"/>
      <c r="C54" s="194" t="s"/>
      <c r="D54" s="194" t="s"/>
      <c r="E54" s="194" t="s"/>
      <c r="F54" s="194" t="s"/>
      <c r="G54" s="194" t="s"/>
      <c r="H54" s="194" t="s"/>
      <c r="I54" s="194" t="s"/>
      <c r="J54" s="194" t="s"/>
      <c r="K54" s="194" t="s"/>
      <c r="L54" s="194" t="s"/>
      <c r="M54" s="194" t="s"/>
      <c r="N54" s="194" t="s"/>
      <c r="O54" s="194" t="s"/>
      <c r="P54" s="194" t="s"/>
      <c r="Q54" s="194" t="s"/>
      <c r="R54" s="194" t="s"/>
      <c r="S54" s="194" t="s"/>
      <c r="T54" s="194" t="s"/>
      <c r="U54" s="194" t="s"/>
      <c r="V54" s="194" t="s"/>
      <c r="W54" s="194" t="s"/>
      <c r="X54" s="194" t="s"/>
      <c r="Y54" s="194" t="s"/>
      <c r="Z54" s="194" t="s"/>
      <c r="AA54" s="194" t="s"/>
    </row>
    <row r="55" spans="1:27" customHeight="false">
      <c r="A55" s="194" t="s"/>
      <c r="B55" s="194" t="s"/>
      <c r="C55" s="194" t="s"/>
      <c r="D55" s="194" t="s"/>
      <c r="E55" s="194" t="s"/>
      <c r="F55" s="194" t="s"/>
      <c r="G55" s="194" t="s"/>
      <c r="H55" s="194" t="s"/>
      <c r="I55" s="194" t="s"/>
      <c r="J55" s="194" t="s"/>
      <c r="K55" s="194" t="s"/>
      <c r="L55" s="194" t="s"/>
      <c r="M55" s="194" t="s"/>
      <c r="N55" s="194" t="s"/>
      <c r="O55" s="194" t="s"/>
      <c r="P55" s="194" t="s"/>
      <c r="Q55" s="194" t="s"/>
      <c r="R55" s="194" t="s"/>
      <c r="S55" s="194" t="s"/>
      <c r="T55" s="194" t="s"/>
      <c r="U55" s="194" t="s"/>
      <c r="V55" s="194" t="s"/>
      <c r="W55" s="194" t="s"/>
      <c r="X55" s="194" t="s"/>
      <c r="Y55" s="194" t="s"/>
      <c r="Z55" s="194" t="s"/>
      <c r="AA55" s="194" t="s"/>
    </row>
    <row r="56" spans="1:27" customHeight="false">
      <c r="A56" s="194" t="s"/>
      <c r="B56" s="194" t="s"/>
      <c r="C56" s="194" t="s"/>
      <c r="D56" s="194" t="s"/>
      <c r="E56" s="194" t="s"/>
      <c r="F56" s="194" t="s"/>
      <c r="G56" s="194" t="s"/>
      <c r="H56" s="194" t="s"/>
      <c r="I56" s="194" t="s"/>
      <c r="J56" s="194" t="s"/>
      <c r="K56" s="194" t="s"/>
      <c r="L56" s="194" t="s"/>
      <c r="M56" s="194" t="s"/>
      <c r="N56" s="194" t="s"/>
      <c r="O56" s="194" t="s"/>
      <c r="P56" s="194" t="s"/>
      <c r="Q56" s="194" t="s"/>
      <c r="R56" s="194" t="s"/>
      <c r="S56" s="194" t="s"/>
      <c r="T56" s="194" t="s"/>
      <c r="U56" s="194" t="s"/>
      <c r="V56" s="194" t="s"/>
      <c r="W56" s="194" t="s"/>
      <c r="X56" s="194" t="s"/>
      <c r="Y56" s="194" t="s"/>
      <c r="Z56" s="194" t="s"/>
      <c r="AA56" s="194" t="s"/>
    </row>
    <row r="57" spans="1:27" customHeight="false">
      <c r="A57" s="194" t="s"/>
      <c r="B57" s="194" t="s"/>
      <c r="C57" s="194" t="s"/>
      <c r="D57" s="194" t="s"/>
      <c r="E57" s="194" t="s"/>
      <c r="F57" s="194" t="s"/>
      <c r="G57" s="194" t="s"/>
      <c r="H57" s="194" t="s"/>
      <c r="I57" s="194" t="s"/>
      <c r="J57" s="194" t="s"/>
      <c r="K57" s="194" t="s"/>
      <c r="L57" s="194" t="s"/>
      <c r="M57" s="194" t="s"/>
      <c r="N57" s="194" t="s"/>
      <c r="O57" s="194" t="s"/>
      <c r="P57" s="194" t="s"/>
      <c r="Q57" s="194" t="s"/>
      <c r="R57" s="194" t="s"/>
      <c r="S57" s="194" t="s"/>
      <c r="T57" s="194" t="s"/>
      <c r="U57" s="194" t="s"/>
      <c r="V57" s="194" t="s"/>
      <c r="W57" s="194" t="s"/>
      <c r="X57" s="194" t="s"/>
      <c r="Y57" s="194" t="s"/>
      <c r="Z57" s="194" t="s"/>
      <c r="AA57" s="194" t="s"/>
    </row>
    <row r="58" spans="1:27" customHeight="false">
      <c r="A58" s="194" t="s"/>
      <c r="B58" s="194" t="s"/>
      <c r="C58" s="194" t="s"/>
      <c r="D58" s="194" t="s"/>
      <c r="E58" s="194" t="s"/>
      <c r="F58" s="194" t="s"/>
      <c r="G58" s="194" t="s"/>
      <c r="H58" s="194" t="s"/>
      <c r="I58" s="194" t="s"/>
      <c r="J58" s="194" t="s"/>
      <c r="K58" s="194" t="s"/>
      <c r="L58" s="194" t="s"/>
      <c r="M58" s="194" t="s"/>
      <c r="N58" s="194" t="s"/>
      <c r="O58" s="194" t="s"/>
      <c r="P58" s="194" t="s"/>
      <c r="Q58" s="194" t="s"/>
      <c r="R58" s="194" t="s"/>
      <c r="S58" s="194" t="s"/>
      <c r="T58" s="194" t="s"/>
      <c r="U58" s="194" t="s"/>
      <c r="V58" s="194" t="s"/>
      <c r="W58" s="194" t="s"/>
      <c r="X58" s="194" t="s"/>
      <c r="Y58" s="194" t="s"/>
      <c r="Z58" s="194" t="s"/>
      <c r="AA58" s="194" t="s"/>
    </row>
    <row r="59" spans="1:27" customHeight="false">
      <c r="A59" s="194" t="s"/>
      <c r="B59" s="194" t="s"/>
      <c r="C59" s="194" t="s"/>
      <c r="D59" s="194" t="s"/>
      <c r="E59" s="194" t="s"/>
      <c r="F59" s="194" t="s"/>
      <c r="G59" s="194" t="s"/>
      <c r="H59" s="194" t="s"/>
      <c r="I59" s="194" t="s"/>
      <c r="J59" s="194" t="s"/>
      <c r="K59" s="194" t="s"/>
      <c r="L59" s="194" t="s"/>
      <c r="M59" s="194" t="s"/>
      <c r="N59" s="194" t="s"/>
      <c r="O59" s="194" t="s"/>
      <c r="P59" s="194" t="s"/>
      <c r="Q59" s="194" t="s"/>
      <c r="R59" s="194" t="s"/>
      <c r="S59" s="194" t="s"/>
      <c r="T59" s="194" t="s"/>
      <c r="U59" s="194" t="s"/>
      <c r="V59" s="194" t="s"/>
      <c r="W59" s="194" t="s"/>
      <c r="X59" s="194" t="s"/>
      <c r="Y59" s="194" t="s"/>
      <c r="Z59" s="194" t="s"/>
      <c r="AA59" s="194" t="s"/>
    </row>
    <row r="60" spans="1:27" customHeight="false">
      <c r="A60" s="194" t="s"/>
      <c r="B60" s="194" t="s"/>
      <c r="C60" s="194" t="s"/>
      <c r="D60" s="194" t="s"/>
      <c r="E60" s="194" t="s"/>
      <c r="F60" s="194" t="s"/>
      <c r="G60" s="194" t="s"/>
      <c r="H60" s="194" t="s"/>
      <c r="I60" s="194" t="s"/>
      <c r="J60" s="194" t="s"/>
      <c r="K60" s="194" t="s"/>
      <c r="L60" s="194" t="s"/>
      <c r="M60" s="194" t="s"/>
      <c r="N60" s="194" t="s"/>
      <c r="O60" s="194" t="s"/>
      <c r="P60" s="194" t="s"/>
      <c r="Q60" s="194" t="s"/>
      <c r="R60" s="194" t="s"/>
      <c r="S60" s="194" t="s"/>
      <c r="T60" s="194" t="s"/>
      <c r="U60" s="194" t="s"/>
      <c r="V60" s="194" t="s"/>
      <c r="W60" s="194" t="s"/>
      <c r="X60" s="194" t="s"/>
      <c r="Y60" s="194" t="s"/>
      <c r="Z60" s="194" t="s"/>
      <c r="AA60" s="194" t="s"/>
    </row>
    <row r="61" spans="1:27" customHeight="false">
      <c r="A61" s="194" t="s"/>
      <c r="B61" s="194" t="s"/>
      <c r="C61" s="194" t="s"/>
      <c r="D61" s="194" t="s"/>
      <c r="E61" s="194" t="s"/>
      <c r="F61" s="194" t="s"/>
      <c r="G61" s="194" t="s"/>
      <c r="H61" s="194" t="s"/>
      <c r="I61" s="194" t="s"/>
      <c r="J61" s="194" t="s"/>
      <c r="K61" s="194" t="s"/>
      <c r="L61" s="194" t="s"/>
      <c r="M61" s="194" t="s"/>
      <c r="N61" s="194" t="s"/>
      <c r="O61" s="194" t="s"/>
      <c r="P61" s="194" t="s"/>
      <c r="Q61" s="194" t="s"/>
      <c r="R61" s="194" t="s"/>
      <c r="S61" s="194" t="s"/>
      <c r="T61" s="194" t="s"/>
      <c r="U61" s="194" t="s"/>
      <c r="V61" s="194" t="s"/>
      <c r="W61" s="194" t="s"/>
      <c r="X61" s="194" t="s"/>
      <c r="Y61" s="194" t="s"/>
      <c r="Z61" s="194" t="s"/>
      <c r="AA61" s="194" t="s"/>
    </row>
    <row r="62" spans="1:27" customHeight="false">
      <c r="A62" s="194" t="s"/>
      <c r="B62" s="194" t="s"/>
      <c r="C62" s="194" t="s"/>
      <c r="D62" s="194" t="s"/>
      <c r="E62" s="194" t="s"/>
      <c r="F62" s="194" t="s"/>
      <c r="G62" s="194" t="s"/>
      <c r="H62" s="194" t="s"/>
      <c r="I62" s="194" t="s"/>
      <c r="J62" s="194" t="s"/>
      <c r="K62" s="194" t="s"/>
      <c r="L62" s="194" t="s"/>
      <c r="M62" s="194" t="s"/>
      <c r="N62" s="194" t="s"/>
      <c r="O62" s="194" t="s"/>
      <c r="P62" s="194" t="s"/>
      <c r="Q62" s="194" t="s"/>
      <c r="R62" s="194" t="s"/>
      <c r="S62" s="194" t="s"/>
      <c r="T62" s="194" t="s"/>
      <c r="U62" s="194" t="s"/>
      <c r="V62" s="194" t="s"/>
      <c r="W62" s="194" t="s"/>
      <c r="X62" s="194" t="s"/>
      <c r="Y62" s="194" t="s"/>
      <c r="Z62" s="194" t="s"/>
      <c r="AA62" s="194" t="s"/>
    </row>
    <row r="63" spans="1:27" customHeight="false">
      <c r="A63" s="194" t="s"/>
      <c r="B63" s="194" t="s"/>
      <c r="C63" s="194" t="s"/>
      <c r="D63" s="194" t="s"/>
      <c r="E63" s="194" t="s"/>
      <c r="F63" s="194" t="s"/>
      <c r="G63" s="194" t="s"/>
      <c r="H63" s="194" t="s"/>
      <c r="I63" s="194" t="s"/>
      <c r="J63" s="194" t="s"/>
      <c r="K63" s="194" t="s"/>
      <c r="L63" s="194" t="s"/>
      <c r="M63" s="194" t="s"/>
      <c r="N63" s="194" t="s"/>
      <c r="O63" s="194" t="s"/>
      <c r="P63" s="194" t="s"/>
      <c r="Q63" s="194" t="s"/>
      <c r="R63" s="194" t="s"/>
      <c r="S63" s="194" t="s"/>
      <c r="T63" s="194" t="s"/>
      <c r="U63" s="194" t="s"/>
      <c r="V63" s="194" t="s"/>
      <c r="W63" s="194" t="s"/>
      <c r="X63" s="194" t="s"/>
      <c r="Y63" s="194" t="s"/>
      <c r="Z63" s="194" t="s"/>
      <c r="AA63" s="194" t="s"/>
    </row>
    <row r="64" spans="1:27" customHeight="false">
      <c r="A64" s="194" t="s"/>
      <c r="B64" s="194" t="s"/>
      <c r="C64" s="194" t="s"/>
      <c r="D64" s="194" t="s"/>
      <c r="E64" s="194" t="s"/>
      <c r="F64" s="194" t="s"/>
      <c r="G64" s="194" t="s"/>
      <c r="H64" s="194" t="s"/>
      <c r="I64" s="194" t="s"/>
      <c r="J64" s="194" t="s"/>
      <c r="K64" s="194" t="s"/>
      <c r="L64" s="194" t="s"/>
      <c r="M64" s="194" t="s"/>
      <c r="N64" s="194" t="s"/>
      <c r="O64" s="194" t="s"/>
      <c r="P64" s="194" t="s"/>
      <c r="Q64" s="194" t="s"/>
      <c r="R64" s="194" t="s"/>
      <c r="S64" s="194" t="s"/>
      <c r="T64" s="194" t="s"/>
      <c r="U64" s="194" t="s"/>
      <c r="V64" s="194" t="s"/>
      <c r="W64" s="194" t="s"/>
      <c r="X64" s="194" t="s"/>
      <c r="Y64" s="194" t="s"/>
      <c r="Z64" s="194" t="s"/>
      <c r="AA64" s="194" t="s"/>
    </row>
    <row r="65" spans="1:27" customHeight="false">
      <c r="A65" s="194" t="s"/>
      <c r="B65" s="194" t="s"/>
      <c r="C65" s="194" t="s"/>
      <c r="D65" s="194" t="s"/>
      <c r="E65" s="194" t="s"/>
      <c r="F65" s="194" t="s"/>
      <c r="G65" s="194" t="s"/>
      <c r="H65" s="194" t="s"/>
      <c r="I65" s="194" t="s"/>
      <c r="J65" s="194" t="s"/>
      <c r="K65" s="194" t="s"/>
      <c r="L65" s="194" t="s"/>
      <c r="M65" s="194" t="s"/>
      <c r="N65" s="194" t="s"/>
      <c r="O65" s="194" t="s"/>
      <c r="P65" s="195">
        <f>=0.7+0.24*2</f>
        <v>1.18</v>
      </c>
      <c r="Q65" s="195">
        <f>=(3.14*P65*P65*0.25-3.14*0.7*0.7*0.25)*0.15</f>
        <v>0.1062576</v>
      </c>
      <c r="R65" s="194" t="s"/>
      <c r="S65" s="194" t="s"/>
      <c r="T65" s="194" t="s"/>
      <c r="U65" s="194" t="s"/>
      <c r="V65" s="194" t="s"/>
      <c r="W65" s="194" t="s"/>
      <c r="X65" s="194" t="s"/>
      <c r="Y65" s="194" t="s"/>
      <c r="Z65" s="194" t="s"/>
      <c r="AA65" s="194" t="s"/>
    </row>
    <row r="66" spans="1:27" customHeight="false">
      <c r="A66" s="194" t="s"/>
      <c r="B66" s="194" t="s"/>
      <c r="C66" s="194" t="s"/>
      <c r="D66" s="194" t="s"/>
      <c r="E66" s="194" t="s"/>
      <c r="F66" s="194" t="s"/>
      <c r="G66" s="194" t="s"/>
      <c r="H66" s="194" t="s"/>
      <c r="I66" s="194" t="s"/>
      <c r="J66" s="194" t="s"/>
      <c r="K66" s="194" t="s"/>
      <c r="L66" s="194" t="s"/>
      <c r="M66" s="194" t="s"/>
      <c r="N66" s="194" t="s"/>
      <c r="O66" s="194" t="s"/>
      <c r="P66" s="194" t="s"/>
      <c r="Q66" s="194" t="s"/>
      <c r="R66" s="194" t="s"/>
      <c r="S66" s="194" t="s"/>
      <c r="T66" s="194" t="s"/>
      <c r="U66" s="194" t="s"/>
      <c r="V66" s="194" t="s"/>
      <c r="W66" s="194" t="s"/>
      <c r="X66" s="194" t="s"/>
      <c r="Y66" s="194" t="s"/>
      <c r="Z66" s="194" t="s"/>
      <c r="AA66" s="194" t="s"/>
    </row>
    <row r="67" spans="1:27" customHeight="false">
      <c r="A67" s="194" t="s"/>
      <c r="B67" s="194" t="s"/>
      <c r="C67" s="194" t="s"/>
      <c r="D67" s="194" t="s"/>
      <c r="E67" s="194" t="s"/>
      <c r="F67" s="194" t="s"/>
      <c r="G67" s="194" t="s"/>
      <c r="H67" s="194" t="s"/>
      <c r="I67" s="194" t="s"/>
      <c r="J67" s="194" t="s"/>
      <c r="K67" s="194" t="s"/>
      <c r="L67" s="194" t="s"/>
      <c r="M67" s="194" t="s"/>
      <c r="N67" s="194" t="s"/>
      <c r="O67" s="194" t="s"/>
      <c r="P67" s="194" t="s"/>
      <c r="Q67" s="194" t="s"/>
      <c r="R67" s="194" t="s"/>
      <c r="S67" s="194" t="s"/>
      <c r="T67" s="194">
        <f>=167.1+19.8+28.8+30+130.43</f>
        <v>376.13</v>
      </c>
      <c r="U67" s="194" t="s"/>
      <c r="V67" s="194" t="s"/>
      <c r="W67" s="194" t="s"/>
      <c r="X67" s="194" t="s"/>
      <c r="Y67" s="194" t="s"/>
      <c r="Z67" s="194" t="s"/>
      <c r="AA67" s="194" t="s"/>
    </row>
    <row r="68" spans="1:27" customHeight="false">
      <c r="A68" s="194" t="s"/>
      <c r="B68" s="194" t="s"/>
      <c r="C68" s="194" t="s"/>
      <c r="D68" s="194" t="s"/>
      <c r="E68" s="194" t="s"/>
      <c r="F68" s="194" t="s"/>
      <c r="G68" s="194" t="s"/>
      <c r="H68" s="194" t="s"/>
      <c r="I68" s="194" t="s"/>
      <c r="J68" s="194" t="s"/>
      <c r="K68" s="194" t="s"/>
      <c r="L68" s="194" t="s"/>
      <c r="M68" s="194" t="s"/>
      <c r="N68" s="194" t="s"/>
      <c r="O68" s="194" t="s"/>
      <c r="P68" s="194" t="s"/>
      <c r="Q68" s="194" t="s"/>
      <c r="R68" s="194" t="s"/>
      <c r="S68" s="194" t="s"/>
      <c r="T68" s="194" t="s"/>
      <c r="U68" s="194" t="s"/>
      <c r="V68" s="194" t="s"/>
      <c r="W68" s="194" t="s"/>
      <c r="X68" s="194" t="s"/>
      <c r="Y68" s="194" t="s"/>
      <c r="Z68" s="194" t="s"/>
      <c r="AA68" s="194" t="s"/>
    </row>
    <row r="69" spans="1:27" customHeight="false">
      <c r="A69" s="194" t="s"/>
      <c r="B69" s="194" t="s"/>
      <c r="C69" s="194" t="s"/>
      <c r="D69" s="194" t="s"/>
      <c r="E69" s="194" t="s"/>
      <c r="F69" s="194" t="s"/>
      <c r="G69" s="194" t="s"/>
      <c r="H69" s="194" t="s"/>
      <c r="I69" s="194" t="s"/>
      <c r="J69" s="194" t="s"/>
      <c r="K69" s="194" t="s"/>
      <c r="L69" s="194" t="s"/>
      <c r="M69" s="194" t="s"/>
      <c r="N69" s="194" t="s"/>
      <c r="O69" s="194" t="s"/>
      <c r="P69" s="194" t="s"/>
      <c r="Q69" s="194" t="s"/>
      <c r="R69" s="194" t="s"/>
      <c r="S69" s="194" t="s"/>
      <c r="T69" s="194" t="s"/>
      <c r="U69" s="194" t="s"/>
      <c r="V69" s="194" t="s"/>
      <c r="W69" s="194" t="s"/>
      <c r="X69" s="194" t="s"/>
      <c r="Y69" s="194" t="s"/>
      <c r="Z69" s="194" t="s"/>
      <c r="AA69" s="194" t="s"/>
    </row>
    <row r="70" spans="1:27" customHeight="false">
      <c r="A70" s="194" t="s"/>
      <c r="B70" s="194" t="s"/>
      <c r="C70" s="194" t="s"/>
      <c r="D70" s="194" t="s"/>
      <c r="E70" s="194" t="s"/>
      <c r="F70" s="194" t="s"/>
      <c r="G70" s="194" t="s"/>
      <c r="H70" s="194" t="s"/>
      <c r="I70" s="194" t="s"/>
      <c r="J70" s="194" t="s"/>
      <c r="K70" s="194" t="s"/>
      <c r="L70" s="194" t="s"/>
      <c r="M70" s="194" t="s"/>
      <c r="N70" s="194" t="s"/>
      <c r="O70" s="194" t="s"/>
      <c r="P70" s="194" t="s"/>
      <c r="Q70" s="194" t="s"/>
      <c r="R70" s="194" t="s"/>
      <c r="S70" s="194" t="s"/>
      <c r="T70" s="194" t="s"/>
      <c r="U70" s="194" t="s"/>
      <c r="V70" s="194" t="s"/>
      <c r="W70" s="194" t="s"/>
      <c r="X70" s="194" t="s"/>
      <c r="Y70" s="194" t="s"/>
      <c r="Z70" s="194" t="s"/>
      <c r="AA70" s="194" t="s"/>
    </row>
    <row r="71" spans="1:27" customHeight="false">
      <c r="A71" s="194" t="s"/>
      <c r="B71" s="194" t="s"/>
      <c r="C71" s="194" t="s"/>
      <c r="D71" s="194" t="s"/>
      <c r="E71" s="194" t="s"/>
      <c r="F71" s="194" t="s"/>
      <c r="G71" s="194" t="s"/>
      <c r="H71" s="194" t="s"/>
      <c r="I71" s="194" t="s"/>
      <c r="J71" s="194" t="s"/>
      <c r="K71" s="194" t="s"/>
      <c r="L71" s="194" t="s"/>
      <c r="M71" s="194" t="s"/>
      <c r="N71" s="194" t="s"/>
      <c r="O71" s="194" t="s"/>
      <c r="P71" s="194" t="s"/>
      <c r="Q71" s="194" t="s"/>
      <c r="R71" s="194" t="s"/>
      <c r="S71" s="194" t="s"/>
      <c r="T71" s="194" t="s"/>
      <c r="U71" s="194" t="s"/>
      <c r="V71" s="194" t="s"/>
      <c r="W71" s="194" t="s"/>
      <c r="X71" s="194" t="s"/>
      <c r="Y71" s="194" t="s"/>
      <c r="Z71" s="194" t="s"/>
      <c r="AA71" s="194" t="s"/>
    </row>
    <row r="72" spans="1:27" customHeight="false">
      <c r="A72" s="194" t="s"/>
      <c r="B72" s="194" t="s"/>
      <c r="C72" s="194" t="s"/>
      <c r="D72" s="194" t="s"/>
      <c r="E72" s="194" t="s"/>
      <c r="F72" s="194" t="s"/>
      <c r="G72" s="194" t="s"/>
      <c r="H72" s="194" t="s"/>
      <c r="I72" s="194" t="s"/>
      <c r="J72" s="194" t="s"/>
      <c r="K72" s="194" t="s"/>
      <c r="L72" s="194" t="s"/>
      <c r="M72" s="194" t="s"/>
      <c r="N72" s="194" t="s"/>
      <c r="O72" s="194" t="s"/>
      <c r="P72" s="194" t="s"/>
      <c r="Q72" s="194" t="s"/>
      <c r="R72" s="194" t="s"/>
      <c r="S72" s="194" t="s"/>
      <c r="T72" s="194" t="s"/>
      <c r="U72" s="194" t="s"/>
      <c r="V72" s="194" t="s"/>
      <c r="W72" s="194" t="s"/>
      <c r="X72" s="194" t="s"/>
      <c r="Y72" s="194" t="s"/>
      <c r="Z72" s="194" t="s"/>
      <c r="AA72" s="194" t="s"/>
    </row>
    <row r="73" spans="1:27" customHeight="false">
      <c r="A73" s="194" t="s"/>
      <c r="B73" s="194" t="s"/>
      <c r="C73" s="194" t="s"/>
      <c r="D73" s="194" t="s"/>
      <c r="E73" s="194" t="s"/>
      <c r="F73" s="194" t="s"/>
      <c r="G73" s="194" t="s"/>
      <c r="H73" s="194" t="s"/>
      <c r="I73" s="194" t="s"/>
      <c r="J73" s="194" t="s"/>
      <c r="K73" s="194" t="s"/>
      <c r="L73" s="194" t="s"/>
      <c r="M73" s="194" t="s"/>
      <c r="N73" s="194" t="s"/>
      <c r="O73" s="194" t="s"/>
      <c r="P73" s="194" t="s"/>
      <c r="Q73" s="194" t="s"/>
      <c r="R73" s="194" t="s"/>
      <c r="S73" s="194" t="s"/>
      <c r="T73" s="194" t="s"/>
      <c r="U73" s="194" t="s"/>
      <c r="V73" s="194" t="s"/>
      <c r="W73" s="194" t="s"/>
      <c r="X73" s="194" t="s"/>
      <c r="Y73" s="194" t="s"/>
      <c r="Z73" s="194" t="s"/>
      <c r="AA73" s="194" t="s"/>
    </row>
    <row r="74" spans="1:27" customHeight="false">
      <c r="A74" s="194" t="s"/>
      <c r="B74" s="194" t="s"/>
      <c r="C74" s="194" t="s"/>
      <c r="D74" s="194" t="s"/>
      <c r="E74" s="194" t="s"/>
      <c r="F74" s="194" t="s"/>
      <c r="G74" s="194" t="s"/>
      <c r="H74" s="194" t="s"/>
      <c r="I74" s="194" t="s"/>
      <c r="J74" s="194" t="s"/>
      <c r="K74" s="194" t="s"/>
      <c r="L74" s="194" t="s"/>
      <c r="M74" s="194" t="s"/>
      <c r="N74" s="194" t="s"/>
      <c r="O74" s="194" t="s"/>
      <c r="P74" s="194" t="s"/>
      <c r="Q74" s="194" t="s"/>
      <c r="R74" s="194" t="s"/>
      <c r="S74" s="194" t="s"/>
      <c r="T74" s="194" t="s"/>
      <c r="U74" s="194" t="s"/>
      <c r="V74" s="194" t="s"/>
      <c r="W74" s="194" t="s"/>
      <c r="X74" s="194" t="s"/>
      <c r="Y74" s="194" t="s"/>
      <c r="Z74" s="194" t="s"/>
      <c r="AA74" s="194" t="s"/>
    </row>
    <row r="75" spans="1:27" customHeight="false">
      <c r="A75" s="194" t="s"/>
      <c r="B75" s="194" t="s"/>
      <c r="C75" s="194" t="s"/>
      <c r="D75" s="194" t="s"/>
      <c r="E75" s="194" t="s"/>
      <c r="F75" s="194" t="s"/>
      <c r="G75" s="194" t="s"/>
      <c r="H75" s="194" t="s"/>
      <c r="I75" s="194" t="s"/>
      <c r="J75" s="194" t="s"/>
      <c r="K75" s="194" t="s"/>
      <c r="L75" s="194" t="s"/>
      <c r="M75" s="194" t="s"/>
      <c r="N75" s="194" t="s"/>
      <c r="O75" s="194" t="s"/>
      <c r="P75" s="194" t="s"/>
      <c r="Q75" s="194" t="s"/>
      <c r="R75" s="194" t="s"/>
      <c r="S75" s="194" t="s"/>
      <c r="T75" s="194" t="s"/>
      <c r="U75" s="194" t="s"/>
      <c r="V75" s="194" t="s"/>
      <c r="W75" s="194" t="s"/>
      <c r="X75" s="194" t="s"/>
      <c r="Y75" s="194" t="s"/>
      <c r="Z75" s="194" t="s"/>
      <c r="AA75" s="194" t="s"/>
    </row>
    <row r="76" spans="1:27" customHeight="false">
      <c r="A76" s="194" t="s"/>
      <c r="B76" s="194" t="s"/>
      <c r="C76" s="194" t="s"/>
      <c r="D76" s="194" t="s"/>
      <c r="E76" s="194" t="s"/>
      <c r="F76" s="194" t="s"/>
      <c r="G76" s="194" t="s"/>
      <c r="H76" s="194" t="s"/>
      <c r="I76" s="194" t="s"/>
      <c r="J76" s="194" t="s"/>
      <c r="K76" s="194" t="s"/>
      <c r="L76" s="194" t="s"/>
      <c r="M76" s="194" t="s"/>
      <c r="N76" s="194" t="s"/>
      <c r="O76" s="194" t="s"/>
      <c r="P76" s="194" t="s"/>
      <c r="Q76" s="194" t="s"/>
      <c r="R76" s="194" t="s"/>
      <c r="S76" s="194" t="s"/>
      <c r="T76" s="194" t="s"/>
      <c r="U76" s="194" t="s"/>
      <c r="V76" s="194" t="s"/>
      <c r="W76" s="194" t="s"/>
      <c r="X76" s="194" t="s"/>
      <c r="Y76" s="194" t="s"/>
      <c r="Z76" s="194" t="s"/>
      <c r="AA76" s="194" t="s"/>
    </row>
    <row r="77" spans="1:27" customHeight="false">
      <c r="A77" s="194" t="s"/>
      <c r="B77" s="194" t="s"/>
      <c r="C77" s="194" t="s"/>
      <c r="D77" s="194" t="s"/>
      <c r="E77" s="194" t="s"/>
      <c r="F77" s="194" t="s"/>
      <c r="G77" s="194" t="s"/>
      <c r="H77" s="194" t="s"/>
      <c r="I77" s="194" t="s"/>
      <c r="J77" s="194" t="s"/>
      <c r="K77" s="194" t="s"/>
      <c r="L77" s="194" t="s"/>
      <c r="M77" s="194" t="s"/>
      <c r="N77" s="194" t="s"/>
      <c r="O77" s="194" t="s"/>
      <c r="P77" s="194" t="s"/>
      <c r="Q77" s="194" t="s"/>
      <c r="R77" s="194" t="s"/>
      <c r="S77" s="194" t="s"/>
      <c r="T77" s="194" t="s"/>
      <c r="U77" s="194" t="s"/>
      <c r="V77" s="194" t="s"/>
      <c r="W77" s="194" t="s"/>
      <c r="X77" s="194" t="s"/>
      <c r="Y77" s="194" t="s"/>
      <c r="Z77" s="194" t="s"/>
      <c r="AA77" s="194" t="s"/>
    </row>
    <row r="78" spans="1:27" customHeight="false">
      <c r="A78" s="194" t="s"/>
      <c r="B78" s="194" t="s"/>
      <c r="C78" s="194" t="s"/>
      <c r="D78" s="194" t="s"/>
      <c r="E78" s="194" t="s"/>
      <c r="F78" s="194" t="s"/>
      <c r="G78" s="194" t="s"/>
      <c r="H78" s="194" t="s"/>
      <c r="I78" s="194" t="s"/>
      <c r="J78" s="194" t="s"/>
      <c r="K78" s="194" t="s"/>
      <c r="L78" s="194" t="s"/>
      <c r="M78" s="194" t="s"/>
      <c r="N78" s="194" t="s"/>
      <c r="O78" s="194" t="s"/>
      <c r="P78" s="194" t="s"/>
      <c r="Q78" s="194" t="s"/>
      <c r="R78" s="194" t="s"/>
      <c r="S78" s="194" t="s"/>
      <c r="T78" s="194" t="s"/>
      <c r="U78" s="194" t="s"/>
      <c r="V78" s="194" t="s"/>
      <c r="W78" s="194" t="s"/>
      <c r="X78" s="194" t="s"/>
      <c r="Y78" s="194" t="s"/>
      <c r="Z78" s="194" t="s"/>
      <c r="AA78" s="194" t="s"/>
    </row>
    <row r="79" spans="1:27" customHeight="false">
      <c r="A79" s="194" t="s"/>
      <c r="B79" s="194" t="s"/>
      <c r="C79" s="194" t="s"/>
      <c r="D79" s="194" t="s"/>
      <c r="E79" s="194" t="s"/>
      <c r="F79" s="194" t="s"/>
      <c r="G79" s="194" t="s"/>
      <c r="H79" s="194" t="s"/>
      <c r="I79" s="194" t="s"/>
      <c r="J79" s="194" t="s"/>
      <c r="K79" s="194" t="s"/>
      <c r="L79" s="194" t="s"/>
      <c r="M79" s="194" t="s"/>
      <c r="N79" s="194" t="s"/>
      <c r="O79" s="194" t="s"/>
      <c r="P79" s="194" t="s"/>
      <c r="Q79" s="194" t="s"/>
      <c r="R79" s="194" t="s"/>
      <c r="S79" s="194" t="s"/>
      <c r="T79" s="194" t="s"/>
      <c r="U79" s="194" t="s"/>
      <c r="V79" s="194" t="s"/>
      <c r="W79" s="194" t="s"/>
      <c r="X79" s="194" t="s"/>
      <c r="Y79" s="194" t="s"/>
      <c r="Z79" s="194" t="s"/>
      <c r="AA79" s="194" t="s"/>
    </row>
    <row r="80" spans="1:27" customHeight="false">
      <c r="A80" s="194" t="s"/>
      <c r="B80" s="194" t="s"/>
      <c r="C80" s="194" t="s"/>
      <c r="D80" s="194" t="s"/>
      <c r="E80" s="194" t="s"/>
      <c r="F80" s="194" t="s"/>
      <c r="G80" s="194" t="s"/>
      <c r="H80" s="194" t="s"/>
      <c r="I80" s="194" t="s"/>
      <c r="J80" s="194" t="s"/>
      <c r="K80" s="194" t="s"/>
      <c r="L80" s="194" t="s"/>
      <c r="M80" s="194" t="s"/>
      <c r="N80" s="194" t="s"/>
      <c r="O80" s="194" t="s"/>
      <c r="P80" s="194" t="s"/>
      <c r="Q80" s="194" t="s"/>
      <c r="R80" s="194" t="s"/>
      <c r="S80" s="194" t="s"/>
      <c r="T80" s="194" t="s"/>
      <c r="U80" s="194" t="s"/>
      <c r="V80" s="194" t="s"/>
      <c r="W80" s="194" t="s"/>
      <c r="X80" s="194" t="s"/>
      <c r="Y80" s="194" t="s"/>
      <c r="Z80" s="194" t="s"/>
      <c r="AA80" s="194" t="s"/>
    </row>
    <row r="81" spans="1:27" customHeight="false">
      <c r="A81" s="194" t="s"/>
      <c r="B81" s="194" t="s"/>
      <c r="C81" s="194" t="s"/>
      <c r="D81" s="194" t="s"/>
      <c r="E81" s="194" t="s"/>
      <c r="F81" s="194" t="s"/>
      <c r="G81" s="194" t="s"/>
      <c r="H81" s="194" t="s"/>
      <c r="I81" s="194" t="s"/>
      <c r="J81" s="194" t="s"/>
      <c r="K81" s="194" t="s"/>
      <c r="L81" s="194" t="s"/>
      <c r="M81" s="194" t="s"/>
      <c r="N81" s="194" t="s"/>
      <c r="O81" s="194" t="s"/>
      <c r="P81" s="194" t="s"/>
      <c r="Q81" s="194" t="s"/>
      <c r="R81" s="194" t="s"/>
      <c r="S81" s="194" t="s"/>
      <c r="T81" s="194" t="s"/>
      <c r="U81" s="194" t="s"/>
      <c r="V81" s="194" t="s"/>
      <c r="W81" s="194" t="s"/>
      <c r="X81" s="194" t="s"/>
      <c r="Y81" s="194" t="s"/>
      <c r="Z81" s="194" t="s"/>
      <c r="AA81" s="194" t="s"/>
    </row>
    <row r="82" spans="1:27" customHeight="false">
      <c r="A82" s="194" t="s"/>
      <c r="B82" s="194" t="s"/>
      <c r="C82" s="194" t="s"/>
      <c r="D82" s="194" t="s"/>
      <c r="E82" s="194" t="s"/>
      <c r="F82" s="194" t="s"/>
      <c r="G82" s="194" t="s"/>
      <c r="H82" s="194" t="s"/>
      <c r="I82" s="194" t="s"/>
      <c r="J82" s="194" t="s"/>
      <c r="K82" s="194" t="s"/>
      <c r="L82" s="194" t="s"/>
      <c r="M82" s="194" t="s"/>
      <c r="N82" s="194" t="s"/>
      <c r="O82" s="194" t="s"/>
      <c r="P82" s="194" t="s"/>
      <c r="Q82" s="194" t="s"/>
      <c r="R82" s="194" t="s"/>
      <c r="S82" s="194" t="s"/>
      <c r="T82" s="194" t="s"/>
      <c r="U82" s="194" t="s"/>
      <c r="V82" s="194" t="s"/>
      <c r="W82" s="194" t="s"/>
      <c r="X82" s="194" t="s"/>
      <c r="Y82" s="194" t="s"/>
      <c r="Z82" s="194" t="s"/>
      <c r="AA82" s="194" t="s"/>
    </row>
    <row r="83" spans="1:27" customHeight="false">
      <c r="A83" s="194" t="s"/>
      <c r="B83" s="194" t="s"/>
      <c r="C83" s="194" t="s"/>
      <c r="D83" s="194" t="s"/>
      <c r="E83" s="194" t="s"/>
      <c r="F83" s="194" t="s"/>
      <c r="G83" s="194" t="s"/>
      <c r="H83" s="194" t="s"/>
      <c r="I83" s="194" t="s"/>
      <c r="J83" s="194" t="s"/>
      <c r="K83" s="194" t="s"/>
      <c r="L83" s="194" t="s"/>
      <c r="M83" s="194" t="s"/>
      <c r="N83" s="194" t="s"/>
      <c r="O83" s="194" t="s"/>
      <c r="P83" s="194" t="s"/>
      <c r="Q83" s="194" t="s"/>
      <c r="R83" s="194" t="s"/>
      <c r="S83" s="194" t="s"/>
      <c r="T83" s="194" t="s"/>
      <c r="U83" s="194" t="s"/>
      <c r="V83" s="194" t="s"/>
      <c r="W83" s="194" t="s"/>
      <c r="X83" s="194" t="s"/>
      <c r="Y83" s="194" t="s"/>
      <c r="Z83" s="194" t="s"/>
      <c r="AA83" s="194" t="s"/>
    </row>
    <row r="84" spans="1:27" customHeight="false">
      <c r="A84" s="194" t="s"/>
      <c r="B84" s="194" t="s"/>
      <c r="C84" s="194" t="s"/>
      <c r="D84" s="194" t="s"/>
      <c r="E84" s="194" t="s"/>
      <c r="F84" s="194" t="s"/>
      <c r="G84" s="194" t="s"/>
      <c r="H84" s="194" t="s"/>
      <c r="I84" s="194" t="s"/>
      <c r="J84" s="194" t="s"/>
      <c r="K84" s="194" t="s"/>
      <c r="L84" s="194" t="s"/>
      <c r="M84" s="194" t="s"/>
      <c r="N84" s="194" t="s"/>
      <c r="O84" s="194" t="s"/>
      <c r="P84" s="194" t="s"/>
      <c r="Q84" s="194" t="s"/>
      <c r="R84" s="194" t="s"/>
      <c r="S84" s="194" t="s"/>
      <c r="T84" s="194" t="s"/>
      <c r="U84" s="194" t="s"/>
      <c r="V84" s="194" t="s"/>
      <c r="W84" s="194" t="s"/>
      <c r="X84" s="194" t="s"/>
      <c r="Y84" s="194" t="s"/>
      <c r="Z84" s="194" t="s"/>
      <c r="AA84" s="194" t="s"/>
    </row>
    <row r="85" spans="1:27" customHeight="false">
      <c r="A85" s="194" t="s"/>
      <c r="B85" s="194" t="s"/>
      <c r="C85" s="194" t="s"/>
      <c r="D85" s="194" t="s"/>
      <c r="E85" s="194" t="s"/>
      <c r="F85" s="194" t="s"/>
      <c r="G85" s="194" t="s"/>
      <c r="H85" s="194" t="s"/>
      <c r="I85" s="194" t="s"/>
      <c r="J85" s="194" t="s"/>
      <c r="K85" s="194" t="s"/>
      <c r="L85" s="194" t="s"/>
      <c r="M85" s="194" t="s"/>
      <c r="N85" s="194" t="s"/>
      <c r="O85" s="194" t="s"/>
      <c r="P85" s="194" t="s"/>
      <c r="Q85" s="194" t="s"/>
      <c r="R85" s="194" t="s"/>
      <c r="S85" s="194" t="s"/>
      <c r="T85" s="194" t="s"/>
      <c r="U85" s="194" t="s"/>
      <c r="V85" s="194" t="s"/>
      <c r="W85" s="194" t="s"/>
      <c r="X85" s="194" t="s"/>
      <c r="Y85" s="194" t="s"/>
      <c r="Z85" s="194" t="s"/>
      <c r="AA85" s="194" t="s"/>
    </row>
    <row r="86" spans="1:27" customHeight="false">
      <c r="A86" s="194" t="s"/>
      <c r="B86" s="194" t="s"/>
      <c r="C86" s="194" t="s"/>
      <c r="D86" s="194" t="s"/>
      <c r="E86" s="194" t="s"/>
      <c r="F86" s="194" t="s"/>
      <c r="G86" s="194" t="s"/>
      <c r="H86" s="194" t="s"/>
      <c r="I86" s="194" t="s"/>
      <c r="J86" s="194" t="s"/>
      <c r="K86" s="194" t="s"/>
      <c r="L86" s="194" t="s"/>
      <c r="M86" s="194" t="s"/>
      <c r="N86" s="194" t="s"/>
      <c r="O86" s="194" t="s"/>
      <c r="P86" s="194" t="s"/>
      <c r="Q86" s="194" t="s"/>
      <c r="R86" s="194" t="s"/>
      <c r="S86" s="194" t="s"/>
      <c r="T86" s="194" t="s"/>
      <c r="U86" s="194" t="s"/>
      <c r="V86" s="194" t="s"/>
      <c r="W86" s="194" t="s"/>
      <c r="X86" s="194" t="s"/>
      <c r="Y86" s="194" t="s"/>
      <c r="Z86" s="194" t="s"/>
      <c r="AA86" s="194" t="s"/>
    </row>
    <row r="87" spans="1:27" customHeight="false">
      <c r="A87" s="194" t="s"/>
      <c r="B87" s="194" t="s"/>
      <c r="C87" s="194" t="s"/>
      <c r="D87" s="194" t="s"/>
      <c r="E87" s="194" t="s"/>
      <c r="F87" s="194" t="s"/>
      <c r="G87" s="194" t="s"/>
      <c r="H87" s="194" t="s"/>
      <c r="I87" s="194" t="s"/>
      <c r="J87" s="194" t="s"/>
      <c r="K87" s="194" t="s"/>
      <c r="L87" s="194" t="s"/>
      <c r="M87" s="194" t="s"/>
      <c r="N87" s="194" t="s"/>
      <c r="O87" s="194" t="s"/>
      <c r="P87" s="194" t="s"/>
      <c r="Q87" s="194" t="s"/>
      <c r="R87" s="194" t="s"/>
      <c r="S87" s="194" t="s"/>
      <c r="T87" s="194" t="s"/>
      <c r="U87" s="194" t="s"/>
      <c r="V87" s="194" t="s"/>
      <c r="W87" s="194" t="s"/>
      <c r="X87" s="194" t="s"/>
      <c r="Y87" s="194" t="s"/>
      <c r="Z87" s="194" t="s"/>
      <c r="AA87" s="194" t="s"/>
    </row>
    <row r="88" spans="1:27" customHeight="false">
      <c r="A88" s="194" t="s"/>
      <c r="B88" s="194" t="s"/>
      <c r="C88" s="194" t="s"/>
      <c r="D88" s="194" t="s"/>
      <c r="E88" s="194" t="s"/>
      <c r="F88" s="194" t="s"/>
      <c r="G88" s="194" t="s"/>
      <c r="H88" s="194" t="s"/>
      <c r="I88" s="194" t="s"/>
      <c r="J88" s="194" t="s"/>
      <c r="K88" s="194" t="s"/>
      <c r="L88" s="194" t="s"/>
      <c r="M88" s="194" t="s"/>
      <c r="N88" s="194" t="s"/>
      <c r="O88" s="194" t="s"/>
      <c r="P88" s="194" t="s"/>
      <c r="Q88" s="194" t="s"/>
      <c r="R88" s="194" t="s"/>
      <c r="S88" s="194" t="s"/>
      <c r="T88" s="194" t="s"/>
      <c r="U88" s="194" t="s"/>
      <c r="V88" s="194" t="s"/>
      <c r="W88" s="194" t="s"/>
      <c r="X88" s="194" t="s"/>
      <c r="Y88" s="194" t="s"/>
      <c r="Z88" s="194" t="s"/>
      <c r="AA88" s="194" t="s"/>
    </row>
    <row r="89" spans="1:27" customHeight="false">
      <c r="A89" s="194" t="s"/>
      <c r="B89" s="194" t="s"/>
      <c r="C89" s="194" t="s"/>
      <c r="D89" s="194" t="s"/>
      <c r="E89" s="194" t="s"/>
      <c r="F89" s="194" t="s"/>
      <c r="G89" s="194" t="s"/>
      <c r="H89" s="194" t="s"/>
      <c r="I89" s="194" t="s"/>
      <c r="J89" s="194" t="s"/>
      <c r="K89" s="194" t="s"/>
      <c r="L89" s="194" t="s"/>
      <c r="M89" s="194" t="s"/>
      <c r="N89" s="194" t="s"/>
      <c r="O89" s="194" t="s"/>
      <c r="P89" s="194" t="s"/>
      <c r="Q89" s="194" t="s"/>
      <c r="R89" s="194" t="s"/>
      <c r="S89" s="194" t="s"/>
      <c r="T89" s="194" t="s"/>
      <c r="U89" s="194" t="s"/>
      <c r="V89" s="194" t="s"/>
      <c r="W89" s="194" t="s"/>
      <c r="X89" s="194" t="s"/>
      <c r="Y89" s="194" t="s"/>
      <c r="Z89" s="194" t="s"/>
      <c r="AA89" s="194" t="s"/>
    </row>
    <row r="90" spans="1:27" customHeight="false">
      <c r="A90" s="194" t="s"/>
      <c r="B90" s="194" t="s"/>
      <c r="C90" s="194" t="s"/>
      <c r="D90" s="194" t="s"/>
      <c r="E90" s="194" t="s"/>
      <c r="F90" s="194" t="s"/>
      <c r="G90" s="194" t="s"/>
      <c r="H90" s="194" t="s"/>
      <c r="I90" s="194" t="s"/>
      <c r="J90" s="194" t="s"/>
      <c r="K90" s="194" t="s"/>
      <c r="L90" s="194" t="s"/>
      <c r="M90" s="194" t="s"/>
      <c r="N90" s="194" t="s"/>
      <c r="O90" s="194" t="s"/>
      <c r="P90" s="194" t="s"/>
      <c r="Q90" s="194" t="s"/>
      <c r="R90" s="194" t="s"/>
      <c r="S90" s="194" t="s"/>
      <c r="T90" s="194" t="s"/>
      <c r="U90" s="194" t="s"/>
      <c r="V90" s="194" t="s"/>
      <c r="W90" s="194" t="s"/>
      <c r="X90" s="194" t="s"/>
      <c r="Y90" s="194" t="s"/>
      <c r="Z90" s="194" t="s"/>
      <c r="AA90" s="194" t="s"/>
    </row>
    <row r="91" spans="1:27" customHeight="false">
      <c r="A91" s="194" t="s"/>
      <c r="B91" s="194" t="s"/>
      <c r="C91" s="194" t="s"/>
      <c r="D91" s="194" t="s"/>
      <c r="E91" s="194" t="s"/>
      <c r="F91" s="194" t="s"/>
      <c r="G91" s="194" t="s"/>
      <c r="H91" s="194" t="s"/>
      <c r="I91" s="194" t="s"/>
      <c r="J91" s="194" t="s"/>
      <c r="K91" s="194" t="s"/>
      <c r="L91" s="194" t="s"/>
      <c r="M91" s="194" t="s"/>
      <c r="N91" s="194" t="s"/>
      <c r="O91" s="194" t="s"/>
      <c r="P91" s="194" t="s"/>
      <c r="Q91" s="194" t="s"/>
      <c r="R91" s="194" t="s"/>
      <c r="S91" s="194" t="s"/>
      <c r="T91" s="194" t="s"/>
      <c r="U91" s="194" t="s"/>
      <c r="V91" s="194" t="s"/>
      <c r="W91" s="194" t="s"/>
      <c r="X91" s="194" t="s"/>
      <c r="Y91" s="194" t="s"/>
      <c r="Z91" s="194" t="s"/>
      <c r="AA91" s="194" t="s"/>
    </row>
    <row r="92" spans="1:27" customHeight="false">
      <c r="A92" s="194" t="s"/>
      <c r="B92" s="194" t="s"/>
      <c r="C92" s="194" t="s"/>
      <c r="D92" s="194" t="s"/>
      <c r="E92" s="194" t="s"/>
      <c r="F92" s="194" t="s"/>
      <c r="G92" s="194" t="s"/>
      <c r="H92" s="194" t="s"/>
      <c r="I92" s="194" t="s"/>
      <c r="J92" s="194" t="s"/>
      <c r="K92" s="194" t="s"/>
      <c r="L92" s="194" t="s"/>
      <c r="M92" s="194" t="s"/>
      <c r="N92" s="194" t="s"/>
      <c r="O92" s="194" t="s"/>
      <c r="P92" s="194" t="s"/>
      <c r="Q92" s="194" t="s"/>
      <c r="R92" s="194" t="s"/>
      <c r="S92" s="194" t="s"/>
      <c r="T92" s="194" t="s"/>
      <c r="U92" s="194" t="s"/>
      <c r="V92" s="194" t="s"/>
      <c r="W92" s="194" t="s"/>
      <c r="X92" s="194" t="s"/>
      <c r="Y92" s="194" t="s"/>
      <c r="Z92" s="194" t="s"/>
      <c r="AA92" s="194" t="s"/>
    </row>
    <row r="93" spans="1:27" customHeight="false">
      <c r="A93" s="194" t="s"/>
      <c r="B93" s="194" t="s"/>
      <c r="C93" s="194" t="s"/>
      <c r="D93" s="194" t="s"/>
      <c r="E93" s="194" t="s"/>
      <c r="F93" s="194" t="s"/>
      <c r="G93" s="194" t="s"/>
      <c r="H93" s="194" t="s"/>
      <c r="I93" s="194" t="s"/>
      <c r="J93" s="194" t="s"/>
      <c r="K93" s="194" t="s"/>
      <c r="L93" s="194" t="s"/>
      <c r="M93" s="194" t="s"/>
      <c r="N93" s="194" t="s"/>
      <c r="O93" s="194" t="s"/>
      <c r="P93" s="194" t="s"/>
      <c r="Q93" s="194" t="s"/>
      <c r="R93" s="194" t="s"/>
      <c r="S93" s="194" t="s"/>
      <c r="T93" s="194" t="s"/>
      <c r="U93" s="194" t="s"/>
      <c r="V93" s="194" t="s"/>
      <c r="W93" s="194" t="s"/>
      <c r="X93" s="194" t="s"/>
      <c r="Y93" s="194" t="s"/>
      <c r="Z93" s="194" t="s"/>
      <c r="AA93" s="194" t="s"/>
    </row>
    <row r="94" spans="1:27" customHeight="false">
      <c r="A94" s="194" t="s"/>
      <c r="B94" s="194" t="s"/>
      <c r="C94" s="194" t="s"/>
      <c r="D94" s="194" t="s"/>
      <c r="E94" s="194" t="s"/>
      <c r="F94" s="194" t="s"/>
      <c r="G94" s="194" t="s"/>
      <c r="H94" s="194" t="s"/>
      <c r="I94" s="194" t="s"/>
      <c r="J94" s="194" t="s"/>
      <c r="K94" s="194" t="s"/>
      <c r="L94" s="194" t="s"/>
      <c r="M94" s="194" t="s"/>
      <c r="N94" s="194" t="s"/>
      <c r="O94" s="194" t="s"/>
      <c r="P94" s="194" t="s"/>
      <c r="Q94" s="194" t="s"/>
      <c r="R94" s="194" t="s"/>
      <c r="S94" s="194" t="s"/>
      <c r="T94" s="194" t="s"/>
      <c r="U94" s="194" t="s"/>
      <c r="V94" s="194" t="s"/>
      <c r="W94" s="194" t="s"/>
      <c r="X94" s="194" t="s"/>
      <c r="Y94" s="194" t="s"/>
      <c r="Z94" s="194" t="s"/>
      <c r="AA94" s="194" t="s"/>
    </row>
    <row r="95" spans="1:27" customHeight="false">
      <c r="A95" s="194" t="s"/>
      <c r="B95" s="194" t="s"/>
      <c r="C95" s="194" t="s"/>
      <c r="D95" s="194" t="s"/>
      <c r="E95" s="194" t="s"/>
      <c r="F95" s="194" t="s"/>
      <c r="G95" s="194" t="s"/>
      <c r="H95" s="194" t="s"/>
      <c r="I95" s="194" t="s"/>
      <c r="J95" s="194" t="s"/>
      <c r="K95" s="194" t="s"/>
      <c r="L95" s="194" t="s"/>
      <c r="M95" s="194" t="s"/>
      <c r="N95" s="194" t="s"/>
      <c r="O95" s="194" t="s"/>
      <c r="P95" s="194" t="s"/>
      <c r="Q95" s="194" t="s"/>
      <c r="R95" s="194" t="s"/>
      <c r="S95" s="194" t="s"/>
      <c r="T95" s="194" t="s"/>
      <c r="U95" s="194" t="s"/>
      <c r="V95" s="194" t="s"/>
      <c r="W95" s="194" t="s"/>
      <c r="X95" s="194" t="s"/>
      <c r="Y95" s="194" t="s"/>
      <c r="Z95" s="194" t="s"/>
      <c r="AA95" s="194" t="s"/>
    </row>
    <row r="96" spans="1:27" customHeight="false">
      <c r="A96" s="194" t="s"/>
      <c r="B96" s="194" t="s"/>
      <c r="C96" s="194" t="s"/>
      <c r="D96" s="194" t="s"/>
      <c r="E96" s="194" t="s"/>
      <c r="F96" s="194" t="s"/>
      <c r="G96" s="194" t="s"/>
      <c r="H96" s="194" t="s"/>
      <c r="I96" s="194" t="s"/>
      <c r="J96" s="194" t="s"/>
      <c r="K96" s="194" t="s"/>
      <c r="L96" s="194" t="s"/>
      <c r="M96" s="194" t="s"/>
      <c r="N96" s="194" t="s"/>
      <c r="O96" s="194" t="s"/>
      <c r="P96" s="194" t="s"/>
      <c r="Q96" s="194" t="s"/>
      <c r="R96" s="194" t="s"/>
      <c r="S96" s="194" t="s"/>
      <c r="T96" s="194" t="s"/>
      <c r="U96" s="194" t="s"/>
      <c r="V96" s="194" t="s"/>
      <c r="W96" s="194" t="s"/>
      <c r="X96" s="194" t="s"/>
      <c r="Y96" s="194" t="s"/>
      <c r="Z96" s="194" t="s"/>
      <c r="AA96" s="194" t="s"/>
    </row>
    <row r="97" spans="1:27" customHeight="false">
      <c r="A97" s="194" t="s"/>
      <c r="B97" s="194" t="s"/>
      <c r="C97" s="194" t="s"/>
      <c r="D97" s="194" t="s"/>
      <c r="E97" s="194" t="s"/>
      <c r="F97" s="194" t="s"/>
      <c r="G97" s="194" t="s"/>
      <c r="H97" s="194" t="s"/>
      <c r="I97" s="194" t="s"/>
      <c r="J97" s="194" t="s"/>
      <c r="K97" s="194" t="s"/>
      <c r="L97" s="194" t="s"/>
      <c r="M97" s="194" t="s"/>
      <c r="N97" s="194" t="s"/>
      <c r="O97" s="194" t="s"/>
      <c r="P97" s="194" t="s"/>
      <c r="Q97" s="194" t="s"/>
      <c r="R97" s="194" t="s"/>
      <c r="S97" s="194" t="s"/>
      <c r="T97" s="194" t="s"/>
      <c r="U97" s="194" t="s"/>
      <c r="V97" s="194" t="s"/>
      <c r="W97" s="194" t="s"/>
      <c r="X97" s="194" t="s"/>
      <c r="Y97" s="194" t="s"/>
      <c r="Z97" s="194" t="s"/>
      <c r="AA97" s="194" t="s"/>
    </row>
    <row r="98" spans="1:27" customHeight="false">
      <c r="A98" s="194" t="s"/>
      <c r="B98" s="194" t="s"/>
      <c r="C98" s="194" t="s"/>
      <c r="D98" s="194" t="s"/>
      <c r="E98" s="194" t="s"/>
      <c r="F98" s="194" t="s"/>
      <c r="G98" s="194" t="s"/>
      <c r="H98" s="194" t="s"/>
      <c r="I98" s="194" t="s"/>
      <c r="J98" s="194" t="s"/>
      <c r="K98" s="194" t="s"/>
      <c r="L98" s="194" t="s"/>
      <c r="M98" s="194" t="s"/>
      <c r="N98" s="194" t="s"/>
      <c r="O98" s="194" t="s"/>
      <c r="P98" s="194" t="s"/>
      <c r="Q98" s="194" t="s"/>
      <c r="R98" s="194" t="s"/>
      <c r="S98" s="194" t="s"/>
      <c r="T98" s="194" t="s"/>
      <c r="U98" s="194" t="s"/>
      <c r="V98" s="194" t="s"/>
      <c r="W98" s="194" t="s"/>
      <c r="X98" s="194" t="s"/>
      <c r="Y98" s="194" t="s"/>
      <c r="Z98" s="194" t="s"/>
      <c r="AA98" s="194" t="s"/>
    </row>
    <row r="99" spans="1:27" customHeight="false">
      <c r="A99" s="194" t="s"/>
      <c r="B99" s="194" t="s"/>
      <c r="C99" s="194" t="s"/>
      <c r="D99" s="194" t="s"/>
      <c r="E99" s="194" t="s"/>
      <c r="F99" s="194" t="s"/>
      <c r="G99" s="194" t="s"/>
      <c r="H99" s="194" t="s"/>
      <c r="I99" s="194" t="s"/>
      <c r="J99" s="194" t="s"/>
      <c r="K99" s="194" t="s"/>
      <c r="L99" s="194" t="s"/>
      <c r="M99" s="194" t="s"/>
      <c r="N99" s="194" t="s"/>
      <c r="O99" s="194" t="s"/>
      <c r="P99" s="194" t="s"/>
      <c r="Q99" s="194" t="s"/>
      <c r="R99" s="194" t="s"/>
      <c r="S99" s="194" t="s"/>
      <c r="T99" s="194" t="s"/>
      <c r="U99" s="194" t="s"/>
      <c r="V99" s="194" t="s"/>
      <c r="W99" s="194" t="s"/>
      <c r="X99" s="194" t="s"/>
      <c r="Y99" s="194" t="s"/>
      <c r="Z99" s="194" t="s"/>
      <c r="AA99" s="194" t="s"/>
    </row>
    <row r="100" spans="1:27" customHeight="false">
      <c r="A100" s="194" t="s"/>
      <c r="B100" s="194" t="s"/>
      <c r="C100" s="194" t="s"/>
      <c r="D100" s="194" t="s"/>
      <c r="E100" s="194" t="s"/>
      <c r="F100" s="194" t="s"/>
      <c r="G100" s="194" t="s"/>
      <c r="H100" s="194" t="s"/>
      <c r="I100" s="194" t="s"/>
      <c r="J100" s="194" t="s"/>
      <c r="K100" s="194" t="s"/>
      <c r="L100" s="194" t="s"/>
      <c r="M100" s="194" t="s"/>
      <c r="N100" s="194" t="s"/>
      <c r="O100" s="194" t="s"/>
      <c r="P100" s="194" t="s"/>
      <c r="Q100" s="194" t="s"/>
      <c r="R100" s="194" t="s"/>
      <c r="S100" s="194" t="s"/>
      <c r="T100" s="194" t="s"/>
      <c r="U100" s="194" t="s"/>
      <c r="V100" s="194" t="s"/>
      <c r="W100" s="194" t="s"/>
      <c r="X100" s="194" t="s"/>
      <c r="Y100" s="194" t="s"/>
      <c r="Z100" s="194" t="s"/>
      <c r="AA100" s="194" t="s"/>
    </row>
    <row r="101" spans="1:27" customHeight="false">
      <c r="A101" s="194" t="s"/>
      <c r="B101" s="194" t="s"/>
      <c r="C101" s="194" t="s"/>
      <c r="D101" s="194" t="s"/>
      <c r="E101" s="194" t="s"/>
      <c r="F101" s="194" t="s"/>
      <c r="G101" s="194" t="s"/>
      <c r="H101" s="194" t="s"/>
      <c r="I101" s="194" t="s"/>
      <c r="J101" s="194" t="s"/>
      <c r="K101" s="194" t="s"/>
      <c r="L101" s="194" t="s"/>
      <c r="M101" s="194" t="s"/>
      <c r="N101" s="194" t="s"/>
      <c r="O101" s="194" t="s"/>
      <c r="P101" s="194" t="s"/>
      <c r="Q101" s="194" t="s"/>
      <c r="R101" s="194" t="s"/>
      <c r="S101" s="194" t="s"/>
      <c r="T101" s="194" t="s"/>
      <c r="U101" s="194" t="s"/>
      <c r="V101" s="194" t="s"/>
      <c r="W101" s="194" t="s"/>
      <c r="X101" s="194" t="s"/>
      <c r="Y101" s="194" t="s"/>
      <c r="Z101" s="194" t="s"/>
      <c r="AA101" s="194" t="s"/>
    </row>
    <row r="102" spans="1:27" customHeight="false">
      <c r="A102" s="194" t="s"/>
      <c r="B102" s="194" t="s"/>
      <c r="C102" s="194" t="s"/>
      <c r="D102" s="194" t="s"/>
      <c r="E102" s="194" t="s"/>
      <c r="F102" s="194" t="s"/>
      <c r="G102" s="194" t="s"/>
      <c r="H102" s="194" t="s"/>
      <c r="I102" s="194" t="s"/>
      <c r="J102" s="194" t="s"/>
      <c r="K102" s="194" t="s"/>
      <c r="L102" s="194" t="s"/>
      <c r="M102" s="194" t="s"/>
      <c r="N102" s="194" t="s"/>
      <c r="O102" s="194" t="s"/>
      <c r="P102" s="194" t="s"/>
      <c r="Q102" s="194" t="s"/>
      <c r="R102" s="194" t="s"/>
      <c r="S102" s="194" t="s"/>
      <c r="T102" s="194" t="s"/>
      <c r="U102" s="194" t="s"/>
      <c r="V102" s="194" t="s"/>
      <c r="W102" s="194" t="s"/>
      <c r="X102" s="194" t="s"/>
      <c r="Y102" s="194" t="s"/>
      <c r="Z102" s="194" t="s"/>
      <c r="AA102" s="194" t="s"/>
    </row>
    <row r="103" spans="1:27" customHeight="false">
      <c r="A103" s="194" t="s"/>
      <c r="B103" s="194" t="s"/>
      <c r="C103" s="194" t="s"/>
      <c r="D103" s="194" t="s"/>
      <c r="E103" s="194" t="s"/>
      <c r="F103" s="194" t="s"/>
      <c r="G103" s="194" t="s"/>
      <c r="H103" s="194" t="s"/>
      <c r="I103" s="194" t="s"/>
      <c r="J103" s="194" t="s"/>
      <c r="K103" s="194" t="s"/>
      <c r="L103" s="194" t="s"/>
      <c r="M103" s="194" t="s"/>
      <c r="N103" s="194" t="s"/>
      <c r="O103" s="194" t="s"/>
      <c r="P103" s="194" t="s"/>
      <c r="Q103" s="194" t="s"/>
      <c r="R103" s="194" t="s"/>
      <c r="S103" s="194" t="s"/>
      <c r="T103" s="194" t="s"/>
      <c r="U103" s="194" t="s"/>
      <c r="V103" s="194" t="s"/>
      <c r="W103" s="194" t="s"/>
      <c r="X103" s="194" t="s"/>
      <c r="Y103" s="194" t="s"/>
      <c r="Z103" s="194" t="s"/>
      <c r="AA103" s="194" t="s"/>
    </row>
    <row r="104" spans="1:27" customHeight="false">
      <c r="A104" s="194" t="s"/>
      <c r="B104" s="194" t="s"/>
      <c r="C104" s="194" t="s"/>
      <c r="D104" s="194" t="s"/>
      <c r="E104" s="194" t="s"/>
      <c r="F104" s="194" t="s"/>
      <c r="G104" s="194" t="s"/>
      <c r="H104" s="194" t="s"/>
      <c r="I104" s="194" t="s"/>
      <c r="J104" s="194" t="s"/>
      <c r="K104" s="194" t="s"/>
      <c r="L104" s="194" t="s"/>
      <c r="M104" s="194" t="s"/>
      <c r="N104" s="194" t="s"/>
      <c r="O104" s="194" t="s"/>
      <c r="P104" s="194" t="s"/>
      <c r="Q104" s="194" t="s"/>
      <c r="R104" s="194" t="s"/>
      <c r="S104" s="194" t="s"/>
      <c r="T104" s="194" t="s"/>
      <c r="U104" s="194" t="s"/>
      <c r="V104" s="194" t="s"/>
      <c r="W104" s="194" t="s"/>
      <c r="X104" s="194" t="s"/>
      <c r="Y104" s="194" t="s"/>
      <c r="Z104" s="194" t="s"/>
      <c r="AA104" s="194" t="s"/>
    </row>
    <row r="105" spans="1:27" customHeight="false">
      <c r="A105" s="194" t="s"/>
      <c r="B105" s="194" t="s"/>
      <c r="C105" s="194" t="s"/>
      <c r="D105" s="194" t="s"/>
      <c r="E105" s="194" t="s"/>
      <c r="F105" s="194" t="s"/>
      <c r="G105" s="194" t="s"/>
      <c r="H105" s="194" t="s"/>
      <c r="I105" s="194" t="s"/>
      <c r="J105" s="194" t="s"/>
      <c r="K105" s="194" t="s"/>
      <c r="L105" s="194" t="s"/>
      <c r="M105" s="194" t="s"/>
      <c r="N105" s="194" t="s"/>
      <c r="O105" s="194" t="s"/>
      <c r="P105" s="194" t="s"/>
      <c r="Q105" s="194" t="s"/>
      <c r="R105" s="194" t="s"/>
      <c r="S105" s="194" t="s"/>
      <c r="T105" s="194" t="s"/>
      <c r="U105" s="194" t="s"/>
      <c r="V105" s="194" t="s"/>
      <c r="W105" s="194" t="s"/>
      <c r="X105" s="194" t="s"/>
      <c r="Y105" s="194" t="s"/>
      <c r="Z105" s="194" t="s"/>
      <c r="AA105" s="194" t="s"/>
    </row>
    <row r="106" spans="1:27" customHeight="false">
      <c r="A106" s="194" t="s"/>
      <c r="B106" s="194" t="s"/>
      <c r="C106" s="194" t="s"/>
      <c r="D106" s="194" t="s"/>
      <c r="E106" s="194" t="s"/>
      <c r="F106" s="194" t="s"/>
      <c r="G106" s="194" t="s"/>
      <c r="H106" s="194" t="s"/>
      <c r="I106" s="194" t="s"/>
      <c r="J106" s="194" t="s"/>
      <c r="K106" s="194" t="s"/>
      <c r="L106" s="194" t="s"/>
      <c r="M106" s="194" t="s"/>
      <c r="N106" s="194" t="s"/>
      <c r="O106" s="194" t="s"/>
      <c r="P106" s="194" t="s"/>
      <c r="Q106" s="194" t="s"/>
      <c r="R106" s="194" t="s"/>
      <c r="S106" s="194" t="s"/>
      <c r="T106" s="194" t="s"/>
      <c r="U106" s="194" t="s"/>
      <c r="V106" s="194" t="s"/>
      <c r="W106" s="194" t="s"/>
      <c r="X106" s="194" t="s"/>
      <c r="Y106" s="194" t="s"/>
      <c r="Z106" s="194" t="s"/>
      <c r="AA106" s="194" t="s"/>
    </row>
    <row r="107" spans="1:27" customHeight="false">
      <c r="A107" s="194" t="s"/>
      <c r="B107" s="194" t="s"/>
      <c r="C107" s="194" t="s"/>
      <c r="D107" s="194" t="s"/>
      <c r="E107" s="194" t="s"/>
      <c r="F107" s="194" t="s"/>
      <c r="G107" s="194" t="s"/>
      <c r="H107" s="194" t="s"/>
      <c r="I107" s="194" t="s"/>
      <c r="J107" s="194" t="s"/>
      <c r="K107" s="194" t="s"/>
      <c r="L107" s="194" t="s"/>
      <c r="M107" s="194" t="s"/>
      <c r="N107" s="194" t="s"/>
      <c r="O107" s="194" t="s"/>
      <c r="P107" s="194" t="s"/>
      <c r="Q107" s="194" t="s"/>
      <c r="R107" s="194" t="s"/>
      <c r="S107" s="194" t="s"/>
      <c r="T107" s="194" t="s"/>
      <c r="U107" s="194" t="s"/>
      <c r="V107" s="194" t="s"/>
      <c r="W107" s="194" t="s"/>
      <c r="X107" s="194" t="s"/>
      <c r="Y107" s="194" t="s"/>
      <c r="Z107" s="194" t="s"/>
      <c r="AA107" s="194" t="s"/>
    </row>
    <row r="108" spans="1:27" customHeight="false">
      <c r="A108" s="194" t="s"/>
      <c r="B108" s="194" t="s"/>
      <c r="C108" s="194" t="s"/>
      <c r="D108" s="194" t="s"/>
      <c r="E108" s="194" t="s"/>
      <c r="F108" s="194" t="s"/>
      <c r="G108" s="194" t="s"/>
      <c r="H108" s="194" t="s"/>
      <c r="I108" s="194" t="s"/>
      <c r="J108" s="194" t="s"/>
      <c r="K108" s="194" t="s"/>
      <c r="L108" s="194" t="s"/>
      <c r="M108" s="194" t="s"/>
      <c r="N108" s="194" t="s"/>
      <c r="O108" s="194" t="s"/>
      <c r="P108" s="194" t="s"/>
      <c r="Q108" s="194" t="s"/>
      <c r="R108" s="194" t="s"/>
      <c r="S108" s="194" t="s"/>
      <c r="T108" s="194" t="s"/>
      <c r="U108" s="194" t="s"/>
      <c r="V108" s="194" t="s"/>
      <c r="W108" s="194" t="s"/>
      <c r="X108" s="194" t="s"/>
      <c r="Y108" s="194" t="s"/>
      <c r="Z108" s="194" t="s"/>
      <c r="AA108" s="194" t="s"/>
    </row>
    <row r="109" spans="1:27" customHeight="false">
      <c r="A109" s="194" t="s"/>
      <c r="B109" s="194" t="s"/>
      <c r="C109" s="194" t="s"/>
      <c r="D109" s="194" t="s"/>
      <c r="E109" s="194" t="s"/>
      <c r="F109" s="194" t="s"/>
      <c r="G109" s="194" t="s"/>
      <c r="H109" s="194" t="s"/>
      <c r="I109" s="194" t="s"/>
      <c r="J109" s="194" t="s"/>
      <c r="K109" s="194" t="s"/>
      <c r="L109" s="194" t="s"/>
      <c r="M109" s="194" t="s"/>
      <c r="N109" s="194" t="s"/>
      <c r="O109" s="194" t="s"/>
      <c r="P109" s="194" t="s"/>
      <c r="Q109" s="194" t="s"/>
      <c r="R109" s="194" t="s"/>
      <c r="S109" s="194" t="s"/>
      <c r="T109" s="194" t="s"/>
      <c r="U109" s="194" t="s"/>
      <c r="V109" s="194" t="s"/>
      <c r="W109" s="194" t="s"/>
      <c r="X109" s="194" t="s"/>
      <c r="Y109" s="194" t="s"/>
      <c r="Z109" s="194" t="s"/>
      <c r="AA109" s="194" t="s"/>
    </row>
    <row r="110" spans="1:27" customHeight="false">
      <c r="A110" s="194" t="s"/>
      <c r="B110" s="194" t="s"/>
      <c r="C110" s="194" t="s"/>
      <c r="D110" s="194" t="s"/>
      <c r="E110" s="194" t="s"/>
      <c r="F110" s="194" t="s"/>
      <c r="G110" s="194" t="s"/>
      <c r="H110" s="194" t="s"/>
      <c r="I110" s="194" t="s"/>
      <c r="J110" s="194" t="s"/>
      <c r="K110" s="194" t="s"/>
      <c r="L110" s="194" t="s"/>
      <c r="M110" s="194" t="s"/>
      <c r="N110" s="194" t="s"/>
      <c r="O110" s="194" t="s"/>
      <c r="P110" s="194" t="s"/>
      <c r="Q110" s="194" t="s"/>
      <c r="R110" s="194" t="s"/>
      <c r="S110" s="194" t="s"/>
      <c r="T110" s="194" t="s"/>
      <c r="U110" s="194" t="s"/>
      <c r="V110" s="194" t="s"/>
      <c r="W110" s="194" t="s"/>
      <c r="X110" s="194" t="s"/>
      <c r="Y110" s="194" t="s"/>
      <c r="Z110" s="194" t="s"/>
      <c r="AA110" s="194" t="s"/>
    </row>
    <row r="111" spans="1:27" customHeight="false">
      <c r="A111" s="194" t="s"/>
      <c r="B111" s="194" t="s"/>
      <c r="C111" s="194" t="s"/>
      <c r="D111" s="194" t="s"/>
      <c r="E111" s="194" t="s"/>
      <c r="F111" s="194" t="s"/>
      <c r="G111" s="194" t="s"/>
      <c r="H111" s="194" t="s"/>
      <c r="I111" s="194" t="s"/>
      <c r="J111" s="194" t="s"/>
      <c r="K111" s="194" t="s"/>
      <c r="L111" s="194" t="s"/>
      <c r="M111" s="194" t="s"/>
      <c r="N111" s="194" t="s"/>
      <c r="O111" s="194" t="s"/>
      <c r="P111" s="194" t="s"/>
      <c r="Q111" s="194" t="s"/>
      <c r="R111" s="194" t="s"/>
      <c r="S111" s="194" t="s"/>
      <c r="T111" s="194" t="s"/>
      <c r="U111" s="194" t="s"/>
      <c r="V111" s="194" t="s"/>
      <c r="W111" s="194" t="s"/>
      <c r="X111" s="194" t="s"/>
      <c r="Y111" s="194" t="s"/>
      <c r="Z111" s="194" t="s"/>
      <c r="AA111" s="194" t="s"/>
    </row>
    <row r="112" spans="1:27" customHeight="false">
      <c r="A112" s="194" t="s"/>
      <c r="B112" s="194" t="s"/>
      <c r="C112" s="194" t="s"/>
      <c r="D112" s="194" t="s"/>
      <c r="E112" s="194" t="s"/>
      <c r="F112" s="194" t="s"/>
      <c r="G112" s="194" t="s"/>
      <c r="H112" s="194" t="s"/>
      <c r="I112" s="194" t="s"/>
      <c r="J112" s="194" t="s"/>
      <c r="K112" s="194" t="s"/>
      <c r="L112" s="194" t="s"/>
      <c r="M112" s="194" t="s"/>
      <c r="N112" s="194" t="s"/>
      <c r="O112" s="194" t="s"/>
      <c r="P112" s="194" t="s"/>
      <c r="Q112" s="194" t="s"/>
      <c r="R112" s="194" t="s"/>
      <c r="S112" s="194" t="s"/>
      <c r="T112" s="194" t="s"/>
      <c r="U112" s="194" t="s"/>
      <c r="V112" s="194" t="s"/>
      <c r="W112" s="194" t="s"/>
      <c r="X112" s="194" t="s"/>
      <c r="Y112" s="194" t="s"/>
      <c r="Z112" s="194" t="s"/>
      <c r="AA112" s="194" t="s"/>
    </row>
    <row r="113" spans="1:27" customHeight="false">
      <c r="A113" s="194" t="s"/>
      <c r="B113" s="194" t="s"/>
      <c r="C113" s="194" t="s"/>
      <c r="D113" s="194" t="s"/>
      <c r="E113" s="194" t="s"/>
      <c r="F113" s="194" t="s"/>
      <c r="G113" s="194" t="s"/>
      <c r="H113" s="194" t="s"/>
      <c r="I113" s="194" t="s"/>
      <c r="J113" s="194" t="s"/>
      <c r="K113" s="194" t="s"/>
      <c r="L113" s="194" t="s"/>
      <c r="M113" s="194" t="s"/>
      <c r="N113" s="194" t="s"/>
      <c r="O113" s="194" t="s"/>
      <c r="P113" s="194" t="s"/>
      <c r="Q113" s="194" t="s"/>
      <c r="R113" s="194" t="s"/>
      <c r="S113" s="194" t="s"/>
      <c r="T113" s="194" t="s"/>
      <c r="U113" s="194" t="s"/>
      <c r="V113" s="194" t="s"/>
      <c r="W113" s="194" t="s"/>
      <c r="X113" s="194" t="s"/>
      <c r="Y113" s="194" t="s"/>
      <c r="Z113" s="194" t="s"/>
      <c r="AA113" s="194" t="s"/>
    </row>
    <row r="114" spans="1:27" customHeight="false">
      <c r="A114" s="194" t="s"/>
      <c r="B114" s="194" t="s"/>
      <c r="C114" s="194" t="s"/>
      <c r="D114" s="194" t="s"/>
      <c r="E114" s="194" t="s"/>
      <c r="F114" s="194" t="s"/>
      <c r="G114" s="194" t="s"/>
      <c r="H114" s="194" t="s"/>
      <c r="I114" s="194" t="s"/>
      <c r="J114" s="194" t="s"/>
      <c r="K114" s="194" t="s"/>
      <c r="L114" s="194" t="s"/>
      <c r="M114" s="194" t="s"/>
      <c r="N114" s="194" t="s"/>
      <c r="O114" s="194" t="s"/>
      <c r="P114" s="194" t="s"/>
      <c r="Q114" s="194" t="s"/>
      <c r="R114" s="194" t="s"/>
      <c r="S114" s="194" t="s"/>
      <c r="T114" s="194" t="s"/>
      <c r="U114" s="194" t="s"/>
      <c r="V114" s="194" t="s"/>
      <c r="W114" s="194" t="s"/>
      <c r="X114" s="194" t="s"/>
      <c r="Y114" s="194" t="s"/>
      <c r="Z114" s="194" t="s"/>
      <c r="AA114" s="194" t="s"/>
    </row>
    <row r="115" spans="1:27" customHeight="false">
      <c r="A115" s="194" t="s"/>
      <c r="B115" s="194" t="s"/>
      <c r="C115" s="194" t="s"/>
      <c r="D115" s="194" t="s"/>
      <c r="E115" s="194" t="s"/>
      <c r="F115" s="194" t="s"/>
      <c r="G115" s="194" t="s"/>
      <c r="H115" s="194" t="s"/>
      <c r="I115" s="194" t="s"/>
      <c r="J115" s="194" t="s"/>
      <c r="K115" s="194" t="s"/>
      <c r="L115" s="194" t="s"/>
      <c r="M115" s="194" t="s"/>
      <c r="N115" s="194" t="s"/>
      <c r="O115" s="194" t="s"/>
      <c r="P115" s="194" t="s"/>
      <c r="Q115" s="194" t="s"/>
      <c r="R115" s="194" t="s"/>
      <c r="S115" s="194" t="s"/>
      <c r="T115" s="194" t="s"/>
      <c r="U115" s="194" t="s"/>
      <c r="V115" s="194" t="s"/>
      <c r="W115" s="194" t="s"/>
      <c r="X115" s="194" t="s"/>
      <c r="Y115" s="194" t="s"/>
      <c r="Z115" s="194" t="s"/>
      <c r="AA115" s="194" t="s"/>
    </row>
    <row r="116" spans="1:27" customHeight="false">
      <c r="A116" s="194" t="s"/>
      <c r="B116" s="194" t="s"/>
      <c r="C116" s="194" t="s"/>
      <c r="D116" s="194" t="s"/>
      <c r="E116" s="194" t="s"/>
      <c r="F116" s="194" t="s"/>
      <c r="G116" s="194" t="s"/>
      <c r="H116" s="194" t="s"/>
      <c r="I116" s="194" t="s"/>
      <c r="J116" s="194" t="s"/>
      <c r="K116" s="194" t="s"/>
      <c r="L116" s="194" t="s"/>
      <c r="M116" s="194" t="s"/>
      <c r="N116" s="194" t="s"/>
      <c r="O116" s="194" t="s"/>
      <c r="P116" s="194" t="s"/>
      <c r="Q116" s="194" t="s"/>
      <c r="R116" s="194" t="s"/>
      <c r="S116" s="194" t="s"/>
      <c r="T116" s="194" t="s"/>
      <c r="U116" s="194" t="s"/>
      <c r="V116" s="194" t="s"/>
      <c r="W116" s="194" t="s"/>
      <c r="X116" s="194" t="s"/>
      <c r="Y116" s="194" t="s"/>
      <c r="Z116" s="194" t="s"/>
      <c r="AA116" s="194" t="s"/>
    </row>
    <row r="117" spans="1:27" customHeight="false">
      <c r="A117" s="194" t="s"/>
      <c r="B117" s="194" t="s"/>
      <c r="C117" s="194" t="s"/>
      <c r="D117" s="194" t="s"/>
      <c r="E117" s="194" t="s"/>
      <c r="F117" s="194" t="s"/>
      <c r="G117" s="194" t="s"/>
      <c r="H117" s="194" t="s"/>
      <c r="I117" s="194" t="s"/>
      <c r="J117" s="194" t="s"/>
      <c r="K117" s="194" t="s"/>
      <c r="L117" s="194" t="s"/>
      <c r="M117" s="194" t="s"/>
      <c r="N117" s="194" t="s"/>
      <c r="O117" s="194" t="s"/>
      <c r="P117" s="194" t="s"/>
      <c r="Q117" s="194" t="s"/>
      <c r="R117" s="194" t="s"/>
      <c r="S117" s="194" t="s"/>
      <c r="T117" s="194" t="s"/>
      <c r="U117" s="194" t="s"/>
      <c r="V117" s="194" t="s"/>
      <c r="W117" s="194" t="s"/>
      <c r="X117" s="194" t="s"/>
      <c r="Y117" s="194" t="s"/>
      <c r="Z117" s="194" t="s"/>
      <c r="AA117" s="194" t="s"/>
    </row>
    <row r="118" spans="1:27" customHeight="false">
      <c r="A118" s="194" t="s"/>
      <c r="B118" s="194" t="s"/>
      <c r="C118" s="194" t="s"/>
      <c r="D118" s="194" t="s"/>
      <c r="E118" s="194" t="s"/>
      <c r="F118" s="194" t="s"/>
      <c r="G118" s="194" t="s"/>
      <c r="H118" s="194" t="s"/>
      <c r="I118" s="194" t="s"/>
      <c r="J118" s="194" t="s"/>
      <c r="K118" s="194" t="s"/>
      <c r="L118" s="194" t="s"/>
      <c r="M118" s="194" t="s"/>
      <c r="N118" s="194" t="s"/>
      <c r="O118" s="194" t="s"/>
      <c r="P118" s="194" t="s"/>
      <c r="Q118" s="194" t="s"/>
      <c r="R118" s="194" t="s"/>
      <c r="S118" s="194" t="s"/>
      <c r="T118" s="194" t="s"/>
      <c r="U118" s="194" t="s"/>
      <c r="V118" s="194" t="s"/>
      <c r="W118" s="194" t="s"/>
      <c r="X118" s="194" t="s"/>
      <c r="Y118" s="194" t="s"/>
      <c r="Z118" s="194" t="s"/>
      <c r="AA118" s="194" t="s"/>
    </row>
    <row r="119" spans="1:27" customHeight="false">
      <c r="A119" s="194" t="s"/>
      <c r="B119" s="194" t="s"/>
      <c r="C119" s="194" t="s"/>
      <c r="D119" s="194" t="s"/>
      <c r="E119" s="194" t="s"/>
      <c r="F119" s="194" t="s"/>
      <c r="G119" s="194" t="s"/>
      <c r="H119" s="194" t="s"/>
      <c r="I119" s="194" t="s"/>
      <c r="J119" s="194" t="s"/>
      <c r="K119" s="194" t="s"/>
      <c r="L119" s="194" t="s"/>
      <c r="M119" s="194" t="s"/>
      <c r="N119" s="194" t="s"/>
      <c r="O119" s="194" t="s"/>
      <c r="P119" s="194" t="s"/>
      <c r="Q119" s="194" t="s"/>
      <c r="R119" s="194" t="s"/>
      <c r="S119" s="194" t="s"/>
      <c r="T119" s="194" t="s"/>
      <c r="U119" s="194" t="s"/>
      <c r="V119" s="194" t="s"/>
      <c r="W119" s="194" t="s"/>
      <c r="X119" s="194" t="s"/>
      <c r="Y119" s="194" t="s"/>
      <c r="Z119" s="194" t="s"/>
      <c r="AA119" s="194" t="s"/>
    </row>
    <row r="120" spans="1:27" customHeight="false">
      <c r="A120" s="194" t="s"/>
      <c r="B120" s="194" t="s"/>
      <c r="C120" s="194" t="s"/>
      <c r="D120" s="194" t="s"/>
      <c r="E120" s="194" t="s"/>
      <c r="F120" s="194" t="s"/>
      <c r="G120" s="194" t="s"/>
      <c r="H120" s="194" t="s"/>
      <c r="I120" s="194" t="s"/>
      <c r="J120" s="194" t="s"/>
      <c r="K120" s="194" t="s"/>
      <c r="L120" s="194" t="s"/>
      <c r="M120" s="194" t="s"/>
      <c r="N120" s="194" t="s"/>
      <c r="O120" s="194" t="s"/>
      <c r="P120" s="194" t="s"/>
      <c r="Q120" s="194" t="s"/>
      <c r="R120" s="194" t="s"/>
      <c r="S120" s="194" t="s"/>
      <c r="T120" s="194" t="s"/>
      <c r="U120" s="194" t="s"/>
      <c r="V120" s="194" t="s"/>
      <c r="W120" s="194" t="s"/>
      <c r="X120" s="194" t="s"/>
      <c r="Y120" s="194" t="s"/>
      <c r="Z120" s="194" t="s"/>
      <c r="AA120" s="194" t="s"/>
    </row>
    <row r="121" spans="1:27" customHeight="false">
      <c r="A121" s="194" t="s"/>
      <c r="B121" s="194" t="s"/>
      <c r="C121" s="194" t="s"/>
      <c r="D121" s="194" t="s"/>
      <c r="E121" s="194" t="s"/>
      <c r="F121" s="194" t="s"/>
      <c r="G121" s="194" t="s"/>
      <c r="H121" s="194" t="s"/>
      <c r="I121" s="194" t="s"/>
      <c r="J121" s="194" t="s"/>
      <c r="K121" s="194" t="s"/>
      <c r="L121" s="194" t="s"/>
      <c r="M121" s="194" t="s"/>
      <c r="N121" s="194" t="s"/>
      <c r="O121" s="194" t="s"/>
      <c r="P121" s="194" t="s"/>
      <c r="Q121" s="194" t="s"/>
      <c r="R121" s="194" t="s"/>
      <c r="S121" s="194" t="s"/>
      <c r="T121" s="194" t="s"/>
      <c r="U121" s="194" t="s"/>
      <c r="V121" s="194" t="s"/>
      <c r="W121" s="194" t="s"/>
      <c r="X121" s="194" t="s"/>
      <c r="Y121" s="194" t="s"/>
      <c r="Z121" s="194" t="s"/>
      <c r="AA121" s="194" t="s"/>
    </row>
    <row r="122" spans="1:27" customHeight="false">
      <c r="A122" s="194" t="s"/>
      <c r="B122" s="194" t="s"/>
      <c r="C122" s="194" t="s"/>
      <c r="D122" s="194" t="s"/>
      <c r="E122" s="194" t="s"/>
      <c r="F122" s="194" t="s"/>
      <c r="G122" s="194" t="s"/>
      <c r="H122" s="194" t="s"/>
      <c r="I122" s="194" t="s"/>
      <c r="J122" s="194" t="s"/>
      <c r="K122" s="194" t="s"/>
      <c r="L122" s="194" t="s"/>
      <c r="M122" s="194" t="s"/>
      <c r="N122" s="194" t="s"/>
      <c r="O122" s="194" t="s"/>
      <c r="P122" s="194" t="s"/>
      <c r="Q122" s="194" t="s"/>
      <c r="R122" s="194" t="s"/>
      <c r="S122" s="194" t="s"/>
      <c r="T122" s="194" t="s"/>
      <c r="U122" s="194" t="s"/>
      <c r="V122" s="194" t="s"/>
      <c r="W122" s="194" t="s"/>
      <c r="X122" s="194" t="s"/>
      <c r="Y122" s="194" t="s"/>
      <c r="Z122" s="194" t="s"/>
      <c r="AA122" s="194" t="s"/>
    </row>
    <row r="123" spans="1:27" customHeight="false">
      <c r="A123" s="194" t="s"/>
      <c r="B123" s="194" t="s"/>
      <c r="C123" s="194" t="s"/>
      <c r="D123" s="194" t="s"/>
      <c r="E123" s="194" t="s"/>
      <c r="F123" s="194" t="s"/>
      <c r="G123" s="194" t="s"/>
      <c r="H123" s="194" t="s"/>
      <c r="I123" s="194" t="s"/>
      <c r="J123" s="194" t="s"/>
      <c r="K123" s="194" t="s"/>
      <c r="L123" s="194" t="s"/>
      <c r="M123" s="194" t="s"/>
      <c r="N123" s="194" t="s"/>
      <c r="O123" s="194" t="s"/>
      <c r="P123" s="194" t="s"/>
      <c r="Q123" s="194" t="s"/>
      <c r="R123" s="194" t="s"/>
      <c r="S123" s="194" t="s"/>
      <c r="T123" s="194" t="s"/>
      <c r="U123" s="194" t="s"/>
      <c r="V123" s="194" t="s"/>
      <c r="W123" s="194" t="s"/>
      <c r="X123" s="194" t="s"/>
      <c r="Y123" s="194" t="s"/>
      <c r="Z123" s="194" t="s"/>
      <c r="AA123" s="194" t="s"/>
    </row>
    <row r="124" spans="1:27" customHeight="false">
      <c r="A124" s="194" t="s"/>
      <c r="B124" s="194" t="s"/>
      <c r="C124" s="194" t="s"/>
      <c r="D124" s="194" t="s"/>
      <c r="E124" s="194" t="s"/>
      <c r="F124" s="194" t="s"/>
      <c r="G124" s="194" t="s"/>
      <c r="H124" s="194" t="s"/>
      <c r="I124" s="194" t="s"/>
      <c r="J124" s="194" t="s"/>
      <c r="K124" s="194" t="s"/>
      <c r="L124" s="194" t="s"/>
      <c r="M124" s="194" t="s"/>
      <c r="N124" s="194" t="s"/>
      <c r="O124" s="194" t="s"/>
      <c r="P124" s="194" t="s"/>
      <c r="Q124" s="194" t="s"/>
      <c r="R124" s="194" t="s"/>
      <c r="S124" s="194" t="s"/>
      <c r="T124" s="194" t="s"/>
      <c r="U124" s="194" t="s"/>
      <c r="V124" s="194" t="s"/>
      <c r="W124" s="194" t="s"/>
      <c r="X124" s="194" t="s"/>
      <c r="Y124" s="194" t="s"/>
      <c r="Z124" s="194" t="s"/>
      <c r="AA124" s="194" t="s"/>
    </row>
    <row r="125" spans="1:27" customHeight="false">
      <c r="A125" s="194" t="s"/>
      <c r="B125" s="194" t="s"/>
      <c r="C125" s="194" t="s"/>
      <c r="D125" s="194" t="s"/>
      <c r="E125" s="194" t="s"/>
      <c r="F125" s="194" t="s"/>
      <c r="G125" s="194" t="s"/>
      <c r="H125" s="194" t="s"/>
      <c r="I125" s="194" t="s"/>
      <c r="J125" s="194" t="s"/>
      <c r="K125" s="194" t="s"/>
      <c r="L125" s="194" t="s"/>
      <c r="M125" s="194" t="s"/>
      <c r="N125" s="194" t="s"/>
      <c r="O125" s="194" t="s"/>
      <c r="P125" s="194" t="s"/>
      <c r="Q125" s="194" t="s"/>
      <c r="R125" s="194" t="s"/>
      <c r="S125" s="194" t="s"/>
      <c r="T125" s="194" t="s"/>
      <c r="U125" s="194" t="s"/>
      <c r="V125" s="194" t="s"/>
      <c r="W125" s="194" t="s"/>
      <c r="X125" s="194" t="s"/>
      <c r="Y125" s="194" t="s"/>
      <c r="Z125" s="194" t="s"/>
      <c r="AA125" s="194" t="s"/>
    </row>
    <row r="126" spans="1:27" customHeight="false">
      <c r="A126" s="194" t="s"/>
      <c r="B126" s="194" t="s"/>
      <c r="C126" s="194" t="s"/>
      <c r="D126" s="194" t="s"/>
      <c r="E126" s="194" t="s"/>
      <c r="F126" s="194" t="s"/>
      <c r="G126" s="194" t="s"/>
      <c r="H126" s="194" t="s"/>
      <c r="I126" s="194" t="s"/>
      <c r="J126" s="194" t="s"/>
      <c r="K126" s="194" t="s"/>
      <c r="L126" s="194" t="s"/>
      <c r="M126" s="194" t="s"/>
      <c r="N126" s="194" t="s"/>
      <c r="O126" s="194" t="s"/>
      <c r="P126" s="194" t="s"/>
      <c r="Q126" s="194" t="s"/>
      <c r="R126" s="194" t="s"/>
      <c r="S126" s="194" t="s"/>
      <c r="T126" s="194" t="s"/>
      <c r="U126" s="194" t="s"/>
      <c r="V126" s="194" t="s"/>
      <c r="W126" s="194" t="s"/>
      <c r="X126" s="194" t="s"/>
      <c r="Y126" s="194" t="s"/>
      <c r="Z126" s="194" t="s"/>
      <c r="AA126" s="194" t="s"/>
    </row>
    <row r="127" spans="1:27" customHeight="false">
      <c r="A127" s="194" t="s"/>
      <c r="B127" s="194" t="s"/>
      <c r="C127" s="194" t="s"/>
      <c r="D127" s="194" t="s"/>
      <c r="E127" s="194" t="s"/>
      <c r="F127" s="194" t="s"/>
      <c r="G127" s="194" t="s"/>
      <c r="H127" s="194" t="s"/>
      <c r="I127" s="194" t="s"/>
      <c r="J127" s="194" t="s"/>
      <c r="K127" s="194" t="s"/>
      <c r="L127" s="194" t="s"/>
      <c r="M127" s="194" t="s"/>
      <c r="N127" s="194" t="s"/>
      <c r="O127" s="194" t="s"/>
      <c r="P127" s="194" t="s"/>
      <c r="Q127" s="194" t="s"/>
      <c r="R127" s="194" t="s"/>
      <c r="S127" s="194" t="s"/>
      <c r="T127" s="194" t="s"/>
      <c r="U127" s="194" t="s"/>
      <c r="V127" s="194" t="s"/>
      <c r="W127" s="194" t="s"/>
      <c r="X127" s="194" t="s"/>
      <c r="Y127" s="194" t="s"/>
      <c r="Z127" s="194" t="s"/>
      <c r="AA127" s="194" t="s"/>
    </row>
    <row r="128" spans="1:27" customHeight="false">
      <c r="A128" s="194" t="s"/>
      <c r="B128" s="194" t="s"/>
      <c r="C128" s="194" t="s"/>
      <c r="D128" s="194" t="s"/>
      <c r="E128" s="194" t="s"/>
      <c r="F128" s="194" t="s"/>
      <c r="G128" s="194" t="s"/>
      <c r="H128" s="194" t="s"/>
      <c r="I128" s="194" t="s"/>
      <c r="J128" s="194" t="s"/>
      <c r="K128" s="194" t="s"/>
      <c r="L128" s="194" t="s"/>
      <c r="M128" s="194" t="s"/>
      <c r="N128" s="194" t="s"/>
      <c r="O128" s="194" t="s"/>
      <c r="P128" s="194" t="s"/>
      <c r="Q128" s="194" t="s"/>
      <c r="R128" s="194" t="s"/>
      <c r="S128" s="194" t="s"/>
      <c r="T128" s="194" t="s"/>
      <c r="U128" s="194" t="s"/>
      <c r="V128" s="194" t="s"/>
      <c r="W128" s="194" t="s"/>
      <c r="X128" s="194" t="s"/>
      <c r="Y128" s="194" t="s"/>
      <c r="Z128" s="194" t="s"/>
      <c r="AA128" s="194" t="s"/>
    </row>
    <row r="129" spans="1:27" customHeight="false">
      <c r="A129" s="194" t="s"/>
      <c r="B129" s="194" t="s"/>
      <c r="C129" s="194" t="s"/>
      <c r="D129" s="194" t="s"/>
      <c r="E129" s="194" t="s"/>
      <c r="F129" s="194" t="s"/>
      <c r="G129" s="194" t="s"/>
      <c r="H129" s="194" t="s"/>
      <c r="I129" s="194" t="s"/>
      <c r="J129" s="194" t="s"/>
      <c r="K129" s="194" t="s"/>
      <c r="L129" s="194" t="s"/>
      <c r="M129" s="194" t="s"/>
      <c r="N129" s="194" t="s"/>
      <c r="O129" s="194" t="s"/>
      <c r="P129" s="194" t="s"/>
      <c r="Q129" s="194" t="s"/>
      <c r="R129" s="194" t="s"/>
      <c r="S129" s="194" t="s"/>
      <c r="T129" s="194" t="s"/>
      <c r="U129" s="194" t="s"/>
      <c r="V129" s="194" t="s"/>
      <c r="W129" s="194" t="s"/>
      <c r="X129" s="194" t="s"/>
      <c r="Y129" s="194" t="s"/>
      <c r="Z129" s="194" t="s"/>
      <c r="AA129" s="194" t="s"/>
    </row>
    <row r="130" spans="1:27" customHeight="false">
      <c r="A130" s="194" t="s"/>
      <c r="B130" s="194" t="s"/>
      <c r="C130" s="194" t="s"/>
      <c r="D130" s="194" t="s"/>
      <c r="E130" s="194" t="s"/>
      <c r="F130" s="194" t="s"/>
      <c r="G130" s="194" t="s"/>
      <c r="H130" s="194" t="s"/>
      <c r="I130" s="194" t="s"/>
      <c r="J130" s="194" t="s"/>
      <c r="K130" s="194" t="s"/>
      <c r="L130" s="194" t="s"/>
      <c r="M130" s="194" t="s"/>
      <c r="N130" s="194" t="s"/>
      <c r="O130" s="194" t="s"/>
      <c r="P130" s="194" t="s"/>
      <c r="Q130" s="194" t="s"/>
      <c r="R130" s="194" t="s"/>
      <c r="S130" s="194" t="s"/>
      <c r="T130" s="194" t="s"/>
      <c r="U130" s="194" t="s"/>
      <c r="V130" s="194" t="s"/>
      <c r="W130" s="194" t="s"/>
      <c r="X130" s="194" t="s"/>
      <c r="Y130" s="194" t="s"/>
      <c r="Z130" s="194" t="s"/>
      <c r="AA130" s="194" t="s"/>
    </row>
    <row r="131" spans="1:27" customHeight="false">
      <c r="A131" s="194" t="s"/>
      <c r="B131" s="194" t="s"/>
      <c r="C131" s="194" t="s"/>
      <c r="D131" s="194" t="s"/>
      <c r="E131" s="194" t="s"/>
      <c r="F131" s="194" t="s"/>
      <c r="G131" s="194" t="s"/>
      <c r="H131" s="194" t="s"/>
      <c r="I131" s="194" t="s"/>
      <c r="J131" s="194" t="s"/>
      <c r="K131" s="194" t="s"/>
      <c r="L131" s="194" t="s"/>
      <c r="M131" s="194" t="s"/>
      <c r="N131" s="194" t="s"/>
      <c r="O131" s="194" t="s"/>
      <c r="P131" s="194" t="s"/>
      <c r="Q131" s="194" t="s"/>
      <c r="R131" s="194" t="s"/>
      <c r="S131" s="194" t="s"/>
      <c r="T131" s="194" t="s"/>
      <c r="U131" s="194" t="s"/>
      <c r="V131" s="194" t="s"/>
      <c r="W131" s="194" t="s"/>
      <c r="X131" s="194" t="s"/>
      <c r="Y131" s="194" t="s"/>
      <c r="Z131" s="194" t="s"/>
      <c r="AA131" s="194" t="s"/>
    </row>
    <row r="132" spans="1:27" customHeight="false">
      <c r="A132" s="194" t="s"/>
      <c r="B132" s="194" t="s"/>
      <c r="C132" s="194" t="s"/>
      <c r="D132" s="194" t="s"/>
      <c r="E132" s="194" t="s"/>
      <c r="F132" s="194" t="s"/>
      <c r="G132" s="194" t="s"/>
      <c r="H132" s="194" t="s"/>
      <c r="I132" s="194" t="s"/>
      <c r="J132" s="194" t="s"/>
      <c r="K132" s="194" t="s"/>
      <c r="L132" s="194" t="s"/>
      <c r="M132" s="194" t="s"/>
      <c r="N132" s="194" t="s"/>
      <c r="O132" s="194" t="s"/>
      <c r="P132" s="194" t="s"/>
      <c r="Q132" s="194" t="s"/>
      <c r="R132" s="194" t="s"/>
      <c r="S132" s="194" t="s"/>
      <c r="T132" s="194" t="s"/>
      <c r="U132" s="194" t="s"/>
      <c r="V132" s="194" t="s"/>
      <c r="W132" s="194" t="s"/>
      <c r="X132" s="194" t="s"/>
      <c r="Y132" s="194" t="s"/>
      <c r="Z132" s="194" t="s"/>
      <c r="AA132" s="194" t="s"/>
    </row>
    <row r="133" spans="1:27" customHeight="false">
      <c r="A133" s="194" t="s"/>
      <c r="B133" s="194" t="s"/>
      <c r="C133" s="194" t="s"/>
      <c r="D133" s="194" t="s"/>
      <c r="E133" s="194" t="s"/>
      <c r="F133" s="194" t="s"/>
      <c r="G133" s="194" t="s"/>
      <c r="H133" s="194" t="s"/>
      <c r="I133" s="194" t="s"/>
      <c r="J133" s="194" t="s"/>
      <c r="K133" s="194" t="s"/>
      <c r="L133" s="194" t="s"/>
      <c r="M133" s="194" t="s"/>
      <c r="N133" s="194" t="s"/>
      <c r="O133" s="194" t="s"/>
      <c r="P133" s="194" t="s"/>
      <c r="Q133" s="194" t="s"/>
      <c r="R133" s="194" t="s"/>
      <c r="S133" s="194" t="s"/>
      <c r="T133" s="194" t="s"/>
      <c r="U133" s="194" t="s"/>
      <c r="V133" s="194" t="s"/>
      <c r="W133" s="194" t="s"/>
      <c r="X133" s="194" t="s"/>
      <c r="Y133" s="194" t="s"/>
      <c r="Z133" s="194" t="s"/>
      <c r="AA133" s="194" t="s"/>
    </row>
    <row r="134" spans="1:27" customHeight="false">
      <c r="A134" s="194" t="s"/>
      <c r="B134" s="194" t="s"/>
      <c r="C134" s="194" t="s"/>
      <c r="D134" s="194" t="s"/>
      <c r="E134" s="194" t="s"/>
      <c r="F134" s="194" t="s"/>
      <c r="G134" s="194" t="s"/>
      <c r="H134" s="194" t="s"/>
      <c r="I134" s="194" t="s"/>
      <c r="J134" s="194" t="s"/>
      <c r="K134" s="194" t="s"/>
      <c r="L134" s="194" t="s"/>
      <c r="M134" s="194" t="s"/>
      <c r="N134" s="194" t="s"/>
      <c r="O134" s="194" t="s"/>
      <c r="P134" s="194" t="s"/>
      <c r="Q134" s="194" t="s"/>
      <c r="R134" s="194" t="s"/>
      <c r="S134" s="194" t="s"/>
      <c r="T134" s="194" t="s"/>
      <c r="U134" s="194" t="s"/>
      <c r="V134" s="194" t="s"/>
      <c r="W134" s="194" t="s"/>
      <c r="X134" s="194" t="s"/>
      <c r="Y134" s="194" t="s"/>
      <c r="Z134" s="194" t="s"/>
      <c r="AA134" s="194" t="s"/>
    </row>
    <row r="135" spans="1:27" customHeight="false">
      <c r="A135" s="194" t="s"/>
      <c r="B135" s="194" t="s"/>
      <c r="C135" s="194" t="s"/>
      <c r="D135" s="194" t="s"/>
      <c r="E135" s="194" t="s"/>
      <c r="F135" s="194" t="s"/>
      <c r="G135" s="194" t="s"/>
      <c r="H135" s="194" t="s"/>
      <c r="I135" s="194" t="s"/>
      <c r="J135" s="194" t="s"/>
      <c r="K135" s="194" t="s"/>
      <c r="L135" s="194" t="s"/>
      <c r="M135" s="194" t="s"/>
      <c r="N135" s="194" t="s"/>
      <c r="O135" s="194" t="s"/>
      <c r="P135" s="194" t="s"/>
      <c r="Q135" s="194" t="s"/>
      <c r="R135" s="194" t="s"/>
      <c r="S135" s="194" t="s"/>
      <c r="T135" s="194" t="s"/>
      <c r="U135" s="194" t="s"/>
      <c r="V135" s="194" t="s"/>
      <c r="W135" s="194" t="s"/>
      <c r="X135" s="194" t="s"/>
      <c r="Y135" s="194" t="s"/>
      <c r="Z135" s="194" t="s"/>
      <c r="AA135" s="194" t="s"/>
    </row>
    <row r="136" spans="1:27" customHeight="false">
      <c r="A136" s="194" t="s"/>
      <c r="B136" s="194" t="s"/>
      <c r="C136" s="194" t="s"/>
      <c r="D136" s="194" t="s"/>
      <c r="E136" s="194" t="s"/>
      <c r="F136" s="194" t="s"/>
      <c r="G136" s="194" t="s"/>
      <c r="H136" s="194" t="s"/>
      <c r="I136" s="194" t="s"/>
      <c r="J136" s="194" t="s"/>
      <c r="K136" s="194" t="s"/>
      <c r="L136" s="194" t="s"/>
      <c r="M136" s="194" t="s"/>
      <c r="N136" s="194" t="s"/>
      <c r="O136" s="194" t="s"/>
      <c r="P136" s="194" t="s"/>
      <c r="Q136" s="194" t="s"/>
      <c r="R136" s="194" t="s"/>
      <c r="S136" s="194" t="s"/>
      <c r="T136" s="194" t="s"/>
      <c r="U136" s="194" t="s"/>
      <c r="V136" s="194" t="s"/>
      <c r="W136" s="194" t="s"/>
      <c r="X136" s="194" t="s"/>
      <c r="Y136" s="194" t="s"/>
      <c r="Z136" s="194" t="s"/>
      <c r="AA136" s="194" t="s"/>
    </row>
    <row r="137" spans="1:27" customHeight="false">
      <c r="A137" s="194" t="s"/>
      <c r="B137" s="194" t="s"/>
      <c r="C137" s="194" t="s"/>
      <c r="D137" s="194" t="s"/>
      <c r="E137" s="194" t="s"/>
      <c r="F137" s="194" t="s"/>
      <c r="G137" s="194" t="s"/>
      <c r="H137" s="194" t="s"/>
      <c r="I137" s="194" t="s"/>
      <c r="J137" s="194" t="s"/>
      <c r="K137" s="194" t="s"/>
      <c r="L137" s="194" t="s"/>
      <c r="M137" s="194" t="s"/>
      <c r="N137" s="194" t="s"/>
      <c r="O137" s="194" t="s"/>
      <c r="P137" s="194" t="s"/>
      <c r="Q137" s="194" t="s"/>
      <c r="R137" s="194" t="s"/>
      <c r="S137" s="194" t="s"/>
      <c r="T137" s="194" t="s"/>
      <c r="U137" s="194" t="s"/>
      <c r="V137" s="194" t="s"/>
      <c r="W137" s="194" t="s"/>
      <c r="X137" s="194" t="s"/>
      <c r="Y137" s="194" t="s"/>
      <c r="Z137" s="194" t="s"/>
      <c r="AA137" s="194" t="s"/>
    </row>
    <row r="138" spans="1:27" customHeight="false">
      <c r="A138" s="194" t="s"/>
      <c r="B138" s="194" t="s"/>
      <c r="C138" s="194" t="s"/>
      <c r="D138" s="194" t="s"/>
      <c r="E138" s="194" t="s"/>
      <c r="F138" s="194" t="s"/>
      <c r="G138" s="194" t="s"/>
      <c r="H138" s="194" t="s"/>
      <c r="I138" s="194" t="s"/>
      <c r="J138" s="194" t="s"/>
      <c r="K138" s="194" t="s"/>
      <c r="L138" s="194" t="s"/>
      <c r="M138" s="194" t="s"/>
      <c r="N138" s="194" t="s"/>
      <c r="O138" s="194" t="s"/>
      <c r="P138" s="194" t="s"/>
      <c r="Q138" s="194" t="s"/>
      <c r="R138" s="194" t="s"/>
      <c r="S138" s="194" t="s"/>
      <c r="T138" s="194" t="s"/>
      <c r="U138" s="194" t="s"/>
      <c r="V138" s="194" t="s"/>
      <c r="W138" s="194" t="s"/>
      <c r="X138" s="194" t="s"/>
      <c r="Y138" s="194" t="s"/>
      <c r="Z138" s="194" t="s"/>
      <c r="AA138" s="194" t="s"/>
    </row>
    <row r="139" spans="1:27" customHeight="false">
      <c r="A139" s="194" t="s"/>
      <c r="B139" s="194" t="s"/>
      <c r="C139" s="194" t="s"/>
      <c r="D139" s="194" t="s"/>
      <c r="E139" s="194" t="s"/>
      <c r="F139" s="194" t="s"/>
      <c r="G139" s="194" t="s"/>
      <c r="H139" s="194" t="s"/>
      <c r="I139" s="194" t="s"/>
      <c r="J139" s="194" t="s"/>
      <c r="K139" s="194" t="s"/>
      <c r="L139" s="194" t="s"/>
      <c r="M139" s="194" t="s"/>
      <c r="N139" s="194" t="s"/>
      <c r="O139" s="194" t="s"/>
      <c r="P139" s="194" t="s"/>
      <c r="Q139" s="194" t="s"/>
      <c r="R139" s="194" t="s"/>
      <c r="S139" s="194" t="s"/>
      <c r="T139" s="194" t="s"/>
      <c r="U139" s="194" t="s"/>
      <c r="V139" s="194" t="s"/>
      <c r="W139" s="194" t="s"/>
      <c r="X139" s="194" t="s"/>
      <c r="Y139" s="194" t="s"/>
      <c r="Z139" s="194" t="s"/>
      <c r="AA139" s="194" t="s"/>
    </row>
    <row r="140" spans="1:27" customHeight="false">
      <c r="A140" s="194" t="s"/>
      <c r="B140" s="194" t="s"/>
      <c r="C140" s="194" t="s"/>
      <c r="D140" s="194" t="s"/>
      <c r="E140" s="194" t="s"/>
      <c r="F140" s="194" t="s"/>
      <c r="G140" s="194" t="s"/>
      <c r="H140" s="194" t="s"/>
      <c r="I140" s="194" t="s"/>
      <c r="J140" s="194" t="s"/>
      <c r="K140" s="194" t="s"/>
      <c r="L140" s="194" t="s"/>
      <c r="M140" s="194" t="s"/>
      <c r="N140" s="194" t="s"/>
      <c r="O140" s="194" t="s"/>
      <c r="P140" s="194" t="s"/>
      <c r="Q140" s="194" t="s"/>
      <c r="R140" s="194" t="s"/>
      <c r="S140" s="194" t="s"/>
      <c r="T140" s="194" t="s"/>
      <c r="U140" s="194" t="s"/>
      <c r="V140" s="194" t="s"/>
      <c r="W140" s="194" t="s"/>
      <c r="X140" s="194" t="s"/>
      <c r="Y140" s="194" t="s"/>
      <c r="Z140" s="194" t="s"/>
      <c r="AA140" s="194" t="s"/>
    </row>
    <row r="141" spans="1:27" customHeight="false">
      <c r="A141" s="194" t="s"/>
      <c r="B141" s="194" t="s"/>
      <c r="C141" s="194" t="s"/>
      <c r="D141" s="194" t="s"/>
      <c r="E141" s="194" t="s"/>
      <c r="F141" s="194" t="s"/>
      <c r="G141" s="194" t="s"/>
      <c r="H141" s="194" t="s"/>
      <c r="I141" s="194" t="s"/>
      <c r="J141" s="194" t="s"/>
      <c r="K141" s="194" t="s"/>
      <c r="L141" s="194" t="s"/>
      <c r="M141" s="194" t="s"/>
      <c r="N141" s="194" t="s"/>
      <c r="O141" s="194" t="s"/>
      <c r="P141" s="194" t="s"/>
      <c r="Q141" s="194" t="s"/>
      <c r="R141" s="194" t="s"/>
      <c r="S141" s="194" t="s"/>
      <c r="T141" s="194" t="s"/>
      <c r="U141" s="194" t="s"/>
      <c r="V141" s="194" t="s"/>
      <c r="W141" s="194" t="s"/>
      <c r="X141" s="194" t="s"/>
      <c r="Y141" s="194" t="s"/>
      <c r="Z141" s="194" t="s"/>
      <c r="AA141" s="194" t="s"/>
    </row>
    <row r="142" spans="1:27" customHeight="false">
      <c r="A142" s="194" t="s"/>
      <c r="B142" s="194" t="s"/>
      <c r="C142" s="194" t="s"/>
      <c r="D142" s="194" t="s"/>
      <c r="E142" s="194" t="s"/>
      <c r="F142" s="194" t="s"/>
      <c r="G142" s="194" t="s"/>
      <c r="H142" s="194" t="s"/>
      <c r="I142" s="194" t="s"/>
      <c r="J142" s="194" t="s"/>
      <c r="K142" s="194" t="s"/>
      <c r="L142" s="194" t="s"/>
      <c r="M142" s="194" t="s"/>
      <c r="N142" s="194" t="s"/>
      <c r="O142" s="194" t="s"/>
      <c r="P142" s="194" t="s"/>
      <c r="Q142" s="194" t="s"/>
      <c r="R142" s="194" t="s"/>
      <c r="S142" s="194" t="s"/>
      <c r="T142" s="194" t="s"/>
      <c r="U142" s="194" t="s"/>
      <c r="V142" s="194" t="s"/>
      <c r="W142" s="194" t="s"/>
      <c r="X142" s="194" t="s"/>
      <c r="Y142" s="194" t="s"/>
      <c r="Z142" s="194" t="s"/>
      <c r="AA142" s="194" t="s"/>
    </row>
    <row r="143" spans="1:27" customHeight="false">
      <c r="A143" s="194" t="s"/>
      <c r="B143" s="194" t="s"/>
      <c r="C143" s="194" t="s"/>
      <c r="D143" s="194" t="s"/>
      <c r="E143" s="194" t="s"/>
      <c r="F143" s="194" t="s"/>
      <c r="G143" s="194" t="s"/>
      <c r="H143" s="194" t="s"/>
      <c r="I143" s="194" t="s"/>
      <c r="J143" s="194" t="s"/>
      <c r="K143" s="194" t="s"/>
      <c r="L143" s="194" t="s"/>
      <c r="M143" s="194" t="s"/>
      <c r="N143" s="194" t="s"/>
      <c r="O143" s="194" t="s"/>
      <c r="P143" s="194" t="s"/>
      <c r="Q143" s="194" t="s"/>
      <c r="R143" s="194" t="s"/>
      <c r="S143" s="194" t="s"/>
      <c r="T143" s="194" t="s"/>
      <c r="U143" s="194" t="s"/>
      <c r="V143" s="194" t="s"/>
      <c r="W143" s="194" t="s"/>
      <c r="X143" s="194" t="s"/>
      <c r="Y143" s="194" t="s"/>
      <c r="Z143" s="194" t="s"/>
      <c r="AA143" s="194" t="s"/>
    </row>
    <row r="144" spans="1:27" customHeight="false">
      <c r="A144" s="194" t="s"/>
      <c r="B144" s="194" t="s"/>
      <c r="C144" s="194" t="s"/>
      <c r="D144" s="194" t="s"/>
      <c r="E144" s="194" t="s"/>
      <c r="F144" s="194" t="s"/>
      <c r="G144" s="194" t="s"/>
      <c r="H144" s="194" t="s"/>
      <c r="I144" s="194" t="s"/>
      <c r="J144" s="194" t="s"/>
      <c r="K144" s="194" t="s"/>
      <c r="L144" s="194" t="s"/>
      <c r="M144" s="194" t="s"/>
      <c r="N144" s="194" t="s"/>
      <c r="O144" s="194" t="s"/>
      <c r="P144" s="194" t="s"/>
      <c r="Q144" s="194" t="s"/>
      <c r="R144" s="194" t="s"/>
      <c r="S144" s="194" t="s"/>
      <c r="T144" s="194" t="s"/>
      <c r="U144" s="194" t="s"/>
      <c r="V144" s="194" t="s"/>
      <c r="W144" s="194" t="s"/>
      <c r="X144" s="194" t="s"/>
      <c r="Y144" s="194" t="s"/>
      <c r="Z144" s="194" t="s"/>
      <c r="AA144" s="194" t="s"/>
    </row>
    <row r="145" spans="1:27" customHeight="false">
      <c r="A145" s="194" t="s"/>
      <c r="B145" s="194" t="s"/>
      <c r="C145" s="194" t="s"/>
      <c r="D145" s="194" t="s"/>
      <c r="E145" s="194" t="s"/>
      <c r="F145" s="194" t="s"/>
      <c r="G145" s="194" t="s"/>
      <c r="H145" s="194" t="s"/>
      <c r="I145" s="194" t="s"/>
      <c r="J145" s="194" t="s"/>
      <c r="K145" s="194" t="s"/>
      <c r="L145" s="194" t="s"/>
      <c r="M145" s="194" t="s"/>
      <c r="N145" s="194" t="s"/>
      <c r="O145" s="194" t="s"/>
      <c r="P145" s="194" t="s"/>
      <c r="Q145" s="194" t="s"/>
      <c r="R145" s="194" t="s"/>
      <c r="S145" s="194" t="s"/>
      <c r="T145" s="194" t="s"/>
      <c r="U145" s="194" t="s"/>
      <c r="V145" s="194" t="s"/>
      <c r="W145" s="194" t="s"/>
      <c r="X145" s="194" t="s"/>
      <c r="Y145" s="194" t="s"/>
      <c r="Z145" s="194" t="s"/>
      <c r="AA145" s="194" t="s"/>
    </row>
    <row r="146" spans="1:27" customHeight="false">
      <c r="A146" s="194" t="s"/>
      <c r="B146" s="194" t="s"/>
      <c r="C146" s="194" t="s"/>
      <c r="D146" s="194" t="s"/>
      <c r="E146" s="194" t="s"/>
      <c r="F146" s="194" t="s"/>
      <c r="G146" s="194" t="s"/>
      <c r="H146" s="194" t="s"/>
      <c r="I146" s="194" t="s"/>
      <c r="J146" s="194" t="s"/>
      <c r="K146" s="194" t="s"/>
      <c r="L146" s="194" t="s"/>
      <c r="M146" s="194" t="s"/>
      <c r="N146" s="194" t="s"/>
      <c r="O146" s="194" t="s"/>
      <c r="P146" s="194" t="s"/>
      <c r="Q146" s="194" t="s"/>
      <c r="R146" s="194" t="s"/>
      <c r="S146" s="194" t="s"/>
      <c r="T146" s="194" t="s"/>
      <c r="U146" s="194" t="s"/>
      <c r="V146" s="194" t="s"/>
      <c r="W146" s="194" t="s"/>
      <c r="X146" s="194" t="s"/>
      <c r="Y146" s="194" t="s"/>
      <c r="Z146" s="194" t="s"/>
      <c r="AA146" s="194" t="s"/>
    </row>
    <row r="147" spans="1:27" customHeight="false">
      <c r="A147" s="194" t="s"/>
      <c r="B147" s="194" t="s"/>
      <c r="C147" s="194" t="s"/>
      <c r="D147" s="194" t="s"/>
      <c r="E147" s="194" t="s"/>
      <c r="F147" s="194" t="s"/>
      <c r="G147" s="194" t="s"/>
      <c r="H147" s="194" t="s"/>
      <c r="I147" s="194" t="s"/>
      <c r="J147" s="194" t="s"/>
      <c r="K147" s="194" t="s"/>
      <c r="L147" s="194" t="s"/>
      <c r="M147" s="194" t="s"/>
      <c r="N147" s="194" t="s"/>
      <c r="O147" s="194" t="s"/>
      <c r="P147" s="194" t="s"/>
      <c r="Q147" s="194" t="s"/>
      <c r="R147" s="194" t="s"/>
      <c r="S147" s="194" t="s"/>
      <c r="T147" s="194" t="s"/>
      <c r="U147" s="194" t="s"/>
      <c r="V147" s="194" t="s"/>
      <c r="W147" s="194" t="s"/>
      <c r="X147" s="194" t="s"/>
      <c r="Y147" s="194" t="s"/>
      <c r="Z147" s="194" t="s"/>
      <c r="AA147" s="194" t="s"/>
    </row>
    <row r="148" spans="1:27" customHeight="false">
      <c r="A148" s="194" t="s"/>
      <c r="B148" s="194" t="s"/>
      <c r="C148" s="194" t="s"/>
      <c r="D148" s="194" t="s"/>
      <c r="E148" s="194" t="s"/>
      <c r="F148" s="194" t="s"/>
      <c r="G148" s="194" t="s"/>
      <c r="H148" s="194" t="s"/>
      <c r="I148" s="194" t="s"/>
      <c r="J148" s="194" t="s"/>
      <c r="K148" s="194" t="s"/>
      <c r="L148" s="194" t="s"/>
      <c r="M148" s="194" t="s"/>
      <c r="N148" s="194" t="s"/>
      <c r="O148" s="194" t="s"/>
      <c r="P148" s="194" t="s"/>
      <c r="Q148" s="194" t="s"/>
      <c r="R148" s="194" t="s"/>
      <c r="S148" s="194" t="s"/>
      <c r="T148" s="194" t="s"/>
      <c r="U148" s="194" t="s"/>
      <c r="V148" s="194" t="s"/>
      <c r="W148" s="194" t="s"/>
      <c r="X148" s="194" t="s"/>
      <c r="Y148" s="194" t="s"/>
      <c r="Z148" s="194" t="s"/>
      <c r="AA148" s="194" t="s"/>
    </row>
    <row r="149" spans="1:27" customHeight="false">
      <c r="A149" s="194" t="s"/>
      <c r="B149" s="194" t="s"/>
      <c r="C149" s="194" t="s"/>
      <c r="D149" s="194" t="s"/>
      <c r="E149" s="194" t="s"/>
      <c r="F149" s="194" t="s"/>
      <c r="G149" s="194" t="s"/>
      <c r="H149" s="194" t="s"/>
      <c r="I149" s="194" t="s"/>
      <c r="J149" s="194" t="s"/>
      <c r="K149" s="194" t="s"/>
      <c r="L149" s="194" t="s"/>
      <c r="M149" s="194" t="s"/>
      <c r="N149" s="194" t="s"/>
      <c r="O149" s="194" t="s"/>
      <c r="P149" s="194" t="s"/>
      <c r="Q149" s="194" t="s"/>
      <c r="R149" s="194" t="s"/>
      <c r="S149" s="194" t="s"/>
      <c r="T149" s="194" t="s"/>
      <c r="U149" s="194" t="s"/>
      <c r="V149" s="194" t="s"/>
      <c r="W149" s="194" t="s"/>
      <c r="X149" s="194" t="s"/>
      <c r="Y149" s="194" t="s"/>
      <c r="Z149" s="194" t="s"/>
      <c r="AA149" s="194" t="s"/>
    </row>
    <row r="150" spans="1:27" customHeight="false">
      <c r="A150" s="194" t="s"/>
      <c r="B150" s="194" t="s"/>
      <c r="C150" s="194" t="s"/>
      <c r="D150" s="194" t="s"/>
      <c r="E150" s="194" t="s"/>
      <c r="F150" s="194" t="s"/>
      <c r="G150" s="194" t="s"/>
      <c r="H150" s="194" t="s"/>
      <c r="I150" s="194" t="s"/>
      <c r="J150" s="194" t="s"/>
      <c r="K150" s="194" t="s"/>
      <c r="L150" s="194" t="s"/>
      <c r="M150" s="194" t="s"/>
      <c r="N150" s="194" t="s"/>
      <c r="O150" s="194" t="s"/>
      <c r="P150" s="194" t="s"/>
      <c r="Q150" s="194" t="s"/>
      <c r="R150" s="194" t="s"/>
      <c r="S150" s="194" t="s"/>
      <c r="T150" s="194" t="s"/>
      <c r="U150" s="194" t="s"/>
      <c r="V150" s="194" t="s"/>
      <c r="W150" s="194" t="s"/>
      <c r="X150" s="194" t="s"/>
      <c r="Y150" s="194" t="s"/>
      <c r="Z150" s="194" t="s"/>
      <c r="AA150" s="194" t="s"/>
    </row>
    <row r="151" spans="1:27" customHeight="false">
      <c r="A151" s="194" t="s"/>
      <c r="B151" s="194" t="s"/>
      <c r="C151" s="194" t="s"/>
      <c r="D151" s="194" t="s"/>
      <c r="E151" s="194" t="s"/>
      <c r="F151" s="194" t="s"/>
      <c r="G151" s="194" t="s"/>
      <c r="H151" s="194" t="s"/>
      <c r="I151" s="194" t="s"/>
      <c r="J151" s="194" t="s"/>
      <c r="K151" s="194" t="s"/>
      <c r="L151" s="194" t="s"/>
      <c r="M151" s="194" t="s"/>
      <c r="N151" s="194" t="s"/>
      <c r="O151" s="194" t="s"/>
      <c r="P151" s="194" t="s"/>
      <c r="Q151" s="194" t="s"/>
      <c r="R151" s="194" t="s"/>
      <c r="S151" s="194" t="s"/>
      <c r="T151" s="194" t="s"/>
      <c r="U151" s="194" t="s"/>
      <c r="V151" s="194" t="s"/>
      <c r="W151" s="194" t="s"/>
      <c r="X151" s="194" t="s"/>
      <c r="Y151" s="194" t="s"/>
      <c r="Z151" s="194" t="s"/>
      <c r="AA151" s="194" t="s"/>
    </row>
    <row r="152" spans="1:27" customHeight="false">
      <c r="A152" s="194" t="s"/>
      <c r="B152" s="194" t="s"/>
      <c r="C152" s="194" t="s"/>
      <c r="D152" s="194" t="s"/>
      <c r="E152" s="194" t="s"/>
      <c r="F152" s="194" t="s"/>
      <c r="G152" s="194" t="s"/>
      <c r="H152" s="194" t="s"/>
      <c r="I152" s="194" t="s"/>
      <c r="J152" s="194" t="s"/>
      <c r="K152" s="194" t="s"/>
      <c r="L152" s="194" t="s"/>
      <c r="M152" s="194" t="s"/>
      <c r="N152" s="194" t="s"/>
      <c r="O152" s="194" t="s"/>
      <c r="P152" s="194" t="s"/>
      <c r="Q152" s="194" t="s"/>
      <c r="R152" s="194" t="s"/>
      <c r="S152" s="194" t="s"/>
      <c r="T152" s="194" t="s"/>
      <c r="U152" s="194" t="s"/>
      <c r="V152" s="194" t="s"/>
      <c r="W152" s="194" t="s"/>
      <c r="X152" s="194" t="s"/>
      <c r="Y152" s="194" t="s"/>
      <c r="Z152" s="194" t="s"/>
      <c r="AA152" s="194" t="s"/>
    </row>
    <row r="153" spans="1:27" customHeight="false">
      <c r="A153" s="194" t="s"/>
      <c r="B153" s="194" t="s"/>
      <c r="C153" s="194" t="s"/>
      <c r="D153" s="194" t="s"/>
      <c r="E153" s="194" t="s"/>
      <c r="F153" s="194" t="s"/>
      <c r="G153" s="194" t="s"/>
      <c r="H153" s="194" t="s"/>
      <c r="I153" s="194" t="s"/>
      <c r="J153" s="194" t="s"/>
      <c r="K153" s="194" t="s"/>
      <c r="L153" s="194" t="s"/>
      <c r="M153" s="194" t="s"/>
      <c r="N153" s="194" t="s"/>
      <c r="O153" s="194" t="s"/>
      <c r="P153" s="194" t="s"/>
      <c r="Q153" s="194" t="s"/>
      <c r="R153" s="194" t="s"/>
      <c r="S153" s="194" t="s"/>
      <c r="T153" s="194" t="s"/>
      <c r="U153" s="194" t="s"/>
      <c r="V153" s="194" t="s"/>
      <c r="W153" s="194" t="s"/>
      <c r="X153" s="194" t="s"/>
      <c r="Y153" s="194" t="s"/>
      <c r="Z153" s="194" t="s"/>
      <c r="AA153" s="194" t="s"/>
    </row>
    <row r="154" spans="1:27" customHeight="false">
      <c r="A154" s="194" t="s"/>
      <c r="B154" s="194" t="s"/>
      <c r="C154" s="194" t="s"/>
      <c r="D154" s="194" t="s"/>
      <c r="E154" s="194" t="s"/>
      <c r="F154" s="194" t="s"/>
      <c r="G154" s="194" t="s"/>
      <c r="H154" s="194" t="s"/>
      <c r="I154" s="194" t="s"/>
      <c r="J154" s="194" t="s"/>
      <c r="K154" s="194" t="s"/>
      <c r="L154" s="194" t="s"/>
      <c r="M154" s="194" t="s"/>
      <c r="N154" s="194" t="s"/>
      <c r="O154" s="194" t="s"/>
      <c r="P154" s="194" t="s"/>
      <c r="Q154" s="194" t="s"/>
      <c r="R154" s="194" t="s"/>
      <c r="S154" s="194" t="s"/>
      <c r="T154" s="194" t="s"/>
      <c r="U154" s="194" t="s"/>
      <c r="V154" s="194" t="s"/>
      <c r="W154" s="194" t="s"/>
      <c r="X154" s="194" t="s"/>
      <c r="Y154" s="194" t="s"/>
      <c r="Z154" s="194" t="s"/>
      <c r="AA154" s="194" t="s"/>
    </row>
    <row r="155" spans="1:27" customHeight="false">
      <c r="A155" s="194" t="s"/>
      <c r="B155" s="194" t="s"/>
      <c r="C155" s="194" t="s"/>
      <c r="D155" s="194" t="s"/>
      <c r="E155" s="194" t="s"/>
      <c r="F155" s="194" t="s"/>
      <c r="G155" s="194" t="s"/>
      <c r="H155" s="194" t="s"/>
      <c r="I155" s="194" t="s"/>
      <c r="J155" s="194" t="s"/>
      <c r="K155" s="194" t="s"/>
      <c r="L155" s="194" t="s"/>
      <c r="M155" s="194" t="s"/>
      <c r="N155" s="194" t="s"/>
      <c r="O155" s="194" t="s"/>
      <c r="P155" s="194" t="s"/>
      <c r="Q155" s="194" t="s"/>
      <c r="R155" s="194" t="s"/>
      <c r="S155" s="194" t="s"/>
      <c r="T155" s="194" t="s"/>
      <c r="U155" s="194" t="s"/>
      <c r="V155" s="194" t="s"/>
      <c r="W155" s="194" t="s"/>
      <c r="X155" s="194" t="s"/>
      <c r="Y155" s="194" t="s"/>
      <c r="Z155" s="194" t="s"/>
      <c r="AA155" s="194" t="s"/>
    </row>
    <row r="156" spans="1:27" customHeight="false">
      <c r="A156" s="194" t="s"/>
      <c r="B156" s="194" t="s"/>
      <c r="C156" s="194" t="s"/>
      <c r="D156" s="194" t="s"/>
      <c r="E156" s="194" t="s"/>
      <c r="F156" s="194" t="s"/>
      <c r="G156" s="194" t="s"/>
      <c r="H156" s="194" t="s"/>
      <c r="I156" s="194" t="s"/>
      <c r="J156" s="194" t="s"/>
      <c r="K156" s="194" t="s"/>
      <c r="L156" s="194" t="s"/>
      <c r="M156" s="194" t="s"/>
      <c r="N156" s="194" t="s"/>
      <c r="O156" s="194" t="s"/>
      <c r="P156" s="194" t="s"/>
      <c r="Q156" s="194" t="s"/>
      <c r="R156" s="194" t="s"/>
      <c r="S156" s="194" t="s"/>
      <c r="T156" s="194" t="s"/>
      <c r="U156" s="194" t="s"/>
      <c r="V156" s="194" t="s"/>
      <c r="W156" s="194" t="s"/>
      <c r="X156" s="194" t="s"/>
      <c r="Y156" s="194" t="s"/>
      <c r="Z156" s="194" t="s"/>
      <c r="AA156" s="194" t="s"/>
    </row>
    <row r="157" spans="1:27" customHeight="false">
      <c r="A157" s="194" t="s"/>
      <c r="B157" s="194" t="s"/>
      <c r="C157" s="194" t="s"/>
      <c r="D157" s="194" t="s"/>
      <c r="E157" s="194" t="s"/>
      <c r="F157" s="194" t="s"/>
      <c r="G157" s="194" t="s"/>
      <c r="H157" s="194" t="s"/>
      <c r="I157" s="194" t="s"/>
      <c r="J157" s="194" t="s"/>
      <c r="K157" s="194" t="s"/>
      <c r="L157" s="194" t="s"/>
      <c r="M157" s="194" t="s"/>
      <c r="N157" s="194" t="s"/>
      <c r="O157" s="194" t="s"/>
      <c r="P157" s="194" t="s"/>
      <c r="Q157" s="194" t="s"/>
      <c r="R157" s="194" t="s"/>
      <c r="S157" s="194" t="s"/>
      <c r="T157" s="194" t="s"/>
      <c r="U157" s="194" t="s"/>
      <c r="V157" s="194" t="s"/>
      <c r="W157" s="194" t="s"/>
      <c r="X157" s="194" t="s"/>
      <c r="Y157" s="194" t="s"/>
      <c r="Z157" s="194" t="s"/>
      <c r="AA157" s="194" t="s"/>
    </row>
    <row r="158" spans="1:27" customHeight="false">
      <c r="A158" s="194" t="s"/>
      <c r="B158" s="194" t="s"/>
      <c r="C158" s="194" t="s"/>
      <c r="D158" s="194" t="s"/>
      <c r="E158" s="194" t="s"/>
      <c r="F158" s="194" t="s"/>
      <c r="G158" s="194" t="s"/>
      <c r="H158" s="194" t="s"/>
      <c r="I158" s="194" t="s"/>
      <c r="J158" s="194" t="s"/>
      <c r="K158" s="194" t="s"/>
      <c r="L158" s="194" t="s"/>
      <c r="M158" s="194" t="s"/>
      <c r="N158" s="194" t="s"/>
      <c r="O158" s="194" t="s"/>
      <c r="P158" s="194" t="s"/>
      <c r="Q158" s="194" t="s"/>
      <c r="R158" s="194" t="s"/>
      <c r="S158" s="194" t="s"/>
      <c r="T158" s="194" t="s"/>
      <c r="U158" s="194" t="s"/>
      <c r="V158" s="194" t="s"/>
      <c r="W158" s="194" t="s"/>
      <c r="X158" s="194" t="s"/>
      <c r="Y158" s="194" t="s"/>
      <c r="Z158" s="194" t="s"/>
      <c r="AA158" s="194" t="s"/>
    </row>
    <row r="159" spans="1:27" customHeight="false">
      <c r="A159" s="194" t="s"/>
      <c r="B159" s="194" t="s"/>
      <c r="C159" s="194" t="s"/>
      <c r="D159" s="194" t="s"/>
      <c r="E159" s="194" t="s"/>
      <c r="F159" s="194" t="s"/>
      <c r="G159" s="194" t="s"/>
      <c r="H159" s="194" t="s"/>
      <c r="I159" s="194" t="s"/>
      <c r="J159" s="194" t="s"/>
      <c r="K159" s="194" t="s"/>
      <c r="L159" s="194" t="s"/>
      <c r="M159" s="194" t="s"/>
      <c r="N159" s="194" t="s"/>
      <c r="O159" s="194" t="s"/>
      <c r="P159" s="194" t="s"/>
      <c r="Q159" s="194" t="s"/>
      <c r="R159" s="194" t="s"/>
      <c r="S159" s="194" t="s"/>
      <c r="T159" s="194" t="s"/>
      <c r="U159" s="194" t="s"/>
      <c r="V159" s="194" t="s"/>
      <c r="W159" s="194" t="s"/>
      <c r="X159" s="194" t="s"/>
      <c r="Y159" s="194" t="s"/>
      <c r="Z159" s="194" t="s"/>
      <c r="AA159" s="194" t="s"/>
    </row>
    <row r="160" spans="1:27" customHeight="false">
      <c r="A160" s="194" t="s"/>
      <c r="B160" s="194" t="s"/>
      <c r="C160" s="194" t="s"/>
      <c r="D160" s="194" t="s"/>
      <c r="E160" s="194" t="s"/>
      <c r="F160" s="194" t="s"/>
      <c r="G160" s="194" t="s"/>
      <c r="H160" s="194" t="s"/>
      <c r="I160" s="194" t="s"/>
      <c r="J160" s="194" t="s"/>
      <c r="K160" s="194" t="s"/>
      <c r="L160" s="194" t="s"/>
      <c r="M160" s="194" t="s"/>
      <c r="N160" s="194" t="s"/>
      <c r="O160" s="194" t="s"/>
      <c r="P160" s="194" t="s"/>
      <c r="Q160" s="194" t="s"/>
      <c r="R160" s="194" t="s"/>
      <c r="S160" s="194" t="s"/>
      <c r="T160" s="194" t="s"/>
      <c r="U160" s="194" t="s"/>
      <c r="V160" s="194" t="s"/>
      <c r="W160" s="194" t="s"/>
      <c r="X160" s="194" t="s"/>
      <c r="Y160" s="194" t="s"/>
      <c r="Z160" s="194" t="s"/>
      <c r="AA160" s="194" t="s"/>
    </row>
    <row r="161" spans="1:27" customHeight="false">
      <c r="A161" s="194" t="s"/>
      <c r="B161" s="194" t="s"/>
      <c r="C161" s="194" t="s"/>
      <c r="D161" s="194" t="s"/>
      <c r="E161" s="194" t="s"/>
      <c r="F161" s="194" t="s"/>
      <c r="G161" s="194" t="s"/>
      <c r="H161" s="194" t="s"/>
      <c r="I161" s="194" t="s"/>
      <c r="J161" s="194" t="s"/>
      <c r="K161" s="194" t="s"/>
      <c r="L161" s="194" t="s"/>
      <c r="M161" s="194" t="s"/>
      <c r="N161" s="194" t="s"/>
      <c r="O161" s="194" t="s"/>
      <c r="P161" s="194" t="s"/>
      <c r="Q161" s="194" t="s"/>
      <c r="R161" s="194" t="s"/>
      <c r="S161" s="194" t="s"/>
      <c r="T161" s="194" t="s"/>
      <c r="U161" s="194" t="s"/>
      <c r="V161" s="194" t="s"/>
      <c r="W161" s="194" t="s"/>
      <c r="X161" s="194" t="s"/>
      <c r="Y161" s="194" t="s"/>
      <c r="Z161" s="194" t="s"/>
      <c r="AA161" s="194" t="s"/>
    </row>
    <row r="162" spans="1:27" customHeight="false">
      <c r="A162" s="194" t="s"/>
      <c r="B162" s="194" t="s"/>
      <c r="C162" s="194" t="s"/>
      <c r="D162" s="194" t="s"/>
      <c r="E162" s="194" t="s"/>
      <c r="F162" s="194" t="s"/>
      <c r="G162" s="194" t="s"/>
      <c r="H162" s="194" t="s"/>
      <c r="I162" s="194" t="s"/>
      <c r="J162" s="194" t="s"/>
      <c r="K162" s="194" t="s"/>
      <c r="L162" s="194" t="s"/>
      <c r="M162" s="194" t="s"/>
      <c r="N162" s="194" t="s"/>
      <c r="O162" s="194" t="s"/>
      <c r="P162" s="194" t="s"/>
      <c r="Q162" s="194" t="s"/>
      <c r="R162" s="194" t="s"/>
      <c r="S162" s="194" t="s"/>
      <c r="T162" s="194" t="s"/>
      <c r="U162" s="194" t="s"/>
      <c r="V162" s="194" t="s"/>
      <c r="W162" s="194" t="s"/>
      <c r="X162" s="194" t="s"/>
      <c r="Y162" s="194" t="s"/>
      <c r="Z162" s="194" t="s"/>
      <c r="AA162" s="194" t="s"/>
    </row>
    <row r="163" spans="1:27" customHeight="false">
      <c r="A163" s="194" t="s"/>
      <c r="B163" s="194" t="s"/>
      <c r="C163" s="194" t="s"/>
      <c r="D163" s="194" t="s"/>
      <c r="E163" s="194" t="s"/>
      <c r="F163" s="194" t="s"/>
      <c r="G163" s="194" t="s"/>
      <c r="H163" s="194" t="s"/>
      <c r="I163" s="194" t="s"/>
      <c r="J163" s="194" t="s"/>
      <c r="K163" s="194" t="s"/>
      <c r="L163" s="194" t="s"/>
      <c r="M163" s="194" t="s"/>
      <c r="N163" s="194" t="s"/>
      <c r="O163" s="194" t="s"/>
      <c r="P163" s="194" t="s"/>
      <c r="Q163" s="194" t="s"/>
      <c r="R163" s="194" t="s"/>
      <c r="S163" s="194" t="s"/>
      <c r="T163" s="194" t="s"/>
      <c r="U163" s="194" t="s"/>
      <c r="V163" s="194" t="s"/>
      <c r="W163" s="194" t="s"/>
      <c r="X163" s="194" t="s"/>
      <c r="Y163" s="194" t="s"/>
      <c r="Z163" s="194" t="s"/>
      <c r="AA163" s="194" t="s"/>
    </row>
    <row r="164" spans="1:27" customHeight="false">
      <c r="A164" s="194" t="s"/>
      <c r="B164" s="194" t="s"/>
      <c r="C164" s="194" t="s"/>
      <c r="D164" s="194" t="s"/>
      <c r="E164" s="194" t="s"/>
      <c r="F164" s="194" t="s"/>
      <c r="G164" s="194" t="s"/>
      <c r="H164" s="194" t="s"/>
      <c r="I164" s="194" t="s"/>
      <c r="J164" s="194" t="s"/>
      <c r="K164" s="194" t="s"/>
      <c r="L164" s="194" t="s"/>
      <c r="M164" s="194" t="s"/>
      <c r="N164" s="194" t="s"/>
      <c r="O164" s="194" t="s"/>
      <c r="P164" s="194" t="s"/>
      <c r="Q164" s="194" t="s"/>
      <c r="R164" s="194" t="s"/>
      <c r="S164" s="194" t="s"/>
      <c r="T164" s="194" t="s"/>
      <c r="U164" s="194" t="s"/>
      <c r="V164" s="194" t="s"/>
      <c r="W164" s="194" t="s"/>
      <c r="X164" s="194" t="s"/>
      <c r="Y164" s="194" t="s"/>
      <c r="Z164" s="194" t="s"/>
      <c r="AA164" s="194" t="s"/>
    </row>
    <row r="165" spans="1:27" customHeight="false">
      <c r="A165" s="194" t="s"/>
      <c r="B165" s="194" t="s"/>
      <c r="C165" s="194" t="s"/>
      <c r="D165" s="194" t="s"/>
      <c r="E165" s="194" t="s"/>
      <c r="F165" s="194" t="s"/>
      <c r="G165" s="194" t="s"/>
      <c r="H165" s="194" t="s"/>
      <c r="I165" s="194" t="s"/>
      <c r="J165" s="194" t="s"/>
      <c r="K165" s="194" t="s"/>
      <c r="L165" s="194" t="s"/>
      <c r="M165" s="194" t="s"/>
      <c r="N165" s="194" t="s"/>
      <c r="O165" s="194" t="s"/>
      <c r="P165" s="194" t="s"/>
      <c r="Q165" s="194" t="s"/>
      <c r="R165" s="194" t="s"/>
      <c r="S165" s="194" t="s"/>
      <c r="T165" s="194" t="s"/>
      <c r="U165" s="194" t="s"/>
      <c r="V165" s="194" t="s"/>
      <c r="W165" s="194" t="s"/>
      <c r="X165" s="194" t="s"/>
      <c r="Y165" s="194" t="s"/>
      <c r="Z165" s="194" t="s"/>
      <c r="AA165" s="194" t="s"/>
    </row>
    <row r="166" spans="1:27" customHeight="false">
      <c r="A166" s="194" t="s"/>
      <c r="B166" s="194" t="s"/>
      <c r="C166" s="194" t="s"/>
      <c r="D166" s="194" t="s"/>
      <c r="E166" s="194" t="s"/>
      <c r="F166" s="194" t="s"/>
      <c r="G166" s="194" t="s"/>
      <c r="H166" s="194" t="s"/>
      <c r="I166" s="194" t="s"/>
      <c r="J166" s="194" t="s"/>
      <c r="K166" s="194" t="s"/>
      <c r="L166" s="194" t="s"/>
      <c r="M166" s="194" t="s"/>
      <c r="N166" s="194" t="s"/>
      <c r="O166" s="194" t="s"/>
      <c r="P166" s="194" t="s"/>
      <c r="Q166" s="194" t="s"/>
      <c r="R166" s="194" t="s"/>
      <c r="S166" s="194" t="s"/>
      <c r="T166" s="194" t="s"/>
      <c r="U166" s="194" t="s"/>
      <c r="V166" s="194" t="s"/>
      <c r="W166" s="194" t="s"/>
      <c r="X166" s="194" t="s"/>
      <c r="Y166" s="194" t="s"/>
      <c r="Z166" s="194" t="s"/>
      <c r="AA166" s="194" t="s"/>
    </row>
    <row r="167" spans="1:27" customHeight="false">
      <c r="A167" s="194" t="s"/>
      <c r="B167" s="194" t="s"/>
      <c r="C167" s="194" t="s"/>
      <c r="D167" s="194" t="s"/>
      <c r="E167" s="194" t="s"/>
      <c r="F167" s="194" t="s"/>
      <c r="G167" s="194" t="s"/>
      <c r="H167" s="194" t="s"/>
      <c r="I167" s="194" t="s"/>
      <c r="J167" s="194" t="s"/>
      <c r="K167" s="194" t="s"/>
      <c r="L167" s="194" t="s"/>
      <c r="M167" s="194" t="s"/>
      <c r="N167" s="194" t="s"/>
      <c r="O167" s="194" t="s"/>
      <c r="P167" s="194" t="s"/>
      <c r="Q167" s="194" t="s"/>
      <c r="R167" s="194" t="s"/>
      <c r="S167" s="194" t="s"/>
      <c r="T167" s="194" t="s"/>
      <c r="U167" s="194" t="s"/>
      <c r="V167" s="194" t="s"/>
      <c r="W167" s="194" t="s"/>
      <c r="X167" s="194" t="s"/>
      <c r="Y167" s="194" t="s"/>
      <c r="Z167" s="194" t="s"/>
      <c r="AA167" s="194" t="s"/>
    </row>
    <row r="168" spans="1:27" customHeight="false">
      <c r="A168" s="194" t="s"/>
      <c r="B168" s="194" t="s"/>
      <c r="C168" s="194" t="s"/>
      <c r="D168" s="194" t="s"/>
      <c r="E168" s="194" t="s"/>
      <c r="F168" s="194" t="s"/>
      <c r="G168" s="194" t="s"/>
      <c r="H168" s="194" t="s"/>
      <c r="I168" s="194" t="s"/>
      <c r="J168" s="194" t="s"/>
      <c r="K168" s="194" t="s"/>
      <c r="L168" s="194" t="s"/>
      <c r="M168" s="194" t="s"/>
      <c r="N168" s="194" t="s"/>
      <c r="O168" s="194" t="s"/>
      <c r="P168" s="194" t="s"/>
      <c r="Q168" s="194" t="s"/>
      <c r="R168" s="194" t="s"/>
      <c r="S168" s="194" t="s"/>
      <c r="T168" s="194" t="s"/>
      <c r="U168" s="194" t="s"/>
      <c r="V168" s="194" t="s"/>
      <c r="W168" s="194" t="s"/>
      <c r="X168" s="194" t="s"/>
      <c r="Y168" s="194" t="s"/>
      <c r="Z168" s="194" t="s"/>
      <c r="AA168" s="194" t="s"/>
    </row>
    <row r="169" spans="1:27" customHeight="false">
      <c r="A169" s="194" t="s"/>
      <c r="B169" s="194" t="s"/>
      <c r="C169" s="194" t="s"/>
      <c r="D169" s="194" t="s"/>
      <c r="E169" s="194" t="s"/>
      <c r="F169" s="194" t="s"/>
      <c r="G169" s="194" t="s"/>
      <c r="H169" s="194" t="s"/>
      <c r="I169" s="194" t="s"/>
      <c r="J169" s="194" t="s"/>
      <c r="K169" s="194" t="s"/>
      <c r="L169" s="194" t="s"/>
      <c r="M169" s="194" t="s"/>
      <c r="N169" s="194" t="s"/>
      <c r="O169" s="194" t="s"/>
      <c r="P169" s="194" t="s"/>
      <c r="Q169" s="194" t="s"/>
      <c r="R169" s="194" t="s"/>
      <c r="S169" s="194" t="s"/>
      <c r="T169" s="194" t="s"/>
      <c r="U169" s="194" t="s"/>
      <c r="V169" s="194" t="s"/>
      <c r="W169" s="194" t="s"/>
      <c r="X169" s="194" t="s"/>
      <c r="Y169" s="194" t="s"/>
      <c r="Z169" s="194" t="s"/>
      <c r="AA169" s="194" t="s"/>
    </row>
    <row r="170" spans="1:27" customHeight="false">
      <c r="A170" s="194" t="s"/>
      <c r="B170" s="194" t="s"/>
      <c r="C170" s="194" t="s"/>
      <c r="D170" s="194" t="s"/>
      <c r="E170" s="194" t="s"/>
      <c r="F170" s="194" t="s"/>
      <c r="G170" s="194" t="s"/>
      <c r="H170" s="194" t="s"/>
      <c r="I170" s="194" t="s"/>
      <c r="J170" s="194" t="s"/>
      <c r="K170" s="194" t="s"/>
      <c r="L170" s="194" t="s"/>
      <c r="M170" s="194" t="s"/>
      <c r="N170" s="194" t="s"/>
      <c r="O170" s="194" t="s"/>
      <c r="P170" s="194" t="s"/>
      <c r="Q170" s="194" t="s"/>
      <c r="R170" s="194" t="s"/>
      <c r="S170" s="194" t="s"/>
      <c r="T170" s="194" t="s"/>
      <c r="U170" s="194" t="s"/>
      <c r="V170" s="194" t="s"/>
      <c r="W170" s="194" t="s"/>
      <c r="X170" s="194" t="s"/>
      <c r="Y170" s="194" t="s"/>
      <c r="Z170" s="194" t="s"/>
      <c r="AA170" s="194" t="s"/>
    </row>
    <row r="171" spans="1:27" customHeight="false">
      <c r="A171" s="194" t="s"/>
      <c r="B171" s="194" t="s"/>
      <c r="C171" s="194" t="s"/>
      <c r="D171" s="194" t="s"/>
      <c r="E171" s="194" t="s"/>
      <c r="F171" s="194" t="s"/>
      <c r="G171" s="194" t="s"/>
      <c r="H171" s="194" t="s"/>
      <c r="I171" s="194" t="s"/>
      <c r="J171" s="194" t="s"/>
      <c r="K171" s="194" t="s"/>
      <c r="L171" s="194" t="s"/>
      <c r="M171" s="194" t="s"/>
      <c r="N171" s="194" t="s"/>
      <c r="O171" s="194" t="s"/>
      <c r="P171" s="194" t="s"/>
      <c r="Q171" s="194" t="s"/>
      <c r="R171" s="194" t="s"/>
      <c r="S171" s="194" t="s"/>
      <c r="T171" s="194" t="s"/>
      <c r="U171" s="194" t="s"/>
      <c r="V171" s="194" t="s"/>
      <c r="W171" s="194" t="s"/>
      <c r="X171" s="194" t="s"/>
      <c r="Y171" s="194" t="s"/>
      <c r="Z171" s="194" t="s"/>
      <c r="AA171" s="194" t="s"/>
    </row>
    <row r="172" spans="1:27" customHeight="false">
      <c r="A172" s="194" t="s"/>
      <c r="B172" s="194" t="s"/>
      <c r="C172" s="194" t="s"/>
      <c r="D172" s="194" t="s"/>
      <c r="E172" s="194" t="s"/>
      <c r="F172" s="194" t="s"/>
      <c r="G172" s="194" t="s"/>
      <c r="H172" s="194" t="s"/>
      <c r="I172" s="194" t="s"/>
      <c r="J172" s="194" t="s"/>
      <c r="K172" s="194" t="s"/>
      <c r="L172" s="194" t="s"/>
      <c r="M172" s="194" t="s"/>
      <c r="N172" s="194" t="s"/>
      <c r="O172" s="194" t="s"/>
      <c r="P172" s="194" t="s"/>
      <c r="Q172" s="194" t="s"/>
      <c r="R172" s="194" t="s"/>
      <c r="S172" s="194" t="s"/>
      <c r="T172" s="194" t="s"/>
      <c r="U172" s="194" t="s"/>
      <c r="V172" s="194" t="s"/>
      <c r="W172" s="194" t="s"/>
      <c r="X172" s="194" t="s"/>
      <c r="Y172" s="194" t="s"/>
      <c r="Z172" s="194" t="s"/>
      <c r="AA172" s="194" t="s"/>
    </row>
    <row r="173" spans="1:27" customHeight="false">
      <c r="A173" s="194" t="s"/>
      <c r="B173" s="194" t="s"/>
      <c r="C173" s="194" t="s"/>
      <c r="D173" s="194" t="s"/>
      <c r="E173" s="194" t="s"/>
      <c r="F173" s="194" t="s"/>
      <c r="G173" s="194" t="s"/>
      <c r="H173" s="194" t="s"/>
      <c r="I173" s="194" t="s"/>
      <c r="J173" s="194" t="s"/>
      <c r="K173" s="194" t="s"/>
      <c r="L173" s="194" t="s"/>
      <c r="M173" s="194" t="s"/>
      <c r="N173" s="194" t="s"/>
      <c r="O173" s="194" t="s"/>
      <c r="P173" s="194" t="s"/>
      <c r="Q173" s="194" t="s"/>
      <c r="R173" s="194" t="s"/>
      <c r="S173" s="194" t="s"/>
      <c r="T173" s="194" t="s"/>
      <c r="U173" s="194" t="s"/>
      <c r="V173" s="194" t="s"/>
      <c r="W173" s="194" t="s"/>
      <c r="X173" s="194" t="s"/>
      <c r="Y173" s="194" t="s"/>
      <c r="Z173" s="194" t="s"/>
      <c r="AA173" s="194" t="s"/>
    </row>
    <row r="174" spans="1:27" customHeight="false">
      <c r="A174" s="194" t="s"/>
      <c r="B174" s="194" t="s"/>
      <c r="C174" s="194" t="s"/>
      <c r="D174" s="194" t="s"/>
      <c r="E174" s="194" t="s"/>
      <c r="F174" s="194" t="s"/>
      <c r="G174" s="194" t="s"/>
      <c r="H174" s="194" t="s"/>
      <c r="I174" s="194" t="s"/>
      <c r="J174" s="194" t="s"/>
      <c r="K174" s="194" t="s"/>
      <c r="L174" s="194" t="s"/>
      <c r="M174" s="194" t="s"/>
      <c r="N174" s="194" t="s"/>
      <c r="O174" s="194" t="s"/>
      <c r="P174" s="194" t="s"/>
      <c r="Q174" s="194" t="s"/>
      <c r="R174" s="194" t="s"/>
      <c r="S174" s="194" t="s"/>
      <c r="T174" s="194" t="s"/>
      <c r="U174" s="194" t="s"/>
      <c r="V174" s="194" t="s"/>
      <c r="W174" s="194" t="s"/>
      <c r="X174" s="194" t="s"/>
      <c r="Y174" s="194" t="s"/>
      <c r="Z174" s="194" t="s"/>
      <c r="AA174" s="194" t="s"/>
    </row>
    <row r="175" spans="1:27" customHeight="false">
      <c r="A175" s="194" t="s"/>
      <c r="B175" s="194" t="s"/>
      <c r="C175" s="194" t="s"/>
      <c r="D175" s="194" t="s"/>
      <c r="E175" s="194" t="s"/>
      <c r="F175" s="194" t="s"/>
      <c r="G175" s="194" t="s"/>
      <c r="H175" s="194" t="s"/>
      <c r="I175" s="194" t="s"/>
      <c r="J175" s="194" t="s"/>
      <c r="K175" s="194" t="s"/>
      <c r="L175" s="194" t="s"/>
      <c r="M175" s="194" t="s"/>
      <c r="N175" s="194" t="s"/>
      <c r="O175" s="194" t="s"/>
      <c r="P175" s="194" t="s"/>
      <c r="Q175" s="194" t="s"/>
      <c r="R175" s="194" t="s"/>
      <c r="S175" s="194" t="s"/>
      <c r="T175" s="194" t="s"/>
      <c r="U175" s="194" t="s"/>
      <c r="V175" s="194" t="s"/>
      <c r="W175" s="194" t="s"/>
      <c r="X175" s="194" t="s"/>
      <c r="Y175" s="194" t="s"/>
      <c r="Z175" s="194" t="s"/>
      <c r="AA175" s="194" t="s"/>
    </row>
    <row r="176" spans="1:27" customHeight="false">
      <c r="A176" s="194" t="s"/>
      <c r="B176" s="194" t="s"/>
      <c r="C176" s="194" t="s"/>
      <c r="D176" s="194" t="s"/>
      <c r="E176" s="194" t="s"/>
      <c r="F176" s="194" t="s"/>
      <c r="G176" s="194" t="s"/>
      <c r="H176" s="194" t="s"/>
      <c r="I176" s="194" t="s"/>
      <c r="J176" s="194" t="s"/>
      <c r="K176" s="194" t="s"/>
      <c r="L176" s="194" t="s"/>
      <c r="M176" s="194" t="s"/>
      <c r="N176" s="194" t="s"/>
      <c r="O176" s="194" t="s"/>
      <c r="P176" s="194" t="s"/>
      <c r="Q176" s="194" t="s"/>
      <c r="R176" s="194" t="s"/>
      <c r="S176" s="194" t="s"/>
      <c r="T176" s="194" t="s"/>
      <c r="U176" s="194" t="s"/>
      <c r="V176" s="194" t="s"/>
      <c r="W176" s="194" t="s"/>
      <c r="X176" s="194" t="s"/>
      <c r="Y176" s="194" t="s"/>
      <c r="Z176" s="194" t="s"/>
      <c r="AA176" s="194" t="s"/>
    </row>
    <row r="177" spans="1:27" customHeight="false">
      <c r="A177" s="194" t="s"/>
      <c r="B177" s="194" t="s"/>
      <c r="C177" s="194" t="s"/>
      <c r="D177" s="194" t="s"/>
      <c r="E177" s="194" t="s"/>
      <c r="F177" s="194" t="s"/>
      <c r="G177" s="194" t="s"/>
      <c r="H177" s="194" t="s"/>
      <c r="I177" s="194" t="s"/>
      <c r="J177" s="194" t="s"/>
      <c r="K177" s="194" t="s"/>
      <c r="L177" s="194" t="s"/>
      <c r="M177" s="194" t="s"/>
      <c r="N177" s="194" t="s"/>
      <c r="O177" s="194" t="s"/>
      <c r="P177" s="194" t="s"/>
      <c r="Q177" s="194" t="s"/>
      <c r="R177" s="194" t="s"/>
      <c r="S177" s="194" t="s"/>
      <c r="T177" s="194" t="s"/>
      <c r="U177" s="194" t="s"/>
      <c r="V177" s="194" t="s"/>
      <c r="W177" s="194" t="s"/>
      <c r="X177" s="194" t="s"/>
      <c r="Y177" s="194" t="s"/>
      <c r="Z177" s="194" t="s"/>
      <c r="AA177" s="194" t="s"/>
    </row>
    <row r="178" spans="1:27" customHeight="false">
      <c r="A178" s="194" t="s"/>
      <c r="B178" s="194" t="s"/>
      <c r="C178" s="194" t="s"/>
      <c r="D178" s="194" t="s"/>
      <c r="E178" s="194" t="s"/>
      <c r="F178" s="194" t="s"/>
      <c r="G178" s="194" t="s"/>
      <c r="H178" s="194" t="s"/>
      <c r="I178" s="194" t="s"/>
      <c r="J178" s="194" t="s"/>
      <c r="K178" s="194" t="s"/>
      <c r="L178" s="194" t="s"/>
      <c r="M178" s="194" t="s"/>
      <c r="N178" s="194" t="s"/>
      <c r="O178" s="194" t="s"/>
      <c r="P178" s="194" t="s"/>
      <c r="Q178" s="194" t="s"/>
      <c r="R178" s="194" t="s"/>
      <c r="S178" s="194" t="s"/>
      <c r="T178" s="194" t="s"/>
      <c r="U178" s="194" t="s"/>
      <c r="V178" s="194" t="s"/>
      <c r="W178" s="194" t="s"/>
      <c r="X178" s="194" t="s"/>
      <c r="Y178" s="194" t="s"/>
      <c r="Z178" s="194" t="s"/>
      <c r="AA178" s="194" t="s"/>
    </row>
    <row r="179" spans="1:27" customHeight="false">
      <c r="A179" s="194" t="s"/>
      <c r="B179" s="194" t="s"/>
      <c r="C179" s="194" t="s"/>
      <c r="D179" s="194" t="s"/>
      <c r="E179" s="194" t="s"/>
      <c r="F179" s="194" t="s"/>
      <c r="G179" s="194" t="s"/>
      <c r="H179" s="194" t="s"/>
      <c r="I179" s="194" t="s"/>
      <c r="J179" s="194" t="s"/>
      <c r="K179" s="194" t="s"/>
      <c r="L179" s="194" t="s"/>
      <c r="M179" s="194" t="s"/>
      <c r="N179" s="194" t="s"/>
      <c r="O179" s="194" t="s"/>
      <c r="P179" s="194" t="s"/>
      <c r="Q179" s="194" t="s"/>
      <c r="R179" s="194" t="s"/>
      <c r="S179" s="194" t="s"/>
      <c r="T179" s="194" t="s"/>
      <c r="U179" s="194" t="s"/>
      <c r="V179" s="194" t="s"/>
      <c r="W179" s="194" t="s"/>
      <c r="X179" s="194" t="s"/>
      <c r="Y179" s="194" t="s"/>
      <c r="Z179" s="194" t="s"/>
      <c r="AA179" s="194" t="s"/>
    </row>
    <row r="180" spans="1:27" customHeight="false">
      <c r="A180" s="194" t="s"/>
      <c r="B180" s="194" t="s"/>
      <c r="C180" s="194" t="s"/>
      <c r="D180" s="194" t="s"/>
      <c r="E180" s="194" t="s"/>
      <c r="F180" s="194" t="s"/>
      <c r="G180" s="194" t="s"/>
      <c r="H180" s="194" t="s"/>
      <c r="I180" s="194" t="s"/>
      <c r="J180" s="194" t="s"/>
      <c r="K180" s="194" t="s"/>
      <c r="L180" s="194" t="s"/>
      <c r="M180" s="194" t="s"/>
      <c r="N180" s="194" t="s"/>
      <c r="O180" s="194" t="s"/>
      <c r="P180" s="194" t="s"/>
      <c r="Q180" s="194" t="s"/>
      <c r="R180" s="194" t="s"/>
      <c r="S180" s="194" t="s"/>
      <c r="T180" s="194" t="s"/>
      <c r="U180" s="194" t="s"/>
      <c r="V180" s="194" t="s"/>
      <c r="W180" s="194" t="s"/>
      <c r="X180" s="194" t="s"/>
      <c r="Y180" s="194" t="s"/>
      <c r="Z180" s="194" t="s"/>
      <c r="AA180" s="194" t="s"/>
    </row>
    <row r="181" spans="1:27" customHeight="false">
      <c r="A181" s="194" t="s"/>
      <c r="B181" s="194" t="s"/>
      <c r="C181" s="194" t="s"/>
      <c r="D181" s="194" t="s"/>
      <c r="E181" s="194" t="s"/>
      <c r="F181" s="194" t="s"/>
      <c r="G181" s="194" t="s"/>
      <c r="H181" s="194" t="s"/>
      <c r="I181" s="194" t="s"/>
      <c r="J181" s="194" t="s"/>
      <c r="K181" s="194" t="s"/>
      <c r="L181" s="194" t="s"/>
      <c r="M181" s="194" t="s"/>
      <c r="N181" s="194" t="s"/>
      <c r="O181" s="194" t="s"/>
      <c r="P181" s="194" t="s"/>
      <c r="Q181" s="194" t="s"/>
      <c r="R181" s="194" t="s"/>
      <c r="S181" s="194" t="s"/>
      <c r="T181" s="194" t="s"/>
      <c r="U181" s="194" t="s"/>
      <c r="V181" s="194" t="s"/>
      <c r="W181" s="194" t="s"/>
      <c r="X181" s="194" t="s"/>
      <c r="Y181" s="194" t="s"/>
      <c r="Z181" s="194" t="s"/>
      <c r="AA181" s="194" t="s"/>
    </row>
    <row r="182" spans="1:27" customHeight="false">
      <c r="A182" s="194" t="s"/>
      <c r="B182" s="194" t="s"/>
      <c r="C182" s="194" t="s"/>
      <c r="D182" s="194" t="s"/>
      <c r="E182" s="194" t="s"/>
      <c r="F182" s="194" t="s"/>
      <c r="G182" s="194" t="s"/>
      <c r="H182" s="194" t="s"/>
      <c r="I182" s="194" t="s"/>
      <c r="J182" s="194" t="s"/>
      <c r="K182" s="194" t="s"/>
      <c r="L182" s="194" t="s"/>
      <c r="M182" s="194" t="s"/>
      <c r="N182" s="194" t="s"/>
      <c r="O182" s="194" t="s"/>
      <c r="P182" s="194" t="s"/>
      <c r="Q182" s="194" t="s"/>
      <c r="R182" s="194" t="s"/>
      <c r="S182" s="194" t="s"/>
      <c r="T182" s="194" t="s"/>
      <c r="U182" s="194" t="s"/>
      <c r="V182" s="194" t="s"/>
      <c r="W182" s="194" t="s"/>
      <c r="X182" s="194" t="s"/>
      <c r="Y182" s="194" t="s"/>
      <c r="Z182" s="194" t="s"/>
      <c r="AA182" s="194" t="s"/>
    </row>
    <row r="183" spans="1:27" customHeight="false">
      <c r="A183" s="194" t="s"/>
      <c r="B183" s="194" t="s"/>
      <c r="C183" s="194" t="s"/>
      <c r="D183" s="194" t="s"/>
      <c r="E183" s="194" t="s"/>
      <c r="F183" s="194" t="s"/>
      <c r="G183" s="194" t="s"/>
      <c r="H183" s="194" t="s"/>
      <c r="I183" s="194" t="s"/>
      <c r="J183" s="194" t="s"/>
      <c r="K183" s="194" t="s"/>
      <c r="L183" s="194" t="s"/>
      <c r="M183" s="194" t="s"/>
      <c r="N183" s="194" t="s"/>
      <c r="O183" s="194" t="s"/>
      <c r="P183" s="194" t="s"/>
      <c r="Q183" s="194" t="s"/>
      <c r="R183" s="194" t="s"/>
      <c r="S183" s="194" t="s"/>
      <c r="T183" s="194" t="s"/>
      <c r="U183" s="194" t="s"/>
      <c r="V183" s="194" t="s"/>
      <c r="W183" s="194" t="s"/>
      <c r="X183" s="194" t="s"/>
      <c r="Y183" s="194" t="s"/>
      <c r="Z183" s="194" t="s"/>
      <c r="AA183" s="194" t="s"/>
    </row>
    <row r="184" spans="1:27" customHeight="false">
      <c r="A184" s="194" t="s"/>
      <c r="B184" s="194" t="s"/>
      <c r="C184" s="194" t="s"/>
      <c r="D184" s="194" t="s"/>
      <c r="E184" s="194" t="s"/>
      <c r="F184" s="194" t="s"/>
      <c r="G184" s="194" t="s"/>
      <c r="H184" s="194" t="s"/>
      <c r="I184" s="194" t="s"/>
      <c r="J184" s="194" t="s"/>
      <c r="K184" s="194" t="s"/>
      <c r="L184" s="194" t="s"/>
      <c r="M184" s="194" t="s"/>
      <c r="N184" s="194" t="s"/>
      <c r="O184" s="194" t="s"/>
      <c r="P184" s="194" t="s"/>
      <c r="Q184" s="194" t="s"/>
      <c r="R184" s="194" t="s"/>
      <c r="S184" s="194" t="s"/>
      <c r="T184" s="194" t="s"/>
      <c r="U184" s="194" t="s"/>
      <c r="V184" s="194" t="s"/>
      <c r="W184" s="194" t="s"/>
      <c r="X184" s="194" t="s"/>
      <c r="Y184" s="194" t="s"/>
      <c r="Z184" s="194" t="s"/>
      <c r="AA184" s="194" t="s"/>
    </row>
    <row r="185" spans="1:27" customHeight="false">
      <c r="A185" s="194" t="s"/>
      <c r="B185" s="194" t="s"/>
      <c r="C185" s="194" t="s"/>
      <c r="D185" s="194" t="s"/>
      <c r="E185" s="194" t="s"/>
      <c r="F185" s="194" t="s"/>
      <c r="G185" s="194" t="s"/>
      <c r="H185" s="194" t="s"/>
      <c r="I185" s="194" t="s"/>
      <c r="J185" s="194" t="s"/>
      <c r="K185" s="194" t="s"/>
      <c r="L185" s="194" t="s"/>
      <c r="M185" s="194" t="s"/>
      <c r="N185" s="194" t="s"/>
      <c r="O185" s="194" t="s"/>
      <c r="P185" s="194" t="s"/>
      <c r="Q185" s="194" t="s"/>
      <c r="R185" s="194" t="s"/>
      <c r="S185" s="194" t="s"/>
      <c r="T185" s="194" t="s"/>
      <c r="U185" s="194" t="s"/>
      <c r="V185" s="194" t="s"/>
      <c r="W185" s="194" t="s"/>
      <c r="X185" s="194" t="s"/>
      <c r="Y185" s="194" t="s"/>
      <c r="Z185" s="194" t="s"/>
      <c r="AA185" s="194" t="s"/>
    </row>
    <row r="186" spans="1:27" customHeight="false">
      <c r="A186" s="194" t="s"/>
      <c r="B186" s="194" t="s"/>
      <c r="C186" s="194" t="s"/>
      <c r="D186" s="194" t="s"/>
      <c r="E186" s="194" t="s"/>
      <c r="F186" s="194" t="s"/>
      <c r="G186" s="194" t="s"/>
      <c r="H186" s="194" t="s"/>
      <c r="I186" s="194" t="s"/>
      <c r="J186" s="194" t="s"/>
      <c r="K186" s="194" t="s"/>
      <c r="L186" s="194" t="s"/>
      <c r="M186" s="194" t="s"/>
      <c r="N186" s="194" t="s"/>
      <c r="O186" s="194" t="s"/>
      <c r="P186" s="194" t="s"/>
      <c r="Q186" s="194" t="s"/>
      <c r="R186" s="194" t="s"/>
      <c r="S186" s="194" t="s"/>
      <c r="T186" s="194" t="s"/>
      <c r="U186" s="194" t="s"/>
      <c r="V186" s="194" t="s"/>
      <c r="W186" s="194" t="s"/>
      <c r="X186" s="194" t="s"/>
      <c r="Y186" s="194" t="s"/>
      <c r="Z186" s="194" t="s"/>
      <c r="AA186" s="194" t="s"/>
    </row>
    <row r="187" spans="1:27" customHeight="false">
      <c r="A187" s="194" t="s"/>
      <c r="B187" s="194" t="s"/>
      <c r="C187" s="194" t="s"/>
      <c r="D187" s="194" t="s"/>
      <c r="E187" s="194" t="s"/>
      <c r="F187" s="194" t="s"/>
      <c r="G187" s="194" t="s"/>
      <c r="H187" s="194" t="s"/>
      <c r="I187" s="194" t="s"/>
      <c r="J187" s="194" t="s"/>
      <c r="K187" s="194" t="s"/>
      <c r="L187" s="194" t="s"/>
      <c r="M187" s="194" t="s"/>
      <c r="N187" s="194" t="s"/>
      <c r="O187" s="194" t="s"/>
      <c r="P187" s="194" t="s"/>
      <c r="Q187" s="194" t="s"/>
      <c r="R187" s="194" t="s"/>
      <c r="S187" s="194" t="s"/>
      <c r="T187" s="194" t="s"/>
      <c r="U187" s="194" t="s"/>
      <c r="V187" s="194" t="s"/>
      <c r="W187" s="194" t="s"/>
      <c r="X187" s="194" t="s"/>
      <c r="Y187" s="194" t="s"/>
      <c r="Z187" s="194" t="s"/>
      <c r="AA187" s="194" t="s"/>
    </row>
    <row r="188" spans="1:27" customHeight="false">
      <c r="A188" s="194" t="s"/>
      <c r="B188" s="194" t="s"/>
      <c r="C188" s="194" t="s"/>
      <c r="D188" s="194" t="s"/>
      <c r="E188" s="194" t="s"/>
      <c r="F188" s="194" t="s"/>
      <c r="G188" s="194" t="s"/>
      <c r="H188" s="194" t="s"/>
      <c r="I188" s="194" t="s"/>
      <c r="J188" s="194" t="s"/>
      <c r="K188" s="194" t="s"/>
      <c r="L188" s="194" t="s"/>
      <c r="M188" s="194" t="s"/>
      <c r="N188" s="194" t="s"/>
      <c r="O188" s="194" t="s"/>
      <c r="P188" s="194" t="s"/>
      <c r="Q188" s="194" t="s"/>
      <c r="R188" s="194" t="s"/>
      <c r="S188" s="194" t="s"/>
      <c r="T188" s="194" t="s"/>
      <c r="U188" s="194" t="s"/>
      <c r="V188" s="194" t="s"/>
      <c r="W188" s="194" t="s"/>
      <c r="X188" s="194" t="s"/>
      <c r="Y188" s="194" t="s"/>
      <c r="Z188" s="194" t="s"/>
      <c r="AA188" s="194" t="s"/>
    </row>
    <row r="189" spans="1:27" customHeight="false">
      <c r="A189" s="194" t="s"/>
      <c r="B189" s="194" t="s"/>
      <c r="C189" s="194" t="s"/>
      <c r="D189" s="194" t="s"/>
      <c r="E189" s="194" t="s"/>
      <c r="F189" s="194" t="s"/>
      <c r="G189" s="194" t="s"/>
      <c r="H189" s="194" t="s"/>
      <c r="I189" s="194" t="s"/>
      <c r="J189" s="194" t="s"/>
      <c r="K189" s="194" t="s"/>
      <c r="L189" s="194" t="s"/>
      <c r="M189" s="194" t="s"/>
      <c r="N189" s="194" t="s"/>
      <c r="O189" s="194" t="s"/>
      <c r="P189" s="194" t="s"/>
      <c r="Q189" s="194" t="s"/>
      <c r="R189" s="194" t="s"/>
      <c r="S189" s="194" t="s"/>
      <c r="T189" s="194" t="s"/>
      <c r="U189" s="194" t="s"/>
      <c r="V189" s="194" t="s"/>
      <c r="W189" s="194" t="s"/>
      <c r="X189" s="194" t="s"/>
      <c r="Y189" s="194" t="s"/>
      <c r="Z189" s="194" t="s"/>
      <c r="AA189" s="194" t="s"/>
    </row>
    <row r="190" spans="1:27" customHeight="false">
      <c r="A190" s="194" t="s"/>
      <c r="B190" s="194" t="s"/>
      <c r="C190" s="194" t="s"/>
      <c r="D190" s="194" t="s"/>
      <c r="E190" s="194" t="s"/>
      <c r="F190" s="194" t="s"/>
      <c r="G190" s="194" t="s"/>
      <c r="H190" s="194" t="s"/>
      <c r="I190" s="194" t="s"/>
      <c r="J190" s="194" t="s"/>
      <c r="K190" s="194" t="s"/>
      <c r="L190" s="194" t="s"/>
      <c r="M190" s="194" t="s"/>
      <c r="N190" s="194" t="s"/>
      <c r="O190" s="194" t="s"/>
      <c r="P190" s="194" t="s"/>
      <c r="Q190" s="194" t="s"/>
      <c r="R190" s="194" t="s"/>
      <c r="S190" s="194" t="s"/>
      <c r="T190" s="194" t="s"/>
      <c r="U190" s="194" t="s"/>
      <c r="V190" s="194" t="s"/>
      <c r="W190" s="194" t="s"/>
      <c r="X190" s="194" t="s"/>
      <c r="Y190" s="194" t="s"/>
      <c r="Z190" s="194" t="s"/>
      <c r="AA190" s="194" t="s"/>
    </row>
    <row r="191" spans="1:27" customHeight="false">
      <c r="A191" s="194" t="s"/>
      <c r="B191" s="194" t="s"/>
      <c r="C191" s="194" t="s"/>
      <c r="D191" s="194" t="s"/>
      <c r="E191" s="194" t="s"/>
      <c r="F191" s="194" t="s"/>
      <c r="G191" s="194" t="s"/>
      <c r="H191" s="194" t="s"/>
      <c r="I191" s="194" t="s"/>
      <c r="J191" s="194" t="s"/>
      <c r="K191" s="194" t="s"/>
      <c r="L191" s="194" t="s"/>
      <c r="M191" s="194" t="s"/>
      <c r="N191" s="194" t="s"/>
      <c r="O191" s="194" t="s"/>
      <c r="P191" s="194" t="s"/>
      <c r="Q191" s="194" t="s"/>
      <c r="R191" s="194" t="s"/>
      <c r="S191" s="194" t="s"/>
      <c r="T191" s="194" t="s"/>
      <c r="U191" s="194" t="s"/>
      <c r="V191" s="194" t="s"/>
      <c r="W191" s="194" t="s"/>
      <c r="X191" s="194" t="s"/>
      <c r="Y191" s="194" t="s"/>
      <c r="Z191" s="194" t="s"/>
      <c r="AA191" s="194" t="s"/>
    </row>
    <row r="192" spans="1:27" customHeight="false">
      <c r="A192" s="194" t="s"/>
      <c r="B192" s="194" t="s"/>
      <c r="C192" s="194" t="s"/>
      <c r="D192" s="194" t="s"/>
      <c r="E192" s="194" t="s"/>
      <c r="F192" s="194" t="s"/>
      <c r="G192" s="194" t="s"/>
      <c r="H192" s="194" t="s"/>
      <c r="I192" s="194" t="s"/>
      <c r="J192" s="194" t="s"/>
      <c r="K192" s="194" t="s"/>
      <c r="L192" s="194" t="s"/>
      <c r="M192" s="194" t="s"/>
      <c r="N192" s="194" t="s"/>
      <c r="O192" s="194" t="s"/>
      <c r="P192" s="194" t="s"/>
      <c r="Q192" s="194" t="s"/>
      <c r="R192" s="194" t="s"/>
      <c r="S192" s="194" t="s"/>
      <c r="T192" s="194" t="s"/>
      <c r="U192" s="194" t="s"/>
      <c r="V192" s="194" t="s"/>
      <c r="W192" s="194" t="s"/>
      <c r="X192" s="194" t="s"/>
      <c r="Y192" s="194" t="s"/>
      <c r="Z192" s="194" t="s"/>
      <c r="AA192" s="194" t="s"/>
    </row>
    <row r="193" spans="1:27" customHeight="false">
      <c r="A193" s="194" t="s"/>
      <c r="B193" s="194" t="s"/>
      <c r="C193" s="194" t="s"/>
      <c r="D193" s="194" t="s"/>
      <c r="E193" s="194" t="s"/>
      <c r="F193" s="194" t="s"/>
      <c r="G193" s="194" t="s"/>
      <c r="H193" s="194" t="s"/>
      <c r="I193" s="194" t="s"/>
      <c r="J193" s="194" t="s"/>
      <c r="K193" s="194" t="s"/>
      <c r="L193" s="194" t="s"/>
      <c r="M193" s="194" t="s"/>
      <c r="N193" s="194" t="s"/>
      <c r="O193" s="194" t="s"/>
      <c r="P193" s="194" t="s"/>
      <c r="Q193" s="194" t="s"/>
      <c r="R193" s="194" t="s"/>
      <c r="S193" s="194" t="s"/>
      <c r="T193" s="194" t="s"/>
      <c r="U193" s="194" t="s"/>
      <c r="V193" s="194" t="s"/>
      <c r="W193" s="194" t="s"/>
      <c r="X193" s="194" t="s"/>
      <c r="Y193" s="194" t="s"/>
      <c r="Z193" s="194" t="s"/>
      <c r="AA193" s="194" t="s"/>
    </row>
    <row r="194" spans="1:27" customHeight="false">
      <c r="A194" s="194" t="s"/>
      <c r="B194" s="194" t="s"/>
      <c r="C194" s="194" t="s"/>
      <c r="D194" s="194" t="s"/>
      <c r="E194" s="194" t="s"/>
      <c r="F194" s="194" t="s"/>
      <c r="G194" s="194" t="s"/>
      <c r="H194" s="194" t="s"/>
      <c r="I194" s="194" t="s"/>
      <c r="J194" s="194" t="s"/>
      <c r="K194" s="194" t="s"/>
      <c r="L194" s="194" t="s"/>
      <c r="M194" s="194" t="s"/>
      <c r="N194" s="194" t="s"/>
      <c r="O194" s="194" t="s"/>
      <c r="P194" s="194" t="s"/>
      <c r="Q194" s="194" t="s"/>
      <c r="R194" s="194" t="s"/>
      <c r="S194" s="194" t="s"/>
      <c r="T194" s="194" t="s"/>
      <c r="U194" s="194" t="s"/>
      <c r="V194" s="194" t="s"/>
      <c r="W194" s="194" t="s"/>
      <c r="X194" s="194" t="s"/>
      <c r="Y194" s="194" t="s"/>
      <c r="Z194" s="194" t="s"/>
      <c r="AA194" s="194" t="s"/>
    </row>
    <row r="195" spans="1:27" customHeight="false">
      <c r="A195" s="194" t="s"/>
      <c r="B195" s="194" t="s"/>
      <c r="C195" s="194" t="s"/>
      <c r="D195" s="194" t="s"/>
      <c r="E195" s="194" t="s"/>
      <c r="F195" s="194" t="s"/>
      <c r="G195" s="194" t="s"/>
      <c r="H195" s="194" t="s"/>
      <c r="I195" s="194" t="s"/>
      <c r="J195" s="194" t="s"/>
      <c r="K195" s="194" t="s"/>
      <c r="L195" s="194" t="s"/>
      <c r="M195" s="194" t="s"/>
      <c r="N195" s="194" t="s"/>
      <c r="O195" s="194" t="s"/>
      <c r="P195" s="194" t="s"/>
      <c r="Q195" s="194" t="s"/>
      <c r="R195" s="194" t="s"/>
      <c r="S195" s="194" t="s"/>
      <c r="T195" s="194" t="s"/>
      <c r="U195" s="194" t="s"/>
      <c r="V195" s="194" t="s"/>
      <c r="W195" s="194" t="s"/>
      <c r="X195" s="194" t="s"/>
      <c r="Y195" s="194" t="s"/>
      <c r="Z195" s="194" t="s"/>
      <c r="AA195" s="194" t="s"/>
    </row>
    <row r="196" spans="1:27" customHeight="false">
      <c r="A196" s="194" t="s"/>
      <c r="B196" s="194" t="s"/>
      <c r="C196" s="194" t="s"/>
      <c r="D196" s="194" t="s"/>
      <c r="E196" s="194" t="s"/>
      <c r="F196" s="194" t="s"/>
      <c r="G196" s="194" t="s"/>
      <c r="H196" s="194" t="s"/>
      <c r="I196" s="194" t="s"/>
      <c r="J196" s="194" t="s"/>
      <c r="K196" s="194" t="s"/>
      <c r="L196" s="194" t="s"/>
      <c r="M196" s="194" t="s"/>
      <c r="N196" s="194" t="s"/>
      <c r="O196" s="194" t="s"/>
      <c r="P196" s="194" t="s"/>
      <c r="Q196" s="194" t="s"/>
      <c r="R196" s="194" t="s"/>
      <c r="S196" s="194" t="s"/>
      <c r="T196" s="194" t="s"/>
      <c r="U196" s="194" t="s"/>
      <c r="V196" s="194" t="s"/>
      <c r="W196" s="194" t="s"/>
      <c r="X196" s="194" t="s"/>
      <c r="Y196" s="194" t="s"/>
      <c r="Z196" s="194" t="s"/>
      <c r="AA196" s="194" t="s"/>
    </row>
    <row r="197" spans="1:27" customHeight="false">
      <c r="A197" s="194" t="s"/>
      <c r="B197" s="194" t="s"/>
      <c r="C197" s="194" t="s"/>
      <c r="D197" s="194" t="s"/>
      <c r="E197" s="194" t="s"/>
      <c r="F197" s="194" t="s"/>
      <c r="G197" s="194" t="s"/>
      <c r="H197" s="194" t="s"/>
      <c r="I197" s="194" t="s"/>
      <c r="J197" s="194" t="s"/>
      <c r="K197" s="194" t="s"/>
      <c r="L197" s="194" t="s"/>
      <c r="M197" s="194" t="s"/>
      <c r="N197" s="194" t="s"/>
      <c r="O197" s="194" t="s"/>
      <c r="P197" s="194" t="s"/>
      <c r="Q197" s="194" t="s"/>
      <c r="R197" s="194" t="s"/>
      <c r="S197" s="194" t="s"/>
      <c r="T197" s="194" t="s"/>
      <c r="U197" s="194" t="s"/>
      <c r="V197" s="194" t="s"/>
      <c r="W197" s="194" t="s"/>
      <c r="X197" s="194" t="s"/>
      <c r="Y197" s="194" t="s"/>
      <c r="Z197" s="194" t="s"/>
      <c r="AA197" s="194" t="s"/>
    </row>
    <row r="198" spans="1:27" customHeight="false">
      <c r="A198" s="194" t="s"/>
      <c r="B198" s="194" t="s"/>
      <c r="C198" s="194" t="s"/>
      <c r="D198" s="194" t="s"/>
      <c r="E198" s="194" t="s"/>
      <c r="F198" s="194" t="s"/>
      <c r="G198" s="194" t="s"/>
      <c r="H198" s="194" t="s"/>
      <c r="I198" s="194" t="s"/>
      <c r="J198" s="194" t="s"/>
      <c r="K198" s="194" t="s"/>
      <c r="L198" s="194" t="s"/>
      <c r="M198" s="194" t="s"/>
      <c r="N198" s="194" t="s"/>
      <c r="O198" s="194" t="s"/>
      <c r="P198" s="194" t="s"/>
      <c r="Q198" s="194" t="s"/>
      <c r="R198" s="194" t="s"/>
      <c r="S198" s="194" t="s"/>
      <c r="T198" s="194" t="s"/>
      <c r="U198" s="194" t="s"/>
      <c r="V198" s="194" t="s"/>
      <c r="W198" s="194" t="s"/>
      <c r="X198" s="194" t="s"/>
      <c r="Y198" s="194" t="s"/>
      <c r="Z198" s="194" t="s"/>
      <c r="AA198" s="194" t="s"/>
    </row>
    <row r="199" spans="1:27" customHeight="false">
      <c r="A199" s="194" t="s"/>
      <c r="B199" s="194" t="s"/>
      <c r="C199" s="194" t="s"/>
      <c r="D199" s="194" t="s"/>
      <c r="E199" s="194" t="s"/>
      <c r="F199" s="194" t="s"/>
      <c r="G199" s="194" t="s"/>
      <c r="H199" s="194" t="s"/>
      <c r="I199" s="194" t="s"/>
      <c r="J199" s="194" t="s"/>
      <c r="K199" s="194" t="s"/>
      <c r="L199" s="194" t="s"/>
      <c r="M199" s="194" t="s"/>
      <c r="N199" s="194" t="s"/>
      <c r="O199" s="194" t="s"/>
      <c r="P199" s="194" t="s"/>
      <c r="Q199" s="194" t="s"/>
      <c r="R199" s="194" t="s"/>
      <c r="S199" s="194" t="s"/>
      <c r="T199" s="194" t="s"/>
      <c r="U199" s="194" t="s"/>
      <c r="V199" s="194" t="s"/>
      <c r="W199" s="194" t="s"/>
      <c r="X199" s="194" t="s"/>
      <c r="Y199" s="194" t="s"/>
      <c r="Z199" s="194" t="s"/>
      <c r="AA199" s="194" t="s"/>
    </row>
    <row r="200" spans="1:27" customHeight="false">
      <c r="A200" s="194" t="s"/>
      <c r="B200" s="194" t="s"/>
      <c r="C200" s="194" t="s"/>
      <c r="D200" s="194" t="s"/>
      <c r="E200" s="194" t="s"/>
      <c r="F200" s="194" t="s"/>
      <c r="G200" s="194" t="s"/>
      <c r="H200" s="194" t="s"/>
      <c r="I200" s="194" t="s"/>
      <c r="J200" s="194" t="s"/>
      <c r="K200" s="194" t="s"/>
      <c r="L200" s="194" t="s"/>
      <c r="M200" s="194" t="s"/>
      <c r="N200" s="194" t="s"/>
      <c r="O200" s="194" t="s"/>
      <c r="P200" s="194" t="s"/>
      <c r="Q200" s="194" t="s"/>
      <c r="R200" s="194" t="s"/>
      <c r="S200" s="194" t="s"/>
      <c r="T200" s="194" t="s"/>
      <c r="U200" s="194" t="s"/>
      <c r="V200" s="194" t="s"/>
      <c r="W200" s="194" t="s"/>
      <c r="X200" s="194" t="s"/>
      <c r="Y200" s="194" t="s"/>
      <c r="Z200" s="194" t="s"/>
      <c r="AA200" s="194" t="s"/>
    </row>
    <row r="201" spans="1:27" customHeight="false">
      <c r="A201" s="194" t="s"/>
      <c r="B201" s="194" t="s"/>
      <c r="C201" s="194" t="s"/>
      <c r="D201" s="194" t="s"/>
      <c r="E201" s="194" t="s"/>
      <c r="F201" s="194" t="s"/>
      <c r="G201" s="194" t="s"/>
      <c r="H201" s="194" t="s"/>
      <c r="I201" s="194" t="s"/>
      <c r="J201" s="194" t="s"/>
      <c r="K201" s="194" t="s"/>
      <c r="L201" s="194" t="s"/>
      <c r="M201" s="194" t="s"/>
      <c r="N201" s="194" t="s"/>
      <c r="O201" s="194" t="s"/>
      <c r="P201" s="194" t="s"/>
      <c r="Q201" s="194" t="s"/>
      <c r="R201" s="194" t="s"/>
      <c r="S201" s="194" t="s"/>
      <c r="T201" s="194" t="s"/>
      <c r="U201" s="194" t="s"/>
      <c r="V201" s="194" t="s"/>
      <c r="W201" s="194" t="s"/>
      <c r="X201" s="194" t="s"/>
      <c r="Y201" s="194" t="s"/>
      <c r="Z201" s="194" t="s"/>
      <c r="AA201" s="194" t="s"/>
    </row>
  </sheetData>
  <mergeCells count="22">
    <mergeCell ref="A1:O1"/>
    <mergeCell ref="A2:F2"/>
    <mergeCell ref="A6:F6"/>
    <mergeCell ref="P6:X6"/>
    <mergeCell ref="D7:F7"/>
    <mergeCell ref="G7:K7"/>
    <mergeCell ref="L9:O9"/>
    <mergeCell ref="L10:O10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L20:O20"/>
    <mergeCell ref="Z1:Z8"/>
    <mergeCell ref="AA1:AA8"/>
    <mergeCell ref="A3:O5"/>
    <mergeCell ref="L7:O8"/>
  </mergeCells>
</worksheet>
</file>

<file path=xl/worksheets/sheet11.xml><?xml version="1.0" encoding="utf-8"?>
<worksheet xmlns="http://schemas.openxmlformats.org/spreadsheetml/2006/main">
  <sheetPr>
    <tabColor rgb="FFFFFFFF"/>
  </sheetPr>
  <dimension ref="Y201"/>
  <sheetViews>
    <sheetView showGridLines="true" rightToLeft="false" workbookViewId="0">
      <pane xSplit="1" ySplit="1" topLeftCell="B2" state="frozen"/>
    </sheetView>
  </sheetViews>
  <cols>
    <col min="1" max="1" width="9.29297" customWidth="true"/>
    <col min="2" max="2" width="33.7227" customWidth="true"/>
    <col min="3" max="3" width="14.1523" customWidth="true"/>
    <col min="4" max="5" width="13.8633" customWidth="true"/>
    <col min="6" max="6" width="11.7109" customWidth="true"/>
    <col min="7" max="7" width="13.293" customWidth="true"/>
    <col min="8" max="8" width="9.43359" customWidth="true"/>
    <col min="9" max="9" width="12.8633" customWidth="true"/>
    <col min="10" max="10" width="13.7227" customWidth="true"/>
    <col min="11" max="11" width="51.7344" customWidth="true"/>
    <col min="12" max="12" width="12.8633" customWidth="true"/>
    <col min="13" max="13" width="13.8633" customWidth="true"/>
    <col min="14" max="14" width="23.4336" customWidth="true"/>
    <col min="15" max="15" width="29.8711" customWidth="true"/>
    <col min="16" max="16" width="12.5742" customWidth="true"/>
    <col min="17" max="17" width="13.0039" customWidth="true"/>
    <col min="18" max="18" width="10.0039" customWidth="true"/>
    <col min="19" max="19" width="11.4336" customWidth="true"/>
    <col min="20" max="20" width="17.1523" customWidth="true"/>
    <col min="21" max="21" width="10.293" customWidth="true"/>
    <col min="22" max="22" width="13.1445" customWidth="true"/>
    <col min="23" max="24" width="10.293" customWidth="true"/>
    <col min="25" max="25" width="12.1445" customWidth="true"/>
  </cols>
  <sheetData>
    <row r="1" spans="1:25" ht="40" customHeight="true">
      <c r="A1" s="260" t="s">
        <v>363</v>
      </c>
      <c r="B1" s="261" t="s"/>
      <c r="C1" s="261" t="s"/>
      <c r="D1" s="261" t="s"/>
      <c r="E1" s="261" t="s"/>
      <c r="F1" s="261" t="s"/>
      <c r="G1" s="261" t="s"/>
      <c r="H1" s="261" t="s"/>
      <c r="I1" s="261" t="s"/>
      <c r="J1" s="261" t="s"/>
      <c r="K1" s="262" t="s"/>
      <c r="L1" s="263" t="s"/>
      <c r="M1" s="263" t="s"/>
      <c r="N1" s="263" t="s"/>
      <c r="O1" s="263" t="s"/>
      <c r="P1" s="263" t="s"/>
      <c r="Q1" s="263" t="s"/>
      <c r="R1" s="263" t="s"/>
      <c r="S1" s="263" t="s"/>
      <c r="T1" s="263" t="s"/>
      <c r="U1" s="263" t="s"/>
      <c r="V1" s="263" t="s"/>
      <c r="W1" s="263" t="s"/>
      <c r="X1" s="263" t="s"/>
      <c r="Y1" s="263" t="s"/>
    </row>
    <row r="2" spans="1:25" ht="30" customHeight="true">
      <c r="A2" s="201" t="s">
        <v>3</v>
      </c>
      <c r="B2" s="201" t="s">
        <v>364</v>
      </c>
      <c r="C2" s="197" t="s">
        <v>365</v>
      </c>
      <c r="D2" s="197" t="s"/>
      <c r="E2" s="197" t="s"/>
      <c r="F2" s="197" t="s"/>
      <c r="G2" s="197" t="s"/>
      <c r="H2" s="197" t="s">
        <v>366</v>
      </c>
      <c r="I2" s="264" t="s"/>
      <c r="J2" s="265" t="s"/>
      <c r="K2" s="265" t="s">
        <v>258</v>
      </c>
      <c r="L2" s="266" t="s"/>
      <c r="M2" s="267" t="s"/>
      <c r="N2" s="268" t="s"/>
      <c r="O2" s="268" t="s"/>
      <c r="P2" s="263" t="s"/>
      <c r="Q2" s="263" t="s"/>
      <c r="R2" s="263" t="s"/>
      <c r="S2" s="263" t="s"/>
      <c r="T2" s="263" t="s"/>
      <c r="U2" s="263" t="s"/>
      <c r="V2" s="263" t="s"/>
      <c r="W2" s="263" t="s"/>
      <c r="X2" s="263" t="s"/>
      <c r="Y2" s="263" t="s"/>
    </row>
    <row r="3" spans="1:25" ht="47" customHeight="true">
      <c r="A3" s="269" t="s"/>
      <c r="B3" s="201" t="s"/>
      <c r="C3" s="201" t="s">
        <v>367</v>
      </c>
      <c r="D3" s="201" t="s">
        <v>368</v>
      </c>
      <c r="E3" s="201" t="s">
        <v>369</v>
      </c>
      <c r="F3" s="201" t="s">
        <v>370</v>
      </c>
      <c r="G3" s="201" t="s">
        <v>371</v>
      </c>
      <c r="H3" s="201" t="s">
        <v>7</v>
      </c>
      <c r="I3" s="270" t="s">
        <v>8</v>
      </c>
      <c r="J3" s="271" t="s">
        <v>372</v>
      </c>
      <c r="K3" s="272" t="s"/>
      <c r="L3" s="273" t="s">
        <v>373</v>
      </c>
      <c r="M3" s="274" t="s">
        <v>374</v>
      </c>
      <c r="N3" s="274" t="s">
        <v>375</v>
      </c>
      <c r="O3" s="274" t="s">
        <v>374</v>
      </c>
      <c r="P3" s="274" t="s">
        <v>376</v>
      </c>
      <c r="Q3" s="275">
        <f>=G73+G72+G74+G76+G83++G85+G87+G89+G90+G88+G91+G92+G93+G94+G95-G73-I73*(90+85)/10000</f>
        <v>485.782539</v>
      </c>
      <c r="R3" s="263" t="s"/>
      <c r="S3" s="276">
        <f>=I73+I72+I74+I76+I83++I85+I87+I89+I90+I88+I91+I92+I93-I73</f>
        <v>3929.48</v>
      </c>
      <c r="T3" s="263">
        <f>=Q3/S3*10000</f>
        <v>1236.25146075308</v>
      </c>
      <c r="U3" s="263" t="s"/>
      <c r="V3" s="263" t="s"/>
      <c r="W3" s="263" t="s"/>
      <c r="X3" s="263" t="s"/>
      <c r="Y3" s="263" t="s"/>
    </row>
    <row r="4" spans="1:25" ht="32" customHeight="true">
      <c r="A4" s="277" t="s">
        <v>377</v>
      </c>
      <c r="B4" s="278" t="s">
        <v>378</v>
      </c>
      <c r="C4" s="279">
        <f>=C5+C67</f>
        <v>41983.85596065</v>
      </c>
      <c r="D4" s="279" t="e">
        <f>=D5+D67</f>
        <v>#VALUE!</v>
      </c>
      <c r="E4" s="279" t="e">
        <f>=E5+E67</f>
        <v>#VALUE!</v>
      </c>
      <c r="F4" s="279">
        <f>=F5+F67</f>
        <v>0</v>
      </c>
      <c r="G4" s="279" t="e">
        <f>=SUM(C4:F4)</f>
        <v>#VALUE!</v>
      </c>
      <c r="H4" s="280" t="s">
        <v>2525</v>
      </c>
      <c r="I4" s="281">
        <v>100000</v>
      </c>
      <c r="J4" s="282" t="e">
        <f>=G4/I4*10000</f>
        <v>#VALUE!</v>
      </c>
      <c r="K4" s="283" t="s"/>
      <c r="L4" s="284">
        <v>72700</v>
      </c>
      <c r="M4" s="285" t="e">
        <f>=L4-G4</f>
        <v>#VALUE!</v>
      </c>
      <c r="N4" s="268" t="s"/>
      <c r="O4" s="286" t="s"/>
      <c r="P4" s="287">
        <v>85500</v>
      </c>
      <c r="Q4" s="286">
        <f>=P4-G133</f>
        <v>-1332.7241646242</v>
      </c>
      <c r="R4" s="263" t="s"/>
      <c r="S4" s="263" t="s"/>
      <c r="T4" s="263" t="s"/>
      <c r="U4" s="263" t="s"/>
      <c r="V4" s="263" t="s"/>
      <c r="W4" s="263" t="s"/>
      <c r="X4" s="263" t="s"/>
      <c r="Y4" s="263" t="s"/>
    </row>
    <row r="5" spans="1:25" ht="32" customHeight="true">
      <c r="A5" s="288" t="s">
        <v>379</v>
      </c>
      <c r="B5" s="289" t="s">
        <v>380</v>
      </c>
      <c r="C5" s="290">
        <f>=C6+C44</f>
        <v>38949.48732665</v>
      </c>
      <c r="D5" s="290" t="e">
        <f>=D6+D44</f>
        <v>#VALUE!</v>
      </c>
      <c r="E5" s="290" t="e">
        <f>=E6+E44</f>
        <v>#VALUE!</v>
      </c>
      <c r="F5" s="290">
        <f>=F6+F44</f>
        <v>0</v>
      </c>
      <c r="G5" s="290" t="e">
        <f>=SUM(C5:F5)</f>
        <v>#VALUE!</v>
      </c>
      <c r="H5" s="280" t="s">
        <v>2525</v>
      </c>
      <c r="I5" s="281">
        <f>=I4</f>
        <v>100000</v>
      </c>
      <c r="J5" s="291" t="e">
        <f>=G5/I5*10000</f>
        <v>#VALUE!</v>
      </c>
      <c r="K5" s="283" t="s"/>
      <c r="L5" s="292" t="s"/>
      <c r="M5" s="293" t="s"/>
      <c r="N5" s="293" t="s"/>
      <c r="O5" s="293" t="s"/>
      <c r="P5" s="293" t="s"/>
      <c r="Q5" s="293" t="s"/>
      <c r="R5" s="293" t="s"/>
      <c r="S5" s="293" t="s"/>
      <c r="T5" s="293" t="s"/>
      <c r="U5" s="293" t="s"/>
      <c r="V5" s="293" t="s"/>
      <c r="W5" s="293" t="s"/>
      <c r="X5" s="293" t="s"/>
      <c r="Y5" s="293" t="s"/>
    </row>
    <row r="6" spans="1:25" ht="32" customHeight="true">
      <c r="A6" s="288" t="s">
        <v>381</v>
      </c>
      <c r="B6" s="289" t="s">
        <v>367</v>
      </c>
      <c r="C6" s="290">
        <f>=SUM(C7:C42)</f>
        <v>38949.48732665</v>
      </c>
      <c r="D6" s="290">
        <f>=SUM(D7:D41)</f>
        <v>0</v>
      </c>
      <c r="E6" s="290">
        <f>=SUM(E7:E41)</f>
        <v>0</v>
      </c>
      <c r="F6" s="290">
        <f>=SUM(F7:F41)</f>
        <v>0</v>
      </c>
      <c r="G6" s="290">
        <f>=SUM(C6:F6)</f>
        <v>38949.48732665</v>
      </c>
      <c r="H6" s="280" t="s">
        <v>2525</v>
      </c>
      <c r="I6" s="281">
        <f>=I5</f>
        <v>100000</v>
      </c>
      <c r="J6" s="291">
        <f>=G6/I6*10000</f>
        <v>3894.948732665</v>
      </c>
      <c r="K6" s="283" t="s"/>
      <c r="L6" s="292" t="s"/>
      <c r="M6" s="293" t="s"/>
      <c r="N6" s="294">
        <v>126.7</v>
      </c>
      <c r="O6" s="294">
        <v>232.8</v>
      </c>
      <c r="P6" s="294">
        <v>11</v>
      </c>
      <c r="Q6" s="293" t="s"/>
      <c r="R6" s="294">
        <f>=(N6-7.5)*(O6-7.5)*5.6+(N6-22)*(O6-22)*12.3</f>
        <v>421862.604</v>
      </c>
      <c r="S6" s="294">
        <f>=N6-P6*2</f>
        <v>104.7</v>
      </c>
      <c r="T6" s="294">
        <f>=O6-P6*2</f>
        <v>210.8</v>
      </c>
      <c r="U6" s="293" t="s"/>
      <c r="V6" s="293" t="s"/>
      <c r="W6" s="293" t="s"/>
      <c r="X6" s="293" t="s"/>
      <c r="Y6" s="293" t="s"/>
    </row>
    <row r="7" spans="1:25" ht="32" customHeight="true">
      <c r="A7" s="201">
        <v>1</v>
      </c>
      <c r="B7" s="283" t="s">
        <v>272</v>
      </c>
      <c r="C7" s="295">
        <f>=5122.18*1.3</f>
        <v>6658.834</v>
      </c>
      <c r="D7" s="295" t="s"/>
      <c r="E7" s="295" t="s"/>
      <c r="F7" s="295" t="s"/>
      <c r="G7" s="295">
        <f>=SUM(C7:F7)</f>
        <v>6658.834</v>
      </c>
      <c r="H7" s="201" t="s">
        <v>273</v>
      </c>
      <c r="I7" s="296">
        <v>662</v>
      </c>
      <c r="J7" s="297">
        <f>=C7/I7*10000</f>
        <v>100586.616314199</v>
      </c>
      <c r="K7" s="283" t="s"/>
      <c r="L7" s="298" t="s"/>
      <c r="M7" s="299">
        <v>61940</v>
      </c>
      <c r="N7" s="299">
        <v>45.133</v>
      </c>
      <c r="O7" s="299">
        <v>18.492</v>
      </c>
      <c r="P7" s="299">
        <f>=(N7*N7+O7*O7)^(1/2)</f>
        <v>48.7743964903719</v>
      </c>
      <c r="Q7" s="299">
        <f>=N7+O7-P7</f>
        <v>14.8506035096281</v>
      </c>
      <c r="R7" s="299" t="s"/>
      <c r="S7" s="299" t="s"/>
      <c r="T7" s="299" t="s"/>
      <c r="U7" s="299" t="s"/>
      <c r="V7" s="299" t="s"/>
      <c r="W7" s="299" t="s"/>
      <c r="X7" s="299" t="s"/>
      <c r="Y7" s="299" t="s"/>
    </row>
    <row r="8" spans="1:25" ht="32" customHeight="true">
      <c r="A8" s="201">
        <v>2</v>
      </c>
      <c r="B8" s="283" t="s">
        <v>276</v>
      </c>
      <c r="C8" s="296">
        <f>=(61940*35+291200*1.05*95+94800*1.05*45)/10000</f>
        <v>3569.44</v>
      </c>
      <c r="D8" s="295" t="s"/>
      <c r="E8" s="295" t="s"/>
      <c r="F8" s="295" t="s"/>
      <c r="G8" s="295">
        <f>=SUM(C8:F8)</f>
        <v>3569.44</v>
      </c>
      <c r="H8" s="201" t="s">
        <v>2526</v>
      </c>
      <c r="I8" s="296">
        <v>467240</v>
      </c>
      <c r="J8" s="297">
        <f>=C8/I8*10000</f>
        <v>76.3941443369575</v>
      </c>
      <c r="K8" s="283" t="s"/>
      <c r="L8" s="298" t="s"/>
      <c r="M8" s="294">
        <v>386000</v>
      </c>
      <c r="N8" s="294">
        <f>=M8-M9</f>
        <v>291200</v>
      </c>
      <c r="O8" s="294" t="s"/>
      <c r="P8" s="294" t="s"/>
      <c r="Q8" s="294" t="s"/>
      <c r="R8" s="294" t="s"/>
      <c r="S8" s="294" t="s"/>
      <c r="T8" s="294" t="s"/>
      <c r="U8" s="294" t="s"/>
      <c r="V8" s="294" t="s"/>
      <c r="W8" s="294" t="s"/>
      <c r="X8" s="294" t="s"/>
      <c r="Y8" s="294" t="s"/>
    </row>
    <row r="9" spans="1:25" ht="32" customHeight="true">
      <c r="A9" s="201">
        <v>3</v>
      </c>
      <c r="B9" s="283" t="s">
        <v>382</v>
      </c>
      <c r="C9" s="295">
        <f>=2167*16*904/10000*1.1*1.03</f>
        <v>3551.2171904</v>
      </c>
      <c r="D9" s="295" t="s"/>
      <c r="E9" s="295" t="s"/>
      <c r="F9" s="295" t="s"/>
      <c r="G9" s="295">
        <f>=SUM(C9:F9)</f>
        <v>3551.2171904</v>
      </c>
      <c r="H9" s="201" t="s">
        <v>2527</v>
      </c>
      <c r="I9" s="296">
        <v>22632</v>
      </c>
      <c r="J9" s="297">
        <f>=C9/I9*10000</f>
        <v>1569.11328667374</v>
      </c>
      <c r="K9" s="283" t="s"/>
      <c r="L9" s="298" t="s"/>
      <c r="M9" s="300">
        <f>=69800+25000</f>
        <v>94800</v>
      </c>
      <c r="N9" s="263" t="s"/>
      <c r="O9" s="263" t="s"/>
      <c r="P9" s="263" t="s"/>
      <c r="Q9" s="263" t="s"/>
      <c r="R9" s="301" t="s"/>
      <c r="S9" s="263" t="s"/>
      <c r="T9" s="263" t="s"/>
      <c r="U9" s="263" t="s"/>
      <c r="V9" s="263" t="s"/>
      <c r="W9" s="263" t="s"/>
      <c r="X9" s="263" t="s"/>
      <c r="Y9" s="263" t="s"/>
    </row>
    <row r="10" spans="1:25" ht="32" customHeight="true">
      <c r="A10" s="201">
        <v>4</v>
      </c>
      <c r="B10" s="283" t="s">
        <v>279</v>
      </c>
      <c r="C10" s="295">
        <f>=I10*J10/10000</f>
        <v>13709.515794</v>
      </c>
      <c r="D10" s="295" t="s"/>
      <c r="E10" s="295" t="s"/>
      <c r="F10" s="295" t="s"/>
      <c r="G10" s="295">
        <f>=SUM(C10:F10)</f>
        <v>13709.515794</v>
      </c>
      <c r="H10" s="201" t="s">
        <v>2527</v>
      </c>
      <c r="I10" s="296">
        <v>42869.03</v>
      </c>
      <c r="J10" s="297">
        <v>3198</v>
      </c>
      <c r="K10" s="283" t="s"/>
      <c r="L10" s="302">
        <f>=SUM(C10:C33)</f>
        <v>20853.05373625</v>
      </c>
      <c r="M10" s="303" t="s">
        <v>3</v>
      </c>
      <c r="N10" s="303" t="s">
        <v>2528</v>
      </c>
      <c r="O10" s="303" t="s">
        <v>2529</v>
      </c>
      <c r="P10" s="303" t="s">
        <v>383</v>
      </c>
      <c r="Q10" s="303" t="s">
        <v>7</v>
      </c>
      <c r="R10" s="303" t="s">
        <v>8</v>
      </c>
      <c r="S10" s="304" t="s">
        <v>258</v>
      </c>
      <c r="T10" s="263" t="s"/>
      <c r="U10" s="263" t="s"/>
      <c r="V10" s="263" t="s"/>
      <c r="W10" s="263" t="s"/>
      <c r="X10" s="263" t="s"/>
      <c r="Y10" s="263" t="s"/>
    </row>
    <row r="11" spans="1:25" ht="32" customHeight="true">
      <c r="A11" s="201">
        <v>5</v>
      </c>
      <c r="B11" s="283" t="s">
        <v>384</v>
      </c>
      <c r="C11" s="295">
        <f>=I11*J11/10000</f>
        <v>306.023424</v>
      </c>
      <c r="D11" s="295" t="s"/>
      <c r="E11" s="295" t="s"/>
      <c r="F11" s="295" t="s"/>
      <c r="G11" s="295">
        <f>=SUM(C11:F11)</f>
        <v>306.023424</v>
      </c>
      <c r="H11" s="201" t="s">
        <v>2526</v>
      </c>
      <c r="I11" s="296">
        <f>=9.8*6.4*19</f>
        <v>1191.68</v>
      </c>
      <c r="J11" s="297">
        <v>2568</v>
      </c>
      <c r="K11" s="283" t="s">
        <v>385</v>
      </c>
      <c r="L11" s="302" t="s"/>
      <c r="M11" s="305">
        <v>1</v>
      </c>
      <c r="N11" s="305" t="s">
        <v>384</v>
      </c>
      <c r="O11" s="306" t="s">
        <v>386</v>
      </c>
      <c r="P11" s="306" t="s">
        <v>387</v>
      </c>
      <c r="Q11" s="305" t="s">
        <v>388</v>
      </c>
      <c r="R11" s="306">
        <v>1</v>
      </c>
      <c r="S11" s="307" t="s">
        <v>385</v>
      </c>
      <c r="T11" s="263" t="s"/>
      <c r="U11" s="263" t="s"/>
      <c r="V11" s="263" t="s"/>
      <c r="W11" s="263" t="s"/>
      <c r="X11" s="263" t="s"/>
      <c r="Y11" s="263" t="s"/>
    </row>
    <row r="12" spans="1:25" ht="32" customHeight="true">
      <c r="A12" s="201">
        <v>6</v>
      </c>
      <c r="B12" s="283" t="s">
        <v>389</v>
      </c>
      <c r="C12" s="295">
        <f>=I12*J12/10000</f>
        <v>296.360592</v>
      </c>
      <c r="D12" s="295" t="s"/>
      <c r="E12" s="295" t="s"/>
      <c r="F12" s="295" t="s"/>
      <c r="G12" s="295">
        <f>=SUM(C12:F12)</f>
        <v>296.360592</v>
      </c>
      <c r="H12" s="201" t="s">
        <v>2526</v>
      </c>
      <c r="I12" s="296">
        <f>=17.6*24.1*12*0.85</f>
        <v>4326.432</v>
      </c>
      <c r="J12" s="297">
        <v>685</v>
      </c>
      <c r="K12" s="283" t="s">
        <v>390</v>
      </c>
      <c r="L12" s="308">
        <f>=L10/I10*10000</f>
        <v>4864.36332621709</v>
      </c>
      <c r="M12" s="309">
        <v>2</v>
      </c>
      <c r="N12" s="310" t="s">
        <v>389</v>
      </c>
      <c r="O12" s="309" t="s">
        <v>391</v>
      </c>
      <c r="P12" s="309" t="s">
        <v>387</v>
      </c>
      <c r="Q12" s="310" t="s">
        <v>388</v>
      </c>
      <c r="R12" s="309">
        <v>1</v>
      </c>
      <c r="S12" s="311" t="s">
        <v>390</v>
      </c>
      <c r="T12" s="263" t="s"/>
      <c r="U12" s="263" t="s"/>
      <c r="V12" s="263" t="s"/>
      <c r="W12" s="263" t="s"/>
      <c r="X12" s="263" t="s"/>
      <c r="Y12" s="263" t="s"/>
    </row>
    <row r="13" spans="1:25" ht="32" customHeight="true">
      <c r="A13" s="201">
        <v>7</v>
      </c>
      <c r="B13" s="283" t="s">
        <v>392</v>
      </c>
      <c r="C13" s="295">
        <f>=I13*J13/10000</f>
        <v>46.30082688</v>
      </c>
      <c r="D13" s="295" t="s"/>
      <c r="E13" s="295" t="s"/>
      <c r="F13" s="295" t="s"/>
      <c r="G13" s="295">
        <f>=SUM(C13:F13)</f>
        <v>46.30082688</v>
      </c>
      <c r="H13" s="201" t="s">
        <v>2526</v>
      </c>
      <c r="I13" s="296">
        <f>=17.6*13.7*3.15*0.8</f>
        <v>607.6224</v>
      </c>
      <c r="J13" s="297">
        <v>762</v>
      </c>
      <c r="K13" s="283" t="s">
        <v>390</v>
      </c>
      <c r="L13" s="263" t="s"/>
      <c r="M13" s="310">
        <v>3</v>
      </c>
      <c r="N13" s="310" t="s">
        <v>392</v>
      </c>
      <c r="O13" s="309" t="s">
        <v>393</v>
      </c>
      <c r="P13" s="309" t="s">
        <v>387</v>
      </c>
      <c r="Q13" s="310" t="s">
        <v>388</v>
      </c>
      <c r="R13" s="309">
        <v>1</v>
      </c>
      <c r="S13" s="311" t="s">
        <v>390</v>
      </c>
      <c r="T13" s="263" t="s"/>
      <c r="U13" s="263" t="s"/>
      <c r="V13" s="263" t="s"/>
      <c r="W13" s="263" t="s"/>
      <c r="X13" s="263" t="s"/>
      <c r="Y13" s="263" t="s"/>
    </row>
    <row r="14" spans="1:25" ht="32" customHeight="true">
      <c r="A14" s="201">
        <v>8</v>
      </c>
      <c r="B14" s="283" t="s">
        <v>394</v>
      </c>
      <c r="C14" s="295">
        <f>=I14*J14/10000</f>
        <v>291.9671664</v>
      </c>
      <c r="D14" s="295" t="s"/>
      <c r="E14" s="295" t="s"/>
      <c r="F14" s="295" t="s"/>
      <c r="G14" s="295">
        <f>=SUM(C14:F14)</f>
        <v>291.9671664</v>
      </c>
      <c r="H14" s="201" t="s">
        <v>2526</v>
      </c>
      <c r="I14" s="296">
        <f>=20.5*27.4*9.1*0.85</f>
        <v>4344.7495</v>
      </c>
      <c r="J14" s="297">
        <v>672</v>
      </c>
      <c r="K14" s="283" t="s">
        <v>390</v>
      </c>
      <c r="L14" s="263" t="s"/>
      <c r="M14" s="306">
        <v>4</v>
      </c>
      <c r="N14" s="305" t="s">
        <v>394</v>
      </c>
      <c r="O14" s="306" t="s">
        <v>395</v>
      </c>
      <c r="P14" s="306" t="s">
        <v>387</v>
      </c>
      <c r="Q14" s="305" t="s">
        <v>388</v>
      </c>
      <c r="R14" s="306">
        <v>1</v>
      </c>
      <c r="S14" s="307" t="s">
        <v>390</v>
      </c>
      <c r="T14" s="263" t="s"/>
      <c r="U14" s="263" t="s"/>
      <c r="V14" s="263" t="s"/>
      <c r="W14" s="263" t="s"/>
      <c r="X14" s="263" t="s"/>
      <c r="Y14" s="263" t="s"/>
    </row>
    <row r="15" spans="1:25" ht="32" customHeight="true">
      <c r="A15" s="201">
        <v>9</v>
      </c>
      <c r="B15" s="283" t="s">
        <v>396</v>
      </c>
      <c r="C15" s="295">
        <f>=I15*J15/10000</f>
        <v>49.717395</v>
      </c>
      <c r="D15" s="295" t="s"/>
      <c r="E15" s="295" t="s"/>
      <c r="F15" s="295" t="s"/>
      <c r="G15" s="295">
        <f>=SUM(C15:F15)</f>
        <v>49.717395</v>
      </c>
      <c r="H15" s="201" t="s">
        <v>2526</v>
      </c>
      <c r="I15" s="296">
        <f>=210*3.55*0.9</f>
        <v>670.95</v>
      </c>
      <c r="J15" s="297">
        <v>741</v>
      </c>
      <c r="K15" s="283" t="s">
        <v>390</v>
      </c>
      <c r="L15" s="263" t="s"/>
      <c r="M15" s="310">
        <v>5</v>
      </c>
      <c r="N15" s="310" t="s">
        <v>396</v>
      </c>
      <c r="O15" s="309" t="s">
        <v>397</v>
      </c>
      <c r="P15" s="309" t="s">
        <v>387</v>
      </c>
      <c r="Q15" s="310" t="s">
        <v>388</v>
      </c>
      <c r="R15" s="309">
        <v>1</v>
      </c>
      <c r="S15" s="311" t="s">
        <v>390</v>
      </c>
      <c r="T15" s="263" t="s"/>
      <c r="U15" s="263" t="s"/>
      <c r="V15" s="263" t="s"/>
      <c r="W15" s="263" t="s"/>
      <c r="X15" s="263" t="s"/>
      <c r="Y15" s="263" t="s"/>
    </row>
    <row r="16" spans="1:25" ht="32" customHeight="true">
      <c r="A16" s="201">
        <v>10</v>
      </c>
      <c r="B16" s="283" t="s">
        <v>398</v>
      </c>
      <c r="C16" s="295">
        <f>=I16*J16/10000</f>
        <v>3103.141104</v>
      </c>
      <c r="D16" s="295" t="s"/>
      <c r="E16" s="295" t="s"/>
      <c r="F16" s="295" t="s"/>
      <c r="G16" s="295">
        <f>=SUM(C16:F16)</f>
        <v>3103.141104</v>
      </c>
      <c r="H16" s="201" t="s">
        <v>2526</v>
      </c>
      <c r="I16" s="296">
        <f>=47.6*97.2*10*2*0.95</f>
        <v>87907.68</v>
      </c>
      <c r="J16" s="297">
        <v>353</v>
      </c>
      <c r="K16" s="283" t="s">
        <v>390</v>
      </c>
      <c r="L16" s="263" t="s"/>
      <c r="M16" s="309">
        <v>6</v>
      </c>
      <c r="N16" s="310" t="s">
        <v>398</v>
      </c>
      <c r="O16" s="309" t="s">
        <v>399</v>
      </c>
      <c r="P16" s="309" t="s">
        <v>387</v>
      </c>
      <c r="Q16" s="310" t="s">
        <v>25</v>
      </c>
      <c r="R16" s="309">
        <v>2</v>
      </c>
      <c r="S16" s="311" t="s">
        <v>390</v>
      </c>
      <c r="T16" s="263" t="s"/>
      <c r="U16" s="263" t="s"/>
      <c r="V16" s="263" t="s"/>
      <c r="W16" s="263" t="s"/>
      <c r="X16" s="263" t="s"/>
      <c r="Y16" s="263" t="s"/>
    </row>
    <row r="17" spans="1:25" ht="32" customHeight="true">
      <c r="A17" s="201">
        <v>11</v>
      </c>
      <c r="B17" s="283" t="s">
        <v>400</v>
      </c>
      <c r="C17" s="295">
        <f>=I17*J17/10000</f>
        <v>1626.6174246</v>
      </c>
      <c r="D17" s="295" t="s"/>
      <c r="E17" s="295" t="s"/>
      <c r="F17" s="295" t="s"/>
      <c r="G17" s="295">
        <f>=SUM(C17:F17)</f>
        <v>1626.6174246</v>
      </c>
      <c r="H17" s="201" t="s">
        <v>2526</v>
      </c>
      <c r="I17" s="296">
        <f>=9.05*56.7*(7.2+10)/2*10*0.95</f>
        <v>41923.1295</v>
      </c>
      <c r="J17" s="297">
        <v>388</v>
      </c>
      <c r="K17" s="283" t="s">
        <v>390</v>
      </c>
      <c r="L17" s="263" t="s"/>
      <c r="M17" s="310">
        <v>7</v>
      </c>
      <c r="N17" s="310" t="s">
        <v>400</v>
      </c>
      <c r="O17" s="309" t="s">
        <v>401</v>
      </c>
      <c r="P17" s="309" t="s">
        <v>387</v>
      </c>
      <c r="Q17" s="310" t="s">
        <v>25</v>
      </c>
      <c r="R17" s="309">
        <v>10</v>
      </c>
      <c r="S17" s="311" t="s">
        <v>390</v>
      </c>
      <c r="T17" s="263" t="s"/>
      <c r="U17" s="263" t="s"/>
      <c r="V17" s="263" t="s"/>
      <c r="W17" s="263" t="s"/>
      <c r="X17" s="263" t="s"/>
      <c r="Y17" s="263" t="s"/>
    </row>
    <row r="18" spans="1:25" ht="32" customHeight="true">
      <c r="A18" s="201">
        <v>12</v>
      </c>
      <c r="B18" s="283" t="s">
        <v>402</v>
      </c>
      <c r="C18" s="295">
        <f>=I18*J18/10000</f>
        <v>242.84250927</v>
      </c>
      <c r="D18" s="295" t="s"/>
      <c r="E18" s="295" t="s"/>
      <c r="F18" s="295" t="s"/>
      <c r="G18" s="295">
        <f>=SUM(C18:F18)</f>
        <v>242.84250927</v>
      </c>
      <c r="H18" s="201" t="s">
        <v>2526</v>
      </c>
      <c r="I18" s="296">
        <f>=17.95*26.1*8.7*0.9</f>
        <v>3668.31585</v>
      </c>
      <c r="J18" s="297">
        <v>662</v>
      </c>
      <c r="K18" s="283" t="s">
        <v>390</v>
      </c>
      <c r="L18" s="263" t="s"/>
      <c r="M18" s="309">
        <v>8</v>
      </c>
      <c r="N18" s="310" t="s">
        <v>402</v>
      </c>
      <c r="O18" s="309" t="s">
        <v>403</v>
      </c>
      <c r="P18" s="309" t="s">
        <v>387</v>
      </c>
      <c r="Q18" s="310" t="s">
        <v>388</v>
      </c>
      <c r="R18" s="309">
        <v>1</v>
      </c>
      <c r="S18" s="311" t="s">
        <v>390</v>
      </c>
      <c r="T18" s="263" t="s"/>
      <c r="U18" s="263" t="s"/>
      <c r="V18" s="263" t="s"/>
      <c r="W18" s="263" t="s"/>
      <c r="X18" s="263" t="s"/>
      <c r="Y18" s="263" t="s"/>
    </row>
    <row r="19" spans="1:25" ht="32" customHeight="true">
      <c r="A19" s="201">
        <v>13</v>
      </c>
      <c r="B19" s="283" t="s">
        <v>404</v>
      </c>
      <c r="C19" s="295">
        <f>=I19*J19/10000</f>
        <v>333.620658</v>
      </c>
      <c r="D19" s="295" t="s"/>
      <c r="E19" s="295" t="s"/>
      <c r="F19" s="295" t="s"/>
      <c r="G19" s="295">
        <f>=SUM(C19:F19)</f>
        <v>333.620658</v>
      </c>
      <c r="H19" s="201" t="s">
        <v>2526</v>
      </c>
      <c r="I19" s="296">
        <f>=23*29.2*9*0.95</f>
        <v>5742.18</v>
      </c>
      <c r="J19" s="297">
        <v>581</v>
      </c>
      <c r="K19" s="283" t="s">
        <v>390</v>
      </c>
      <c r="L19" s="263" t="s"/>
      <c r="M19" s="310">
        <v>9</v>
      </c>
      <c r="N19" s="305" t="s">
        <v>404</v>
      </c>
      <c r="O19" s="306" t="s">
        <v>405</v>
      </c>
      <c r="P19" s="306" t="s">
        <v>387</v>
      </c>
      <c r="Q19" s="305" t="s">
        <v>388</v>
      </c>
      <c r="R19" s="306">
        <v>1</v>
      </c>
      <c r="S19" s="307" t="s">
        <v>390</v>
      </c>
      <c r="T19" s="263" t="s"/>
      <c r="U19" s="263" t="s"/>
      <c r="V19" s="263" t="s"/>
      <c r="W19" s="263" t="s"/>
      <c r="X19" s="263" t="s"/>
      <c r="Y19" s="263" t="s"/>
    </row>
    <row r="20" spans="1:25" ht="32" customHeight="true">
      <c r="A20" s="201">
        <v>14</v>
      </c>
      <c r="B20" s="283" t="s">
        <v>406</v>
      </c>
      <c r="C20" s="295">
        <f>=I20*J20/10000</f>
        <v>295.56</v>
      </c>
      <c r="D20" s="295" t="s"/>
      <c r="E20" s="295" t="s"/>
      <c r="F20" s="295" t="s"/>
      <c r="G20" s="295">
        <f>=SUM(C20:F20)</f>
        <v>295.56</v>
      </c>
      <c r="H20" s="201" t="s">
        <v>2527</v>
      </c>
      <c r="I20" s="296">
        <v>1642</v>
      </c>
      <c r="J20" s="297">
        <v>1800</v>
      </c>
      <c r="K20" s="283" t="s">
        <v>407</v>
      </c>
      <c r="L20" s="263" t="s"/>
      <c r="M20" s="309">
        <v>10</v>
      </c>
      <c r="N20" s="305" t="s">
        <v>406</v>
      </c>
      <c r="O20" s="306" t="s">
        <v>408</v>
      </c>
      <c r="P20" s="305" t="s">
        <v>409</v>
      </c>
      <c r="Q20" s="305" t="s">
        <v>410</v>
      </c>
      <c r="R20" s="306">
        <v>1</v>
      </c>
      <c r="S20" s="307" t="s">
        <v>407</v>
      </c>
      <c r="T20" s="263" t="s"/>
      <c r="U20" s="263" t="s"/>
      <c r="V20" s="263" t="s"/>
      <c r="W20" s="263" t="s"/>
      <c r="X20" s="263" t="s"/>
      <c r="Y20" s="263" t="s"/>
    </row>
    <row r="21" spans="1:25" ht="32" customHeight="true">
      <c r="A21" s="201">
        <v>15</v>
      </c>
      <c r="B21" s="283" t="s">
        <v>411</v>
      </c>
      <c r="C21" s="295">
        <f>=I21*J21/10000</f>
        <v>51.75</v>
      </c>
      <c r="D21" s="295" t="s"/>
      <c r="E21" s="295" t="s"/>
      <c r="F21" s="295" t="s"/>
      <c r="G21" s="295">
        <f>=SUM(C21:F21)</f>
        <v>51.75</v>
      </c>
      <c r="H21" s="201" t="s">
        <v>2527</v>
      </c>
      <c r="I21" s="296">
        <v>345</v>
      </c>
      <c r="J21" s="297">
        <v>1500</v>
      </c>
      <c r="K21" s="283" t="s">
        <v>390</v>
      </c>
      <c r="L21" s="263" t="s"/>
      <c r="M21" s="310">
        <v>11</v>
      </c>
      <c r="N21" s="305" t="s">
        <v>411</v>
      </c>
      <c r="O21" s="306" t="s">
        <v>412</v>
      </c>
      <c r="P21" s="305" t="s">
        <v>409</v>
      </c>
      <c r="Q21" s="305" t="s">
        <v>410</v>
      </c>
      <c r="R21" s="306">
        <v>1</v>
      </c>
      <c r="S21" s="307" t="s">
        <v>413</v>
      </c>
      <c r="T21" s="263" t="s"/>
      <c r="U21" s="263" t="s"/>
      <c r="V21" s="263" t="s"/>
      <c r="W21" s="263" t="s"/>
      <c r="X21" s="263" t="s"/>
      <c r="Y21" s="263" t="s"/>
    </row>
    <row r="22" spans="1:25" ht="32" customHeight="true">
      <c r="A22" s="201">
        <v>16</v>
      </c>
      <c r="B22" s="283" t="s">
        <v>414</v>
      </c>
      <c r="C22" s="295">
        <f>=I22*J22/10000</f>
        <v>20.9297088</v>
      </c>
      <c r="D22" s="295" t="s"/>
      <c r="E22" s="295" t="s"/>
      <c r="F22" s="295" t="s"/>
      <c r="G22" s="295">
        <f>=SUM(C22:F22)</f>
        <v>20.9297088</v>
      </c>
      <c r="H22" s="201" t="s">
        <v>2526</v>
      </c>
      <c r="I22" s="296">
        <f>=3.3*7.7*5.2*2</f>
        <v>264.264</v>
      </c>
      <c r="J22" s="297">
        <v>792</v>
      </c>
      <c r="K22" s="283" t="s">
        <v>390</v>
      </c>
      <c r="L22" s="263" t="s"/>
      <c r="M22" s="309">
        <v>12</v>
      </c>
      <c r="N22" s="310" t="s">
        <v>414</v>
      </c>
      <c r="O22" s="309" t="s">
        <v>415</v>
      </c>
      <c r="P22" s="309" t="s">
        <v>387</v>
      </c>
      <c r="Q22" s="310" t="s">
        <v>388</v>
      </c>
      <c r="R22" s="309">
        <v>2</v>
      </c>
      <c r="S22" s="311" t="s">
        <v>413</v>
      </c>
      <c r="T22" s="263" t="s"/>
      <c r="U22" s="263" t="s"/>
      <c r="V22" s="263" t="s"/>
      <c r="W22" s="263" t="s"/>
      <c r="X22" s="263" t="s"/>
      <c r="Y22" s="263" t="s"/>
    </row>
    <row r="23" spans="1:25" ht="32" customHeight="true">
      <c r="A23" s="201">
        <v>17</v>
      </c>
      <c r="B23" s="283" t="s">
        <v>416</v>
      </c>
      <c r="C23" s="295">
        <f>=I23*J23/10000</f>
        <v>11.583</v>
      </c>
      <c r="D23" s="295" t="s"/>
      <c r="E23" s="295" t="s"/>
      <c r="F23" s="295" t="s"/>
      <c r="G23" s="295">
        <f>=SUM(C23:F23)</f>
        <v>11.583</v>
      </c>
      <c r="H23" s="201" t="s">
        <v>2526</v>
      </c>
      <c r="I23" s="296">
        <f>=3*4.5*5.2*2</f>
        <v>140.4</v>
      </c>
      <c r="J23" s="297">
        <v>825</v>
      </c>
      <c r="K23" s="283" t="s">
        <v>390</v>
      </c>
      <c r="L23" s="263" t="s"/>
      <c r="M23" s="310">
        <v>13</v>
      </c>
      <c r="N23" s="309" t="s">
        <v>2530</v>
      </c>
      <c r="O23" s="309" t="s">
        <v>417</v>
      </c>
      <c r="P23" s="309" t="s">
        <v>387</v>
      </c>
      <c r="Q23" s="310" t="s">
        <v>388</v>
      </c>
      <c r="R23" s="309">
        <v>2</v>
      </c>
      <c r="S23" s="311" t="s">
        <v>413</v>
      </c>
      <c r="T23" s="263" t="s"/>
      <c r="U23" s="263" t="s"/>
      <c r="V23" s="263" t="s"/>
      <c r="W23" s="263" t="s"/>
      <c r="X23" s="263" t="s"/>
      <c r="Y23" s="263" t="s"/>
    </row>
    <row r="24" spans="1:25" ht="32" customHeight="true">
      <c r="A24" s="201">
        <v>18</v>
      </c>
      <c r="B24" s="283" t="s">
        <v>418</v>
      </c>
      <c r="C24" s="295">
        <f>=I24*J24/10000</f>
        <v>9.4084224</v>
      </c>
      <c r="D24" s="295" t="s"/>
      <c r="E24" s="295" t="s"/>
      <c r="F24" s="295" t="s"/>
      <c r="G24" s="295">
        <f>=SUM(C24:F24)</f>
        <v>9.4084224</v>
      </c>
      <c r="H24" s="201" t="s">
        <v>2526</v>
      </c>
      <c r="I24" s="296">
        <f>=4.7*4.8*5.2</f>
        <v>117.312</v>
      </c>
      <c r="J24" s="297">
        <v>802</v>
      </c>
      <c r="K24" s="283" t="s">
        <v>390</v>
      </c>
      <c r="L24" s="263" t="s"/>
      <c r="M24" s="309">
        <v>14</v>
      </c>
      <c r="N24" s="305" t="s">
        <v>418</v>
      </c>
      <c r="O24" s="306" t="s">
        <v>419</v>
      </c>
      <c r="P24" s="306" t="s">
        <v>387</v>
      </c>
      <c r="Q24" s="305" t="s">
        <v>388</v>
      </c>
      <c r="R24" s="306">
        <v>1</v>
      </c>
      <c r="S24" s="307" t="s">
        <v>413</v>
      </c>
      <c r="T24" s="263" t="s"/>
      <c r="U24" s="263" t="s"/>
      <c r="V24" s="263" t="s"/>
      <c r="W24" s="263" t="s"/>
      <c r="X24" s="263" t="s"/>
      <c r="Y24" s="263" t="s"/>
    </row>
    <row r="25" spans="1:25" ht="32" customHeight="true">
      <c r="A25" s="201">
        <v>19</v>
      </c>
      <c r="B25" s="283" t="s">
        <v>420</v>
      </c>
      <c r="C25" s="295">
        <f>=I25*J25/10000</f>
        <v>52.02</v>
      </c>
      <c r="D25" s="295" t="s"/>
      <c r="E25" s="295" t="s"/>
      <c r="F25" s="295" t="s"/>
      <c r="G25" s="295">
        <f>=SUM(C25:F25)</f>
        <v>52.02</v>
      </c>
      <c r="H25" s="201" t="s">
        <v>2527</v>
      </c>
      <c r="I25" s="296">
        <v>306</v>
      </c>
      <c r="J25" s="297">
        <v>1700</v>
      </c>
      <c r="K25" s="283" t="s">
        <v>390</v>
      </c>
      <c r="L25" s="263" t="s"/>
      <c r="M25" s="310">
        <v>15</v>
      </c>
      <c r="N25" s="310" t="s">
        <v>420</v>
      </c>
      <c r="O25" s="309" t="s">
        <v>421</v>
      </c>
      <c r="P25" s="310" t="s">
        <v>409</v>
      </c>
      <c r="Q25" s="310" t="s">
        <v>388</v>
      </c>
      <c r="R25" s="309">
        <v>1</v>
      </c>
      <c r="S25" s="311" t="s">
        <v>390</v>
      </c>
      <c r="T25" s="263" t="s"/>
      <c r="U25" s="263" t="s"/>
      <c r="V25" s="263" t="s"/>
      <c r="W25" s="263" t="s"/>
      <c r="X25" s="263" t="s"/>
      <c r="Y25" s="263" t="s"/>
    </row>
    <row r="26" spans="1:25" ht="32" customHeight="true">
      <c r="A26" s="201">
        <v>20</v>
      </c>
      <c r="B26" s="283" t="s">
        <v>422</v>
      </c>
      <c r="C26" s="295">
        <f>=I26*J26/10000</f>
        <v>29.089368</v>
      </c>
      <c r="D26" s="295" t="s"/>
      <c r="E26" s="295" t="s"/>
      <c r="F26" s="295" t="s"/>
      <c r="G26" s="295">
        <f>=SUM(C26:F26)</f>
        <v>29.089368</v>
      </c>
      <c r="H26" s="201" t="s">
        <v>2526</v>
      </c>
      <c r="I26" s="296">
        <f>=5.3*8.4*10*0.9</f>
        <v>400.68</v>
      </c>
      <c r="J26" s="297">
        <v>726</v>
      </c>
      <c r="K26" s="283" t="s">
        <v>390</v>
      </c>
      <c r="L26" s="263" t="s"/>
      <c r="M26" s="309">
        <v>16</v>
      </c>
      <c r="N26" s="310" t="s">
        <v>423</v>
      </c>
      <c r="O26" s="309" t="s">
        <v>2531</v>
      </c>
      <c r="P26" s="309" t="s">
        <v>387</v>
      </c>
      <c r="Q26" s="310" t="s">
        <v>388</v>
      </c>
      <c r="R26" s="309">
        <v>1</v>
      </c>
      <c r="S26" s="311" t="s">
        <v>424</v>
      </c>
      <c r="T26" s="263" t="s"/>
      <c r="U26" s="263" t="s"/>
      <c r="V26" s="263" t="s"/>
      <c r="W26" s="263" t="s"/>
      <c r="X26" s="263" t="s"/>
      <c r="Y26" s="263" t="s"/>
    </row>
    <row r="27" spans="1:25" ht="32" customHeight="true">
      <c r="A27" s="201">
        <v>21</v>
      </c>
      <c r="B27" s="283" t="s">
        <v>425</v>
      </c>
      <c r="C27" s="295">
        <f>=I27*J27/10000</f>
        <v>60.8887125</v>
      </c>
      <c r="D27" s="295" t="s"/>
      <c r="E27" s="295" t="s"/>
      <c r="F27" s="295" t="s"/>
      <c r="G27" s="295">
        <f>=SUM(C27:F27)</f>
        <v>60.8887125</v>
      </c>
      <c r="H27" s="201" t="s">
        <v>2526</v>
      </c>
      <c r="I27" s="296">
        <f>=7.7*13.75*10*0.9</f>
        <v>952.875</v>
      </c>
      <c r="J27" s="297">
        <v>639</v>
      </c>
      <c r="K27" s="283" t="s">
        <v>390</v>
      </c>
      <c r="L27" s="263" t="s"/>
      <c r="M27" s="310">
        <v>17</v>
      </c>
      <c r="N27" s="310" t="s">
        <v>425</v>
      </c>
      <c r="O27" s="309" t="s">
        <v>426</v>
      </c>
      <c r="P27" s="309" t="s">
        <v>387</v>
      </c>
      <c r="Q27" s="310" t="s">
        <v>388</v>
      </c>
      <c r="R27" s="309">
        <v>1</v>
      </c>
      <c r="S27" s="311" t="s">
        <v>390</v>
      </c>
      <c r="T27" s="263" t="s"/>
      <c r="U27" s="263" t="s"/>
      <c r="V27" s="263" t="s"/>
      <c r="W27" s="263" t="s"/>
      <c r="X27" s="263" t="s"/>
      <c r="Y27" s="263" t="s"/>
    </row>
    <row r="28" spans="1:25" ht="32" customHeight="true">
      <c r="A28" s="201">
        <v>22</v>
      </c>
      <c r="B28" s="283" t="s">
        <v>427</v>
      </c>
      <c r="C28" s="295">
        <f>=I28*J28/10000</f>
        <v>39.742872</v>
      </c>
      <c r="D28" s="295" t="s"/>
      <c r="E28" s="295" t="s"/>
      <c r="F28" s="295" t="s"/>
      <c r="G28" s="295">
        <f>=SUM(C28:F28)</f>
        <v>39.742872</v>
      </c>
      <c r="H28" s="201" t="s">
        <v>2526</v>
      </c>
      <c r="I28" s="296">
        <f>=5.9*13*6.8</f>
        <v>521.56</v>
      </c>
      <c r="J28" s="297">
        <v>762</v>
      </c>
      <c r="K28" s="283" t="s">
        <v>390</v>
      </c>
      <c r="L28" s="298" t="s"/>
      <c r="M28" s="309">
        <v>18</v>
      </c>
      <c r="N28" s="305" t="s">
        <v>427</v>
      </c>
      <c r="O28" s="306" t="s">
        <v>428</v>
      </c>
      <c r="P28" s="306" t="s">
        <v>387</v>
      </c>
      <c r="Q28" s="305" t="s">
        <v>388</v>
      </c>
      <c r="R28" s="306">
        <v>1</v>
      </c>
      <c r="S28" s="307" t="s">
        <v>390</v>
      </c>
      <c r="T28" s="263" t="s"/>
      <c r="U28" s="263" t="s"/>
      <c r="V28" s="263" t="s"/>
      <c r="W28" s="263" t="s"/>
      <c r="X28" s="263" t="s"/>
      <c r="Y28" s="263" t="s"/>
    </row>
    <row r="29" spans="1:25" ht="32" customHeight="true">
      <c r="A29" s="201">
        <v>23</v>
      </c>
      <c r="B29" s="283" t="s">
        <v>429</v>
      </c>
      <c r="C29" s="295">
        <f>=I29*J29/10000</f>
        <v>113.1485184</v>
      </c>
      <c r="D29" s="295" t="s"/>
      <c r="E29" s="295" t="s"/>
      <c r="F29" s="295" t="s"/>
      <c r="G29" s="295">
        <f>=SUM(C29:F29)</f>
        <v>113.1485184</v>
      </c>
      <c r="H29" s="201" t="s">
        <v>2526</v>
      </c>
      <c r="I29" s="296">
        <f>=6*6*3.14*6.8*2</f>
        <v>1537.344</v>
      </c>
      <c r="J29" s="297">
        <v>736</v>
      </c>
      <c r="K29" s="283" t="s">
        <v>390</v>
      </c>
      <c r="L29" s="298" t="s"/>
      <c r="M29" s="310">
        <v>19</v>
      </c>
      <c r="N29" s="310" t="s">
        <v>429</v>
      </c>
      <c r="O29" s="309" t="s">
        <v>2532</v>
      </c>
      <c r="P29" s="309" t="s">
        <v>387</v>
      </c>
      <c r="Q29" s="310" t="s">
        <v>388</v>
      </c>
      <c r="R29" s="309">
        <v>2</v>
      </c>
      <c r="S29" s="311" t="s">
        <v>390</v>
      </c>
      <c r="T29" s="263" t="s"/>
      <c r="U29" s="263" t="s"/>
      <c r="V29" s="263" t="s"/>
      <c r="W29" s="263" t="s"/>
      <c r="X29" s="263" t="s"/>
      <c r="Y29" s="263" t="s"/>
    </row>
    <row r="30" spans="1:25" ht="32" customHeight="true">
      <c r="A30" s="201">
        <v>24</v>
      </c>
      <c r="B30" s="283" t="s">
        <v>430</v>
      </c>
      <c r="C30" s="295">
        <f>=I30*J30/10000</f>
        <v>36.6366</v>
      </c>
      <c r="D30" s="295" t="s"/>
      <c r="E30" s="295" t="s"/>
      <c r="F30" s="295" t="s"/>
      <c r="G30" s="295">
        <f>=SUM(C30:F30)</f>
        <v>36.6366</v>
      </c>
      <c r="H30" s="201" t="s">
        <v>2526</v>
      </c>
      <c r="I30" s="296">
        <f>=7.7*13*5</f>
        <v>500.5</v>
      </c>
      <c r="J30" s="297">
        <v>732</v>
      </c>
      <c r="K30" s="283" t="s">
        <v>390</v>
      </c>
      <c r="L30" s="298" t="s"/>
      <c r="M30" s="309">
        <v>20</v>
      </c>
      <c r="N30" s="310" t="s">
        <v>430</v>
      </c>
      <c r="O30" s="309" t="s">
        <v>431</v>
      </c>
      <c r="P30" s="309" t="s">
        <v>387</v>
      </c>
      <c r="Q30" s="310" t="s">
        <v>388</v>
      </c>
      <c r="R30" s="309">
        <v>1</v>
      </c>
      <c r="S30" s="311" t="s">
        <v>413</v>
      </c>
      <c r="T30" s="263" t="s"/>
      <c r="U30" s="263" t="s"/>
      <c r="V30" s="263" t="s"/>
      <c r="W30" s="263" t="s"/>
      <c r="X30" s="263" t="s"/>
      <c r="Y30" s="263" t="s"/>
    </row>
    <row r="31" spans="1:25" ht="32" customHeight="true">
      <c r="A31" s="201">
        <v>25</v>
      </c>
      <c r="B31" s="283" t="s">
        <v>432</v>
      </c>
      <c r="C31" s="295">
        <f>=I31*J31/10000</f>
        <v>10.5</v>
      </c>
      <c r="D31" s="295" t="s"/>
      <c r="E31" s="295" t="s"/>
      <c r="F31" s="295" t="s"/>
      <c r="G31" s="295">
        <f>=SUM(C31:F31)</f>
        <v>10.5</v>
      </c>
      <c r="H31" s="201" t="s">
        <v>2527</v>
      </c>
      <c r="I31" s="296">
        <v>70</v>
      </c>
      <c r="J31" s="297">
        <v>1500</v>
      </c>
      <c r="K31" s="283" t="s">
        <v>390</v>
      </c>
      <c r="L31" s="298" t="s"/>
      <c r="M31" s="310">
        <v>21</v>
      </c>
      <c r="N31" s="305" t="s">
        <v>432</v>
      </c>
      <c r="O31" s="306" t="s">
        <v>433</v>
      </c>
      <c r="P31" s="305" t="s">
        <v>409</v>
      </c>
      <c r="Q31" s="305" t="s">
        <v>388</v>
      </c>
      <c r="R31" s="306">
        <v>1</v>
      </c>
      <c r="S31" s="307" t="s">
        <v>413</v>
      </c>
      <c r="T31" s="263" t="s"/>
      <c r="U31" s="263" t="s"/>
      <c r="V31" s="263" t="s"/>
      <c r="W31" s="263" t="s"/>
      <c r="X31" s="263" t="s"/>
      <c r="Y31" s="263" t="s"/>
    </row>
    <row r="32" spans="1:25" ht="32" customHeight="true">
      <c r="A32" s="201">
        <v>26</v>
      </c>
      <c r="B32" s="283" t="s">
        <v>434</v>
      </c>
      <c r="C32" s="295">
        <f>=I32*J32/10000</f>
        <v>74.074</v>
      </c>
      <c r="D32" s="295" t="s"/>
      <c r="E32" s="295" t="s"/>
      <c r="F32" s="295" t="s"/>
      <c r="G32" s="295">
        <f>=SUM(C32:F32)</f>
        <v>74.074</v>
      </c>
      <c r="H32" s="201" t="s">
        <v>2526</v>
      </c>
      <c r="I32" s="296">
        <f>=13*18.5*5</f>
        <v>1202.5</v>
      </c>
      <c r="J32" s="297">
        <v>616</v>
      </c>
      <c r="K32" s="283" t="s">
        <v>390</v>
      </c>
      <c r="L32" s="298" t="s"/>
      <c r="M32" s="309">
        <v>22</v>
      </c>
      <c r="N32" s="305" t="s">
        <v>434</v>
      </c>
      <c r="O32" s="306" t="s">
        <v>435</v>
      </c>
      <c r="P32" s="306" t="s">
        <v>387</v>
      </c>
      <c r="Q32" s="305" t="s">
        <v>388</v>
      </c>
      <c r="R32" s="306">
        <v>1</v>
      </c>
      <c r="S32" s="307" t="s">
        <v>413</v>
      </c>
      <c r="T32" s="263" t="s"/>
      <c r="U32" s="263" t="s"/>
      <c r="V32" s="263" t="s"/>
      <c r="W32" s="263" t="s"/>
      <c r="X32" s="263" t="s"/>
      <c r="Y32" s="263" t="s"/>
    </row>
    <row r="33" spans="1:25" ht="32" customHeight="true">
      <c r="A33" s="201">
        <v>27</v>
      </c>
      <c r="B33" s="283" t="s">
        <v>436</v>
      </c>
      <c r="C33" s="295">
        <f>=I33*J33/10000</f>
        <v>41.61564</v>
      </c>
      <c r="D33" s="295" t="s"/>
      <c r="E33" s="295" t="s"/>
      <c r="F33" s="295" t="s"/>
      <c r="G33" s="295">
        <f>=SUM(C33:F33)</f>
        <v>41.61564</v>
      </c>
      <c r="H33" s="201" t="s">
        <v>2526</v>
      </c>
      <c r="I33" s="296">
        <f>=8.8*15.5*5*0.9</f>
        <v>613.8</v>
      </c>
      <c r="J33" s="297">
        <v>678</v>
      </c>
      <c r="K33" s="283" t="s">
        <v>390</v>
      </c>
      <c r="L33" s="298" t="s"/>
      <c r="M33" s="310">
        <v>23</v>
      </c>
      <c r="N33" s="305" t="s">
        <v>436</v>
      </c>
      <c r="O33" s="306" t="s">
        <v>437</v>
      </c>
      <c r="P33" s="306" t="s">
        <v>387</v>
      </c>
      <c r="Q33" s="305" t="s">
        <v>410</v>
      </c>
      <c r="R33" s="306">
        <v>1</v>
      </c>
      <c r="S33" s="307" t="s">
        <v>413</v>
      </c>
      <c r="T33" s="263" t="s"/>
      <c r="U33" s="263" t="s"/>
      <c r="V33" s="263" t="s"/>
      <c r="W33" s="263" t="s"/>
      <c r="X33" s="263" t="s"/>
      <c r="Y33" s="263" t="s"/>
    </row>
    <row r="34" spans="1:25" ht="32" customHeight="true">
      <c r="A34" s="201">
        <v>28</v>
      </c>
      <c r="B34" s="283" t="s">
        <v>438</v>
      </c>
      <c r="C34" s="295">
        <v>602.18</v>
      </c>
      <c r="D34" s="295" t="s"/>
      <c r="E34" s="295" t="s"/>
      <c r="F34" s="295" t="s"/>
      <c r="G34" s="295">
        <f>=SUM(C34:F34)</f>
        <v>602.18</v>
      </c>
      <c r="H34" s="201" t="s"/>
      <c r="I34" s="296" t="s"/>
      <c r="J34" s="297" t="s"/>
      <c r="K34" s="297" t="s"/>
      <c r="L34" s="298" t="s"/>
      <c r="M34" s="309">
        <v>24</v>
      </c>
      <c r="N34" s="310" t="s">
        <v>439</v>
      </c>
      <c r="O34" s="309" t="s">
        <v>440</v>
      </c>
      <c r="P34" s="310" t="s">
        <v>409</v>
      </c>
      <c r="Q34" s="310" t="s">
        <v>388</v>
      </c>
      <c r="R34" s="309">
        <v>1</v>
      </c>
      <c r="S34" s="311" t="s">
        <v>441</v>
      </c>
      <c r="T34" s="263" t="s"/>
      <c r="U34" s="263" t="s"/>
      <c r="V34" s="263" t="s"/>
      <c r="W34" s="263" t="s"/>
      <c r="X34" s="263" t="s"/>
      <c r="Y34" s="263" t="s"/>
    </row>
    <row r="35" spans="1:25" ht="32" customHeight="true">
      <c r="A35" s="201">
        <v>29</v>
      </c>
      <c r="B35" s="283" t="s">
        <v>442</v>
      </c>
      <c r="C35" s="295">
        <f>=I35*J35/10000</f>
        <v>1600</v>
      </c>
      <c r="D35" s="295" t="s"/>
      <c r="E35" s="295" t="s"/>
      <c r="F35" s="295" t="s"/>
      <c r="G35" s="295">
        <f>=SUM(C35:F35)</f>
        <v>1600</v>
      </c>
      <c r="H35" s="201" t="s">
        <v>2527</v>
      </c>
      <c r="I35" s="296">
        <v>3200</v>
      </c>
      <c r="J35" s="297">
        <v>5000</v>
      </c>
      <c r="K35" s="312" t="s">
        <v>441</v>
      </c>
      <c r="L35" s="298" t="s"/>
      <c r="M35" s="300">
        <v>24</v>
      </c>
      <c r="N35" s="300" t="s">
        <v>439</v>
      </c>
      <c r="O35" s="300" t="s">
        <v>440</v>
      </c>
      <c r="P35" s="300" t="s">
        <v>409</v>
      </c>
      <c r="Q35" s="300" t="s">
        <v>388</v>
      </c>
      <c r="R35" s="300">
        <v>1</v>
      </c>
      <c r="S35" s="300" t="s">
        <v>441</v>
      </c>
      <c r="T35" s="263" t="s"/>
      <c r="U35" s="263" t="s"/>
      <c r="V35" s="263" t="s"/>
      <c r="W35" s="263" t="s"/>
      <c r="X35" s="263" t="s"/>
      <c r="Y35" s="263" t="s"/>
    </row>
    <row r="36" spans="1:25" ht="32" customHeight="true">
      <c r="A36" s="201">
        <v>30</v>
      </c>
      <c r="B36" s="283" t="s">
        <v>443</v>
      </c>
      <c r="C36" s="295">
        <f>=I36*J36/10000</f>
        <v>288</v>
      </c>
      <c r="D36" s="295" t="s"/>
      <c r="E36" s="295" t="s"/>
      <c r="F36" s="295" t="s"/>
      <c r="G36" s="295">
        <f>=SUM(C36:F36)</f>
        <v>288</v>
      </c>
      <c r="H36" s="201" t="s">
        <v>2527</v>
      </c>
      <c r="I36" s="296">
        <v>400</v>
      </c>
      <c r="J36" s="297">
        <v>7200</v>
      </c>
      <c r="K36" s="312" t="s"/>
      <c r="L36" s="298" t="s"/>
      <c r="M36" s="263" t="s"/>
      <c r="N36" s="263" t="s"/>
      <c r="O36" s="263" t="s"/>
      <c r="P36" s="263" t="s"/>
      <c r="Q36" s="263" t="s"/>
      <c r="R36" s="263" t="s"/>
      <c r="S36" s="263" t="s"/>
      <c r="T36" s="263" t="s"/>
      <c r="U36" s="263" t="s"/>
      <c r="V36" s="263" t="s"/>
      <c r="W36" s="263" t="s"/>
      <c r="X36" s="263" t="s"/>
      <c r="Y36" s="263" t="s"/>
    </row>
    <row r="37" spans="1:25" ht="32" customHeight="true">
      <c r="A37" s="201">
        <v>31</v>
      </c>
      <c r="B37" s="283" t="s">
        <v>284</v>
      </c>
      <c r="C37" s="295">
        <f>=I37*J37/10000</f>
        <v>1475.7624</v>
      </c>
      <c r="D37" s="295" t="s"/>
      <c r="E37" s="295" t="s"/>
      <c r="F37" s="295" t="s"/>
      <c r="G37" s="295">
        <f>=SUM(C37:F37)</f>
        <v>1475.7624</v>
      </c>
      <c r="H37" s="201" t="s">
        <v>273</v>
      </c>
      <c r="I37" s="296">
        <v>1960</v>
      </c>
      <c r="J37" s="297">
        <f>=4183*1.8</f>
        <v>7529.4</v>
      </c>
      <c r="K37" s="312" t="s">
        <v>444</v>
      </c>
      <c r="L37" s="298" t="s"/>
      <c r="M37" s="263" t="s"/>
      <c r="N37" s="263" t="s"/>
      <c r="O37" s="263" t="s"/>
      <c r="P37" s="263" t="s"/>
      <c r="Q37" s="263" t="s"/>
      <c r="R37" s="263" t="s"/>
      <c r="S37" s="263" t="s"/>
      <c r="T37" s="263" t="s"/>
      <c r="U37" s="263" t="s"/>
      <c r="V37" s="263" t="s"/>
      <c r="W37" s="263" t="s"/>
      <c r="X37" s="263" t="s"/>
      <c r="Y37" s="263" t="s"/>
    </row>
    <row r="38" spans="1:25" ht="32" customHeight="true">
      <c r="A38" s="201">
        <v>32</v>
      </c>
      <c r="B38" s="283" t="s">
        <v>445</v>
      </c>
      <c r="C38" s="295">
        <f>=I38*J38/10000</f>
        <v>120</v>
      </c>
      <c r="D38" s="295" t="s"/>
      <c r="E38" s="295" t="s"/>
      <c r="F38" s="295" t="s"/>
      <c r="G38" s="295">
        <f>=SUM(C38:F38)</f>
        <v>120</v>
      </c>
      <c r="H38" s="201" t="s">
        <v>2527</v>
      </c>
      <c r="I38" s="296">
        <v>400</v>
      </c>
      <c r="J38" s="297">
        <v>3000</v>
      </c>
      <c r="K38" s="312" t="s">
        <v>441</v>
      </c>
      <c r="L38" s="298" t="s"/>
      <c r="M38" s="263" t="s"/>
      <c r="N38" s="263" t="s"/>
      <c r="O38" s="263" t="s"/>
      <c r="P38" s="263" t="s"/>
      <c r="Q38" s="263" t="s"/>
      <c r="R38" s="263" t="s"/>
      <c r="S38" s="263" t="s"/>
      <c r="T38" s="263" t="s"/>
      <c r="U38" s="263" t="s"/>
      <c r="V38" s="263" t="s"/>
      <c r="W38" s="263" t="s"/>
      <c r="X38" s="263" t="s"/>
      <c r="Y38" s="263" t="s"/>
    </row>
    <row r="39" spans="1:25" ht="32" customHeight="true">
      <c r="A39" s="201">
        <v>33</v>
      </c>
      <c r="B39" s="283" t="s">
        <v>287</v>
      </c>
      <c r="C39" s="295">
        <f>=I39*J39/10000</f>
        <v>45</v>
      </c>
      <c r="D39" s="295" t="s"/>
      <c r="E39" s="295" t="s"/>
      <c r="F39" s="295" t="s"/>
      <c r="G39" s="295">
        <f>=SUM(C39:F39)</f>
        <v>45</v>
      </c>
      <c r="H39" s="201" t="s">
        <v>2527</v>
      </c>
      <c r="I39" s="296">
        <v>150</v>
      </c>
      <c r="J39" s="297">
        <v>3000</v>
      </c>
      <c r="K39" s="312" t="s">
        <v>441</v>
      </c>
      <c r="L39" s="298" t="s"/>
      <c r="M39" s="263" t="s"/>
      <c r="N39" s="263" t="s"/>
      <c r="O39" s="263" t="s"/>
      <c r="P39" s="263" t="s"/>
      <c r="Q39" s="263" t="s"/>
      <c r="R39" s="263" t="s"/>
      <c r="S39" s="263" t="s"/>
      <c r="T39" s="263" t="s"/>
      <c r="U39" s="263" t="s"/>
      <c r="V39" s="263" t="s"/>
      <c r="W39" s="263" t="s"/>
      <c r="X39" s="263" t="s"/>
      <c r="Y39" s="263" t="s"/>
    </row>
    <row r="40" spans="1:25" ht="32" customHeight="true">
      <c r="A40" s="201">
        <v>34</v>
      </c>
      <c r="B40" s="283" t="s">
        <v>446</v>
      </c>
      <c r="C40" s="295">
        <f>=I40*J40/10000</f>
        <v>90</v>
      </c>
      <c r="D40" s="295" t="s"/>
      <c r="E40" s="295" t="s"/>
      <c r="F40" s="295" t="s"/>
      <c r="G40" s="295">
        <f>=SUM(C40:F40)</f>
        <v>90</v>
      </c>
      <c r="H40" s="201" t="s">
        <v>2527</v>
      </c>
      <c r="I40" s="296">
        <v>300</v>
      </c>
      <c r="J40" s="297">
        <v>3000</v>
      </c>
      <c r="K40" s="312" t="s">
        <v>441</v>
      </c>
      <c r="L40" s="298" t="s"/>
      <c r="M40" s="263" t="s"/>
      <c r="N40" s="263" t="s"/>
      <c r="O40" s="263" t="s"/>
      <c r="P40" s="263" t="s"/>
      <c r="Q40" s="263" t="s"/>
      <c r="R40" s="263" t="s"/>
      <c r="S40" s="263" t="s"/>
      <c r="T40" s="263" t="s"/>
      <c r="U40" s="263" t="s"/>
      <c r="V40" s="263" t="s"/>
      <c r="W40" s="263" t="s"/>
      <c r="X40" s="263" t="s"/>
      <c r="Y40" s="263" t="s"/>
    </row>
    <row r="41" spans="1:25" ht="32" customHeight="true">
      <c r="A41" s="201">
        <v>35</v>
      </c>
      <c r="B41" s="283" t="s">
        <v>447</v>
      </c>
      <c r="C41" s="295">
        <f>=I41*J41/10000</f>
        <v>71</v>
      </c>
      <c r="D41" s="295" t="s"/>
      <c r="E41" s="295" t="s"/>
      <c r="F41" s="295" t="s"/>
      <c r="G41" s="295">
        <f>=SUM(C41:F41)</f>
        <v>71</v>
      </c>
      <c r="H41" s="201" t="s">
        <v>2527</v>
      </c>
      <c r="I41" s="296">
        <f>=300-16</f>
        <v>284</v>
      </c>
      <c r="J41" s="297">
        <v>2500</v>
      </c>
      <c r="K41" s="312" t="s">
        <v>441</v>
      </c>
      <c r="L41" s="298" t="s"/>
      <c r="M41" s="263" t="s"/>
      <c r="N41" s="263" t="s"/>
      <c r="O41" s="263" t="s"/>
      <c r="P41" s="263" t="s"/>
      <c r="Q41" s="263" t="s"/>
      <c r="R41" s="263" t="s"/>
      <c r="S41" s="263" t="s"/>
      <c r="T41" s="263" t="s"/>
      <c r="U41" s="263" t="s"/>
      <c r="V41" s="263" t="s"/>
      <c r="W41" s="263" t="s"/>
      <c r="X41" s="263" t="s"/>
      <c r="Y41" s="263" t="s"/>
    </row>
    <row r="42" spans="1:25" ht="32" customHeight="true">
      <c r="A42" s="201">
        <v>36</v>
      </c>
      <c r="B42" s="283" t="s">
        <v>448</v>
      </c>
      <c r="C42" s="295">
        <f>=I42*J42/10000</f>
        <v>25</v>
      </c>
      <c r="D42" s="295" t="s"/>
      <c r="E42" s="295" t="s"/>
      <c r="F42" s="295" t="s"/>
      <c r="G42" s="295">
        <f>=SUM(C42:F42)</f>
        <v>25</v>
      </c>
      <c r="H42" s="201" t="s">
        <v>388</v>
      </c>
      <c r="I42" s="296">
        <v>1</v>
      </c>
      <c r="J42" s="297">
        <v>250000</v>
      </c>
      <c r="K42" s="312" t="s">
        <v>441</v>
      </c>
      <c r="L42" s="298" t="s"/>
      <c r="M42" s="263" t="s"/>
      <c r="N42" s="263" t="s"/>
      <c r="O42" s="263" t="s"/>
      <c r="P42" s="263" t="s"/>
      <c r="Q42" s="263" t="s"/>
      <c r="R42" s="263" t="s"/>
      <c r="S42" s="263" t="s"/>
      <c r="T42" s="263" t="s"/>
      <c r="U42" s="263" t="s"/>
      <c r="V42" s="263" t="s"/>
      <c r="W42" s="263" t="s"/>
      <c r="X42" s="263" t="s"/>
      <c r="Y42" s="263" t="s"/>
    </row>
    <row r="43" spans="1:25" ht="32" customHeight="true">
      <c r="A43" s="201" t="s"/>
      <c r="B43" s="283" t="s"/>
      <c r="C43" s="295" t="s"/>
      <c r="D43" s="295" t="s"/>
      <c r="E43" s="295" t="s"/>
      <c r="F43" s="295" t="s"/>
      <c r="G43" s="295" t="s"/>
      <c r="H43" s="201" t="s"/>
      <c r="I43" s="296" t="s"/>
      <c r="J43" s="297" t="s"/>
      <c r="K43" s="312" t="s"/>
      <c r="L43" s="298" t="s"/>
      <c r="M43" s="263" t="s"/>
      <c r="N43" s="263" t="s"/>
      <c r="O43" s="263" t="s"/>
      <c r="P43" s="263" t="s"/>
      <c r="Q43" s="263" t="s"/>
      <c r="R43" s="263" t="s"/>
      <c r="S43" s="263" t="s"/>
      <c r="T43" s="263" t="s"/>
      <c r="U43" s="263" t="s"/>
      <c r="V43" s="263" t="s"/>
      <c r="W43" s="263" t="s"/>
      <c r="X43" s="263" t="s"/>
      <c r="Y43" s="263" t="s"/>
    </row>
    <row r="44" spans="1:25" ht="32" customHeight="true">
      <c r="A44" s="280" t="s">
        <v>449</v>
      </c>
      <c r="B44" s="278" t="s">
        <v>450</v>
      </c>
      <c r="C44" s="279">
        <f>=SUM(C45:C65)</f>
        <v>0</v>
      </c>
      <c r="D44" s="279" t="e">
        <f>=SUM(D45:D65)</f>
        <v>#VALUE!</v>
      </c>
      <c r="E44" s="279" t="e">
        <f>=SUM(E45:E65)</f>
        <v>#VALUE!</v>
      </c>
      <c r="F44" s="279" t="s"/>
      <c r="G44" s="279" t="e">
        <f>=SUM(C44:F44)</f>
        <v>#VALUE!</v>
      </c>
      <c r="H44" s="280" t="s">
        <v>2525</v>
      </c>
      <c r="I44" s="281">
        <v>100000</v>
      </c>
      <c r="J44" s="282" t="e">
        <f>=G44/I44*10000</f>
        <v>#VALUE!</v>
      </c>
      <c r="K44" s="282" t="s"/>
      <c r="L44" s="313" t="s"/>
      <c r="M44" s="263" t="s"/>
      <c r="N44" s="263" t="s"/>
      <c r="O44" s="263" t="s"/>
      <c r="P44" s="263" t="s"/>
      <c r="Q44" s="263" t="s"/>
      <c r="R44" s="263" t="s"/>
      <c r="S44" s="263" t="s"/>
      <c r="T44" s="263" t="s"/>
      <c r="U44" s="263" t="s"/>
      <c r="V44" s="263" t="s"/>
      <c r="W44" s="263" t="s"/>
      <c r="X44" s="263" t="s"/>
      <c r="Y44" s="263" t="s"/>
    </row>
    <row r="45" spans="1:25" ht="32" customHeight="true">
      <c r="A45" s="201">
        <v>1</v>
      </c>
      <c r="B45" s="283" t="s">
        <v>451</v>
      </c>
      <c r="C45" s="279" t="s"/>
      <c r="D45" s="295" t="e">
        <f>=#REF!H3</f>
        <v>#VALUE!</v>
      </c>
      <c r="E45" s="295" t="e">
        <f>=D45*0.15+50</f>
        <v>#VALUE!</v>
      </c>
      <c r="F45" s="295" t="s"/>
      <c r="G45" s="295" t="e">
        <f>=SUM(C45:F45)</f>
        <v>#VALUE!</v>
      </c>
      <c r="H45" s="201" t="s">
        <v>2533</v>
      </c>
      <c r="I45" s="314">
        <v>100000</v>
      </c>
      <c r="J45" s="297" t="e">
        <f>=G45/I45*10000</f>
        <v>#VALUE!</v>
      </c>
      <c r="K45" s="297" t="s"/>
      <c r="L45" s="298" t="s"/>
      <c r="M45" s="263" t="s"/>
      <c r="N45" s="263" t="s"/>
      <c r="O45" s="263" t="s"/>
      <c r="P45" s="263" t="s"/>
      <c r="Q45" s="263" t="s"/>
      <c r="R45" s="263" t="s"/>
      <c r="S45" s="263" t="s"/>
      <c r="T45" s="263" t="s"/>
      <c r="U45" s="263" t="s"/>
      <c r="V45" s="263" t="s"/>
      <c r="W45" s="263" t="s"/>
      <c r="X45" s="263" t="s"/>
      <c r="Y45" s="263" t="s"/>
    </row>
    <row r="46" spans="1:25" ht="32" customHeight="true">
      <c r="A46" s="201">
        <v>2</v>
      </c>
      <c r="B46" s="283" t="s">
        <v>452</v>
      </c>
      <c r="C46" s="279" t="s"/>
      <c r="D46" s="295">
        <f>=设备!H9</f>
        <v>2409.75</v>
      </c>
      <c r="E46" s="295">
        <f>=D46*0.15+55</f>
        <v>416.4625</v>
      </c>
      <c r="F46" s="295" t="s"/>
      <c r="G46" s="295">
        <f>=SUM(C46:F46)</f>
        <v>2826.2125</v>
      </c>
      <c r="H46" s="201" t="s">
        <v>2533</v>
      </c>
      <c r="I46" s="314">
        <v>100000</v>
      </c>
      <c r="J46" s="297">
        <f>=G46/I46*10000</f>
        <v>282.62125</v>
      </c>
      <c r="K46" s="297" t="s"/>
      <c r="L46" s="298" t="s"/>
      <c r="M46" s="263" t="s"/>
      <c r="N46" s="263" t="s"/>
      <c r="O46" s="263" t="s"/>
      <c r="P46" s="263" t="s"/>
      <c r="Q46" s="263" t="s"/>
      <c r="R46" s="263" t="s"/>
      <c r="S46" s="263" t="s"/>
      <c r="T46" s="263" t="s"/>
      <c r="U46" s="263" t="s"/>
      <c r="V46" s="263" t="s"/>
      <c r="W46" s="263" t="s"/>
      <c r="X46" s="263" t="s"/>
      <c r="Y46" s="263" t="s"/>
    </row>
    <row r="47" spans="1:25" ht="32" customHeight="true">
      <c r="A47" s="201">
        <v>3</v>
      </c>
      <c r="B47" s="283" t="s">
        <v>398</v>
      </c>
      <c r="C47" s="279" t="s"/>
      <c r="D47" s="295" t="e">
        <f>=#REF!H70</f>
        <v>#VALUE!</v>
      </c>
      <c r="E47" s="295" t="e">
        <f>=D47*0.15+80</f>
        <v>#VALUE!</v>
      </c>
      <c r="F47" s="295" t="s"/>
      <c r="G47" s="295" t="e">
        <f>=SUM(C47:F47)</f>
        <v>#VALUE!</v>
      </c>
      <c r="H47" s="201" t="s">
        <v>2533</v>
      </c>
      <c r="I47" s="314">
        <v>100000</v>
      </c>
      <c r="J47" s="297" t="e">
        <f>=G47/I47*10000</f>
        <v>#VALUE!</v>
      </c>
      <c r="K47" s="297" t="s"/>
      <c r="L47" s="298" t="s"/>
      <c r="M47" s="263" t="s"/>
      <c r="N47" s="263" t="s"/>
      <c r="O47" s="263" t="s"/>
      <c r="P47" s="263" t="s"/>
      <c r="Q47" s="263" t="s"/>
      <c r="R47" s="263" t="s"/>
      <c r="S47" s="263" t="s"/>
      <c r="T47" s="263" t="s"/>
      <c r="U47" s="263" t="s"/>
      <c r="V47" s="263" t="s"/>
      <c r="W47" s="263" t="s"/>
      <c r="X47" s="263" t="s"/>
      <c r="Y47" s="263" t="s"/>
    </row>
    <row r="48" spans="1:25" ht="32" customHeight="true">
      <c r="A48" s="201">
        <v>4</v>
      </c>
      <c r="B48" s="283" t="s">
        <v>400</v>
      </c>
      <c r="C48" s="279" t="s"/>
      <c r="D48" s="295" t="e">
        <f>=#REF!H100</f>
        <v>#VALUE!</v>
      </c>
      <c r="E48" s="295" t="e">
        <f>=D48*0.15+20</f>
        <v>#VALUE!</v>
      </c>
      <c r="F48" s="295" t="s"/>
      <c r="G48" s="295" t="e">
        <f>=SUM(C48:F48)</f>
        <v>#VALUE!</v>
      </c>
      <c r="H48" s="201" t="s">
        <v>2533</v>
      </c>
      <c r="I48" s="314">
        <v>100000</v>
      </c>
      <c r="J48" s="297" t="e">
        <f>=G48/I48*10000</f>
        <v>#VALUE!</v>
      </c>
      <c r="K48" s="297" t="s"/>
      <c r="L48" s="298" t="s"/>
      <c r="M48" s="263" t="s"/>
      <c r="N48" s="263" t="s"/>
      <c r="O48" s="263" t="s"/>
      <c r="P48" s="263" t="s"/>
      <c r="Q48" s="263" t="s"/>
      <c r="R48" s="263" t="s"/>
      <c r="S48" s="263" t="s"/>
      <c r="T48" s="263" t="s"/>
      <c r="U48" s="263" t="s"/>
      <c r="V48" s="263" t="s"/>
      <c r="W48" s="263" t="s"/>
      <c r="X48" s="263" t="s"/>
      <c r="Y48" s="263" t="s"/>
    </row>
    <row r="49" spans="1:25" ht="32" customHeight="true">
      <c r="A49" s="201">
        <v>5</v>
      </c>
      <c r="B49" s="283" t="s">
        <v>402</v>
      </c>
      <c r="C49" s="279" t="s"/>
      <c r="D49" s="295">
        <v>2663</v>
      </c>
      <c r="E49" s="295">
        <f>=D49*0.08+30</f>
        <v>243.04</v>
      </c>
      <c r="F49" s="295" t="s"/>
      <c r="G49" s="295">
        <f>=SUM(C49:F49)</f>
        <v>2906.04</v>
      </c>
      <c r="H49" s="201" t="s">
        <v>2533</v>
      </c>
      <c r="I49" s="314">
        <v>100000</v>
      </c>
      <c r="J49" s="297">
        <f>=G49/I49*10000</f>
        <v>290.604</v>
      </c>
      <c r="K49" s="297" t="s"/>
      <c r="L49" s="298" t="s"/>
      <c r="M49" s="263" t="s"/>
      <c r="N49" s="263" t="s"/>
      <c r="O49" s="263" t="s"/>
      <c r="P49" s="263" t="s"/>
      <c r="Q49" s="263" t="s"/>
      <c r="R49" s="263" t="s"/>
      <c r="S49" s="263" t="s"/>
      <c r="T49" s="263" t="s"/>
      <c r="U49" s="263" t="s"/>
      <c r="V49" s="263" t="s"/>
      <c r="W49" s="263" t="s"/>
      <c r="X49" s="263" t="s"/>
      <c r="Y49" s="263" t="s"/>
    </row>
    <row r="50" spans="1:25" ht="32" customHeight="true">
      <c r="A50" s="201">
        <v>6</v>
      </c>
      <c r="B50" s="283" t="s">
        <v>434</v>
      </c>
      <c r="C50" s="279" t="s"/>
      <c r="D50" s="295" t="e">
        <f>=#REF!H138</f>
        <v>#VALUE!</v>
      </c>
      <c r="E50" s="295" t="e">
        <f>=D50*0.08+5</f>
        <v>#VALUE!</v>
      </c>
      <c r="F50" s="295" t="s"/>
      <c r="G50" s="295" t="e">
        <f>=SUM(C50:F50)</f>
        <v>#VALUE!</v>
      </c>
      <c r="H50" s="201" t="s">
        <v>2533</v>
      </c>
      <c r="I50" s="314">
        <v>100000</v>
      </c>
      <c r="J50" s="297" t="e">
        <f>=G50/I50*10000</f>
        <v>#VALUE!</v>
      </c>
      <c r="K50" s="297" t="s"/>
      <c r="L50" s="298" t="s"/>
      <c r="M50" s="263" t="s"/>
      <c r="N50" s="263" t="s"/>
      <c r="O50" s="263" t="s"/>
      <c r="P50" s="263" t="s"/>
      <c r="Q50" s="263" t="s"/>
      <c r="R50" s="263" t="s"/>
      <c r="S50" s="263" t="s"/>
      <c r="T50" s="263" t="s"/>
      <c r="U50" s="263" t="s"/>
      <c r="V50" s="263" t="s"/>
      <c r="W50" s="263" t="s"/>
      <c r="X50" s="263" t="s"/>
      <c r="Y50" s="263" t="s"/>
    </row>
    <row r="51" spans="1:25" ht="32" customHeight="true">
      <c r="A51" s="201">
        <v>7</v>
      </c>
      <c r="B51" s="283" t="s">
        <v>453</v>
      </c>
      <c r="C51" s="279" t="s"/>
      <c r="D51" s="295" t="e">
        <f>=#REF!H142</f>
        <v>#VALUE!</v>
      </c>
      <c r="E51" s="295" t="e">
        <f>=D51*0.1+15</f>
        <v>#VALUE!</v>
      </c>
      <c r="F51" s="295" t="s"/>
      <c r="G51" s="295" t="e">
        <f>=SUM(C51:F51)</f>
        <v>#VALUE!</v>
      </c>
      <c r="H51" s="201" t="s">
        <v>2533</v>
      </c>
      <c r="I51" s="314">
        <v>100000</v>
      </c>
      <c r="J51" s="297" t="e">
        <f>=G51/I51*10000</f>
        <v>#VALUE!</v>
      </c>
      <c r="K51" s="297" t="s"/>
      <c r="L51" s="298" t="s"/>
      <c r="M51" s="263" t="s"/>
      <c r="N51" s="263" t="s"/>
      <c r="O51" s="263" t="s"/>
      <c r="P51" s="263" t="s"/>
      <c r="Q51" s="263" t="s"/>
      <c r="R51" s="263" t="s"/>
      <c r="S51" s="263" t="s"/>
      <c r="T51" s="263" t="s"/>
      <c r="U51" s="263" t="s"/>
      <c r="V51" s="263" t="s"/>
      <c r="W51" s="263" t="s"/>
      <c r="X51" s="263" t="s"/>
      <c r="Y51" s="263" t="s"/>
    </row>
    <row r="52" spans="1:25" ht="32" customHeight="true">
      <c r="A52" s="201">
        <v>8</v>
      </c>
      <c r="B52" s="283" t="s">
        <v>454</v>
      </c>
      <c r="C52" s="279" t="s"/>
      <c r="D52" s="295" t="e">
        <f>=#REF!H179</f>
        <v>#VALUE!</v>
      </c>
      <c r="E52" s="295" t="e">
        <f>=D52*0.15+25</f>
        <v>#VALUE!</v>
      </c>
      <c r="F52" s="295" t="s"/>
      <c r="G52" s="295" t="e">
        <f>=SUM(C52:F52)</f>
        <v>#VALUE!</v>
      </c>
      <c r="H52" s="201" t="s">
        <v>2533</v>
      </c>
      <c r="I52" s="314">
        <v>100000</v>
      </c>
      <c r="J52" s="297" t="e">
        <f>=G52/I52*10000</f>
        <v>#VALUE!</v>
      </c>
      <c r="K52" s="297" t="s"/>
      <c r="L52" s="298" t="s"/>
      <c r="M52" s="263" t="s"/>
      <c r="N52" s="263" t="s"/>
      <c r="O52" s="263" t="s"/>
      <c r="P52" s="263" t="s"/>
      <c r="Q52" s="263" t="s"/>
      <c r="R52" s="263" t="s"/>
      <c r="S52" s="263" t="s"/>
      <c r="T52" s="263" t="s"/>
      <c r="U52" s="263" t="s"/>
      <c r="V52" s="263" t="s"/>
      <c r="W52" s="263" t="s"/>
      <c r="X52" s="263" t="s"/>
      <c r="Y52" s="263" t="s"/>
    </row>
    <row r="53" spans="1:25" ht="32" customHeight="true">
      <c r="A53" s="201">
        <v>9</v>
      </c>
      <c r="B53" s="283" t="s">
        <v>420</v>
      </c>
      <c r="C53" s="279" t="s"/>
      <c r="D53" s="295" t="e">
        <f>=#REF!H192</f>
        <v>#VALUE!</v>
      </c>
      <c r="E53" s="295" t="e">
        <f>=D53*0.1+5</f>
        <v>#VALUE!</v>
      </c>
      <c r="F53" s="295" t="s"/>
      <c r="G53" s="295" t="e">
        <f>=SUM(C53:F53)</f>
        <v>#VALUE!</v>
      </c>
      <c r="H53" s="201" t="s">
        <v>2533</v>
      </c>
      <c r="I53" s="314">
        <v>100000</v>
      </c>
      <c r="J53" s="297" t="e">
        <f>=G53/I53*10000</f>
        <v>#VALUE!</v>
      </c>
      <c r="K53" s="297" t="s"/>
      <c r="L53" s="298" t="s"/>
      <c r="M53" s="263" t="s"/>
      <c r="N53" s="263" t="s"/>
      <c r="O53" s="263" t="s"/>
      <c r="P53" s="263" t="s"/>
      <c r="Q53" s="263" t="s"/>
      <c r="R53" s="263" t="s"/>
      <c r="S53" s="263" t="s"/>
      <c r="T53" s="263" t="s"/>
      <c r="U53" s="263" t="s"/>
      <c r="V53" s="263" t="s"/>
      <c r="W53" s="263" t="s"/>
      <c r="X53" s="263" t="s"/>
      <c r="Y53" s="263" t="s"/>
    </row>
    <row r="54" spans="1:25" ht="32" customHeight="true">
      <c r="A54" s="201">
        <v>10</v>
      </c>
      <c r="B54" s="283" t="s">
        <v>455</v>
      </c>
      <c r="C54" s="279" t="s"/>
      <c r="D54" s="295" t="e">
        <f>=#REF!H203</f>
        <v>#VALUE!</v>
      </c>
      <c r="E54" s="295" t="e">
        <f>=D54*0.15+3</f>
        <v>#VALUE!</v>
      </c>
      <c r="F54" s="295" t="s"/>
      <c r="G54" s="295" t="e">
        <f>=SUM(C54:F54)</f>
        <v>#VALUE!</v>
      </c>
      <c r="H54" s="201" t="s">
        <v>2533</v>
      </c>
      <c r="I54" s="314">
        <v>100000</v>
      </c>
      <c r="J54" s="297" t="e">
        <f>=G54/I54*10000</f>
        <v>#VALUE!</v>
      </c>
      <c r="K54" s="297" t="s"/>
      <c r="L54" s="298" t="s"/>
      <c r="M54" s="263" t="s"/>
      <c r="N54" s="263" t="s"/>
      <c r="O54" s="263" t="s"/>
      <c r="P54" s="263" t="s"/>
      <c r="Q54" s="263" t="s"/>
      <c r="R54" s="263" t="s"/>
      <c r="S54" s="263" t="s"/>
      <c r="T54" s="263" t="s"/>
      <c r="U54" s="263" t="s"/>
      <c r="V54" s="263" t="s"/>
      <c r="W54" s="263" t="s"/>
      <c r="X54" s="263" t="s"/>
      <c r="Y54" s="263" t="s"/>
    </row>
    <row r="55" spans="1:25" ht="32" customHeight="true">
      <c r="A55" s="201">
        <v>11</v>
      </c>
      <c r="B55" s="283" t="s">
        <v>456</v>
      </c>
      <c r="C55" s="279" t="s"/>
      <c r="D55" s="295">
        <v>2779.03</v>
      </c>
      <c r="E55" s="295">
        <v>2011.25</v>
      </c>
      <c r="F55" s="295" t="s"/>
      <c r="G55" s="295">
        <f>=SUM(C55:F55)</f>
        <v>4790.28</v>
      </c>
      <c r="H55" s="201" t="s">
        <v>2533</v>
      </c>
      <c r="I55" s="314">
        <v>100000</v>
      </c>
      <c r="J55" s="297">
        <f>=G55/I55*10000</f>
        <v>479.028</v>
      </c>
      <c r="K55" s="297" t="s"/>
      <c r="L55" s="298" t="s"/>
      <c r="M55" s="263" t="s"/>
      <c r="N55" s="263" t="s"/>
      <c r="O55" s="263" t="s"/>
      <c r="P55" s="263" t="s"/>
      <c r="Q55" s="263" t="s"/>
      <c r="R55" s="263" t="s"/>
      <c r="S55" s="263" t="s"/>
      <c r="T55" s="263" t="s"/>
      <c r="U55" s="263" t="s"/>
      <c r="V55" s="263" t="s"/>
      <c r="W55" s="263" t="s"/>
      <c r="X55" s="263" t="s"/>
      <c r="Y55" s="263" t="s"/>
    </row>
    <row r="56" spans="1:25" ht="32" customHeight="true">
      <c r="A56" s="201">
        <v>12</v>
      </c>
      <c r="B56" s="283" t="s">
        <v>457</v>
      </c>
      <c r="C56" s="279" t="s"/>
      <c r="D56" s="295" t="e">
        <f>=#REF!H225</f>
        <v>#VALUE!</v>
      </c>
      <c r="E56" s="295" t="e">
        <f>=D56*0.15+120</f>
        <v>#VALUE!</v>
      </c>
      <c r="F56" s="295" t="s"/>
      <c r="G56" s="295" t="e">
        <f>=SUM(C56:F56)</f>
        <v>#VALUE!</v>
      </c>
      <c r="H56" s="201" t="s">
        <v>2533</v>
      </c>
      <c r="I56" s="314">
        <v>100000</v>
      </c>
      <c r="J56" s="297" t="e">
        <f>=G56/I56*10000</f>
        <v>#VALUE!</v>
      </c>
      <c r="K56" s="297" t="s"/>
      <c r="L56" s="298" t="s"/>
      <c r="M56" s="263" t="s"/>
      <c r="N56" s="263" t="s"/>
      <c r="O56" s="263" t="s"/>
      <c r="P56" s="263" t="s"/>
      <c r="Q56" s="263" t="s"/>
      <c r="R56" s="263" t="s"/>
      <c r="S56" s="263" t="s"/>
      <c r="T56" s="263" t="s"/>
      <c r="U56" s="263" t="s"/>
      <c r="V56" s="263" t="s"/>
      <c r="W56" s="263" t="s"/>
      <c r="X56" s="263" t="s"/>
      <c r="Y56" s="263" t="s"/>
    </row>
    <row r="57" spans="1:25" ht="32" customHeight="true">
      <c r="A57" s="201">
        <v>13</v>
      </c>
      <c r="B57" s="283" t="s">
        <v>458</v>
      </c>
      <c r="C57" s="279" t="s"/>
      <c r="D57" s="295">
        <v>11.25</v>
      </c>
      <c r="E57" s="295" t="s"/>
      <c r="F57" s="295" t="s"/>
      <c r="G57" s="295">
        <f>=SUM(C57:F57)</f>
        <v>11.25</v>
      </c>
      <c r="H57" s="201" t="s">
        <v>2533</v>
      </c>
      <c r="I57" s="314">
        <v>100000</v>
      </c>
      <c r="J57" s="297">
        <f>=G57/I57*10000</f>
        <v>1.125</v>
      </c>
      <c r="K57" s="297" t="s"/>
      <c r="L57" s="298" t="s"/>
      <c r="M57" s="263" t="s"/>
      <c r="N57" s="263" t="s"/>
      <c r="O57" s="263" t="s"/>
      <c r="P57" s="263" t="s"/>
      <c r="Q57" s="263" t="s"/>
      <c r="R57" s="263" t="s"/>
      <c r="S57" s="263" t="s"/>
      <c r="T57" s="263" t="s"/>
      <c r="U57" s="263" t="s"/>
      <c r="V57" s="263" t="s"/>
      <c r="W57" s="263" t="s"/>
      <c r="X57" s="263" t="s"/>
      <c r="Y57" s="263" t="s"/>
    </row>
    <row r="58" spans="1:25" ht="32" customHeight="true">
      <c r="A58" s="201">
        <v>14</v>
      </c>
      <c r="B58" s="283" t="s">
        <v>459</v>
      </c>
      <c r="C58" s="279" t="s"/>
      <c r="D58" s="295">
        <v>69.12</v>
      </c>
      <c r="E58" s="295" t="s"/>
      <c r="F58" s="295" t="s"/>
      <c r="G58" s="295">
        <f>=SUM(C58:F58)</f>
        <v>69.12</v>
      </c>
      <c r="H58" s="201" t="s">
        <v>2533</v>
      </c>
      <c r="I58" s="314">
        <v>100000</v>
      </c>
      <c r="J58" s="297">
        <f>=G58/I58*10000</f>
        <v>6.912</v>
      </c>
      <c r="K58" s="297" t="s"/>
      <c r="L58" s="298" t="s"/>
      <c r="M58" s="263" t="s"/>
      <c r="N58" s="263" t="s"/>
      <c r="O58" s="263" t="s"/>
      <c r="P58" s="263" t="s"/>
      <c r="Q58" s="263" t="s"/>
      <c r="R58" s="263" t="s"/>
      <c r="S58" s="263" t="s"/>
      <c r="T58" s="263" t="s"/>
      <c r="U58" s="263" t="s"/>
      <c r="V58" s="263" t="s"/>
      <c r="W58" s="263" t="s"/>
      <c r="X58" s="263" t="s"/>
      <c r="Y58" s="263" t="s"/>
    </row>
    <row r="59" spans="1:25" ht="32" customHeight="true">
      <c r="A59" s="201">
        <v>15</v>
      </c>
      <c r="B59" s="283" t="s">
        <v>460</v>
      </c>
      <c r="C59" s="279" t="s"/>
      <c r="D59" s="295">
        <v>180</v>
      </c>
      <c r="E59" s="295" t="s"/>
      <c r="F59" s="295" t="s"/>
      <c r="G59" s="295">
        <f>=SUM(C59:F59)</f>
        <v>180</v>
      </c>
      <c r="H59" s="201" t="s">
        <v>2533</v>
      </c>
      <c r="I59" s="314">
        <v>100000</v>
      </c>
      <c r="J59" s="297">
        <f>=G59/I59*10000</f>
        <v>18</v>
      </c>
      <c r="K59" s="297" t="s"/>
      <c r="L59" s="298" t="s"/>
      <c r="M59" s="263" t="s"/>
      <c r="N59" s="263" t="s"/>
      <c r="O59" s="263" t="s"/>
      <c r="P59" s="263" t="s"/>
      <c r="Q59" s="263" t="s"/>
      <c r="R59" s="263" t="s"/>
      <c r="S59" s="263" t="s"/>
      <c r="T59" s="263" t="s"/>
      <c r="U59" s="263" t="s"/>
      <c r="V59" s="263" t="s"/>
      <c r="W59" s="263" t="s"/>
      <c r="X59" s="263" t="s"/>
      <c r="Y59" s="263" t="s"/>
    </row>
    <row r="60" spans="1:25" ht="32" customHeight="true">
      <c r="A60" s="201">
        <v>16</v>
      </c>
      <c r="B60" s="283" t="s">
        <v>461</v>
      </c>
      <c r="C60" s="279" t="s"/>
      <c r="D60" s="295" t="s"/>
      <c r="E60" s="295">
        <v>620.77</v>
      </c>
      <c r="F60" s="295" t="s"/>
      <c r="G60" s="295">
        <f>=SUM(C60:F60)</f>
        <v>620.77</v>
      </c>
      <c r="H60" s="201" t="s">
        <v>2533</v>
      </c>
      <c r="I60" s="314">
        <v>100000</v>
      </c>
      <c r="J60" s="297">
        <f>=G60/I60*10000</f>
        <v>62.077</v>
      </c>
      <c r="K60" s="297" t="s"/>
      <c r="L60" s="298" t="s"/>
      <c r="M60" s="263" t="s"/>
      <c r="N60" s="263" t="s"/>
      <c r="O60" s="263" t="s"/>
      <c r="P60" s="263" t="s"/>
      <c r="Q60" s="263" t="s"/>
      <c r="R60" s="263" t="s"/>
      <c r="S60" s="263" t="s"/>
      <c r="T60" s="263" t="s"/>
      <c r="U60" s="263" t="s"/>
      <c r="V60" s="263" t="s"/>
      <c r="W60" s="263" t="s"/>
      <c r="X60" s="263" t="s"/>
      <c r="Y60" s="263" t="s"/>
    </row>
    <row r="61" spans="1:25" ht="32" customHeight="true">
      <c r="A61" s="201">
        <v>17</v>
      </c>
      <c r="B61" s="283" t="s">
        <v>462</v>
      </c>
      <c r="C61" s="279" t="s"/>
      <c r="D61" s="295">
        <v>1338.79</v>
      </c>
      <c r="E61" s="295">
        <f>=D61*0.15+1200</f>
        <v>1400.8185</v>
      </c>
      <c r="F61" s="295" t="s"/>
      <c r="G61" s="295">
        <f>=SUM(C61:F61)</f>
        <v>2739.6085</v>
      </c>
      <c r="H61" s="201" t="s">
        <v>2533</v>
      </c>
      <c r="I61" s="314">
        <v>100000</v>
      </c>
      <c r="J61" s="297">
        <f>=G61/I61*10000</f>
        <v>273.96085</v>
      </c>
      <c r="K61" s="297" t="s"/>
      <c r="L61" s="298" t="s"/>
      <c r="M61" s="263" t="s"/>
      <c r="N61" s="263" t="s"/>
      <c r="O61" s="263" t="s"/>
      <c r="P61" s="263" t="s"/>
      <c r="Q61" s="263" t="s"/>
      <c r="R61" s="263" t="s"/>
      <c r="S61" s="263" t="s"/>
      <c r="T61" s="263" t="s"/>
      <c r="U61" s="263" t="s"/>
      <c r="V61" s="263" t="s"/>
      <c r="W61" s="263" t="s"/>
      <c r="X61" s="263" t="s"/>
      <c r="Y61" s="263" t="s"/>
    </row>
    <row r="62" spans="1:25" ht="32" customHeight="true">
      <c r="A62" s="201">
        <v>18</v>
      </c>
      <c r="B62" s="283" t="s">
        <v>463</v>
      </c>
      <c r="C62" s="279" t="s"/>
      <c r="D62" s="295" t="s"/>
      <c r="E62" s="295">
        <f>=I62*J62/10000</f>
        <v>540</v>
      </c>
      <c r="F62" s="295" t="s"/>
      <c r="G62" s="295">
        <f>=SUM(C62:F62)</f>
        <v>540</v>
      </c>
      <c r="H62" s="201" t="s">
        <v>273</v>
      </c>
      <c r="I62" s="314">
        <v>3000</v>
      </c>
      <c r="J62" s="297">
        <v>1800</v>
      </c>
      <c r="K62" s="297" t="s"/>
      <c r="L62" s="298" t="s"/>
      <c r="M62" s="263" t="s"/>
      <c r="N62" s="263" t="s"/>
      <c r="O62" s="263" t="s"/>
      <c r="P62" s="263" t="s"/>
      <c r="Q62" s="263" t="s"/>
      <c r="R62" s="263" t="s"/>
      <c r="S62" s="263" t="s"/>
      <c r="T62" s="263" t="s"/>
      <c r="U62" s="263" t="s"/>
      <c r="V62" s="263" t="s"/>
      <c r="W62" s="263" t="s"/>
      <c r="X62" s="263" t="s"/>
      <c r="Y62" s="263" t="s"/>
    </row>
    <row r="63" spans="1:25" ht="32" customHeight="true">
      <c r="A63" s="201">
        <v>19</v>
      </c>
      <c r="B63" s="283" t="s">
        <v>464</v>
      </c>
      <c r="C63" s="279" t="s"/>
      <c r="D63" s="295">
        <v>2310.77</v>
      </c>
      <c r="E63" s="295">
        <f>=D63*0.15+600</f>
        <v>946.6155</v>
      </c>
      <c r="F63" s="295" t="s"/>
      <c r="G63" s="295">
        <f>=SUM(C63:F63)</f>
        <v>3257.3855</v>
      </c>
      <c r="H63" s="201" t="s">
        <v>2533</v>
      </c>
      <c r="I63" s="314">
        <v>100000</v>
      </c>
      <c r="J63" s="297">
        <f>=G63/I63*10000</f>
        <v>325.73855</v>
      </c>
      <c r="K63" s="297" t="s"/>
      <c r="L63" s="298" t="s"/>
      <c r="M63" s="263" t="s"/>
      <c r="N63" s="263" t="s"/>
      <c r="O63" s="263" t="s"/>
      <c r="P63" s="263" t="s"/>
      <c r="Q63" s="263" t="s"/>
      <c r="R63" s="263" t="s"/>
      <c r="S63" s="263" t="s"/>
      <c r="T63" s="263" t="s"/>
      <c r="U63" s="263" t="s"/>
      <c r="V63" s="263" t="s"/>
      <c r="W63" s="263" t="s"/>
      <c r="X63" s="263" t="s"/>
      <c r="Y63" s="263" t="s"/>
    </row>
    <row r="64" spans="1:25" ht="32" customHeight="true">
      <c r="A64" s="201">
        <v>20</v>
      </c>
      <c r="B64" s="283" t="s">
        <v>465</v>
      </c>
      <c r="C64" s="279" t="s"/>
      <c r="D64" s="295">
        <v>216.75</v>
      </c>
      <c r="E64" s="295">
        <v>201.12</v>
      </c>
      <c r="F64" s="295" t="s"/>
      <c r="G64" s="295">
        <f>=SUM(C64:F64)</f>
        <v>417.87</v>
      </c>
      <c r="H64" s="201" t="s">
        <v>2533</v>
      </c>
      <c r="I64" s="314">
        <v>100000</v>
      </c>
      <c r="J64" s="297">
        <f>=G64/I64*10000</f>
        <v>41.787</v>
      </c>
      <c r="K64" s="297" t="s"/>
      <c r="L64" s="298" t="s"/>
      <c r="M64" s="263" t="s"/>
      <c r="N64" s="263" t="s"/>
      <c r="O64" s="263" t="s"/>
      <c r="P64" s="263" t="s"/>
      <c r="Q64" s="263" t="s"/>
      <c r="R64" s="263" t="s"/>
      <c r="S64" s="263" t="s"/>
      <c r="T64" s="263" t="s"/>
      <c r="U64" s="263" t="s"/>
      <c r="V64" s="263" t="s"/>
      <c r="W64" s="263" t="s"/>
      <c r="X64" s="263" t="s"/>
      <c r="Y64" s="263" t="s"/>
    </row>
    <row r="65" spans="1:25" ht="32" customHeight="true">
      <c r="A65" s="201">
        <v>21</v>
      </c>
      <c r="B65" s="283" t="s">
        <v>466</v>
      </c>
      <c r="C65" s="279" t="s"/>
      <c r="D65" s="295">
        <v>220.83</v>
      </c>
      <c r="E65" s="295" t="s"/>
      <c r="F65" s="295" t="s"/>
      <c r="G65" s="295">
        <f>=SUM(C65:F65)</f>
        <v>220.83</v>
      </c>
      <c r="H65" s="201" t="s">
        <v>2533</v>
      </c>
      <c r="I65" s="314">
        <v>100000</v>
      </c>
      <c r="J65" s="297">
        <f>=G65/I65*10000</f>
        <v>22.083</v>
      </c>
      <c r="K65" s="297" t="s"/>
      <c r="L65" s="298" t="s"/>
      <c r="M65" s="263" t="s"/>
      <c r="N65" s="263" t="s"/>
      <c r="O65" s="263" t="s"/>
      <c r="P65" s="263" t="s"/>
      <c r="Q65" s="263" t="s"/>
      <c r="R65" s="263" t="s"/>
      <c r="S65" s="263" t="s"/>
      <c r="T65" s="263" t="s"/>
      <c r="U65" s="263" t="s"/>
      <c r="V65" s="263" t="s"/>
      <c r="W65" s="263" t="s"/>
      <c r="X65" s="263" t="s"/>
      <c r="Y65" s="263" t="s"/>
    </row>
    <row r="66" spans="1:25" ht="32" customHeight="true">
      <c r="A66" s="201" t="s"/>
      <c r="B66" s="283" t="s"/>
      <c r="C66" s="295">
        <f>=I66*J66/10000</f>
        <v>0</v>
      </c>
      <c r="D66" s="295" t="s"/>
      <c r="E66" s="295" t="s"/>
      <c r="F66" s="295" t="s"/>
      <c r="G66" s="295">
        <f>=SUM(C66:F66)</f>
        <v>0</v>
      </c>
      <c r="H66" s="201" t="s"/>
      <c r="I66" s="296" t="s"/>
      <c r="J66" s="297" t="s"/>
      <c r="K66" s="297" t="s"/>
      <c r="L66" s="298" t="s"/>
      <c r="M66" s="263" t="s"/>
      <c r="N66" s="315" t="s"/>
      <c r="O66" s="315" t="s"/>
      <c r="P66" s="315" t="s"/>
      <c r="Q66" s="315" t="s"/>
      <c r="R66" s="316" t="s"/>
      <c r="S66" s="316" t="s"/>
      <c r="T66" s="315" t="s"/>
      <c r="U66" s="315" t="s"/>
      <c r="V66" s="315" t="s"/>
      <c r="W66" s="315" t="s"/>
      <c r="X66" s="263" t="s"/>
      <c r="Y66" s="263" t="s"/>
    </row>
    <row r="67" spans="1:25" ht="32" customHeight="true">
      <c r="A67" s="288" t="s">
        <v>467</v>
      </c>
      <c r="B67" s="278" t="s">
        <v>468</v>
      </c>
      <c r="C67" s="279">
        <f>=SUM(C68:C95)</f>
        <v>3034.368634</v>
      </c>
      <c r="D67" s="279">
        <f>=SUM(D68:D95)</f>
        <v>0</v>
      </c>
      <c r="E67" s="279">
        <v>0</v>
      </c>
      <c r="F67" s="279">
        <f>=SUM(F68:F95)</f>
        <v>0</v>
      </c>
      <c r="G67" s="279">
        <f>=SUM(C67:F67)</f>
        <v>3034.368634</v>
      </c>
      <c r="H67" s="280" t="s">
        <v>2525</v>
      </c>
      <c r="I67" s="281">
        <v>100000</v>
      </c>
      <c r="J67" s="282">
        <f>=G67/I67*10000</f>
        <v>303.4368634</v>
      </c>
      <c r="K67" s="282" t="s"/>
      <c r="L67" s="313" t="s"/>
      <c r="M67" s="263" t="s"/>
      <c r="N67" s="315" t="s">
        <v>296</v>
      </c>
      <c r="O67" s="315" t="s">
        <v>7</v>
      </c>
      <c r="P67" s="315" t="s">
        <v>8</v>
      </c>
      <c r="Q67" s="315" t="s">
        <v>258</v>
      </c>
      <c r="R67" s="316">
        <f>=P83+P84</f>
        <v>928.64</v>
      </c>
      <c r="S67" s="316" t="s"/>
      <c r="T67" s="315" t="s">
        <v>296</v>
      </c>
      <c r="U67" s="315" t="s">
        <v>7</v>
      </c>
      <c r="V67" s="315" t="s">
        <v>8</v>
      </c>
      <c r="W67" s="315" t="s">
        <v>258</v>
      </c>
      <c r="X67" s="263" t="s"/>
      <c r="Y67" s="263" t="s"/>
    </row>
    <row r="68" spans="1:25" ht="32" customHeight="true">
      <c r="A68" s="201">
        <v>1</v>
      </c>
      <c r="B68" s="283" t="s">
        <v>469</v>
      </c>
      <c r="C68" s="295">
        <f>=I68*J68/10000</f>
        <v>161.74497</v>
      </c>
      <c r="D68" s="295" t="s"/>
      <c r="E68" s="295" t="s"/>
      <c r="F68" s="295" t="s"/>
      <c r="G68" s="295">
        <f>=C68</f>
        <v>161.74497</v>
      </c>
      <c r="H68" s="201" t="s">
        <v>470</v>
      </c>
      <c r="I68" s="296">
        <v>7032.39</v>
      </c>
      <c r="J68" s="297">
        <v>230</v>
      </c>
      <c r="K68" s="312" t="s"/>
      <c r="L68" s="298" t="s"/>
      <c r="M68" s="263" t="s"/>
      <c r="N68" s="317" t="s">
        <v>469</v>
      </c>
      <c r="O68" s="317" t="s">
        <v>470</v>
      </c>
      <c r="P68" s="318">
        <v>2552.96</v>
      </c>
      <c r="Q68" s="317" t="s"/>
      <c r="R68" s="319" t="s"/>
      <c r="S68" s="316" t="s"/>
      <c r="T68" s="315" t="s">
        <v>469</v>
      </c>
      <c r="U68" s="315" t="s">
        <v>470</v>
      </c>
      <c r="V68" s="320">
        <v>4407.05</v>
      </c>
      <c r="W68" s="315" t="s"/>
      <c r="X68" s="263" t="s"/>
      <c r="Y68" s="263" t="s"/>
    </row>
    <row r="69" spans="1:25" ht="32" customHeight="true">
      <c r="A69" s="201">
        <v>2</v>
      </c>
      <c r="B69" s="283" t="s">
        <v>471</v>
      </c>
      <c r="C69" s="295">
        <f>=I69*J69/10000</f>
        <v>15.0467</v>
      </c>
      <c r="D69" s="295" t="s"/>
      <c r="E69" s="295" t="s"/>
      <c r="F69" s="295" t="s"/>
      <c r="G69" s="295">
        <f>=C69</f>
        <v>15.0467</v>
      </c>
      <c r="H69" s="201" t="s">
        <v>470</v>
      </c>
      <c r="I69" s="296">
        <v>354.04</v>
      </c>
      <c r="J69" s="297">
        <v>425</v>
      </c>
      <c r="K69" s="312" t="s">
        <v>472</v>
      </c>
      <c r="L69" s="298" t="s"/>
      <c r="M69" s="263" t="s"/>
      <c r="N69" s="315" t="s">
        <v>471</v>
      </c>
      <c r="O69" s="315" t="s">
        <v>470</v>
      </c>
      <c r="P69" s="320">
        <v>126.7</v>
      </c>
      <c r="Q69" s="315" t="s">
        <v>472</v>
      </c>
      <c r="R69" s="316" t="s"/>
      <c r="S69" s="316" t="s"/>
      <c r="T69" s="315" t="s">
        <v>471</v>
      </c>
      <c r="U69" s="315" t="s">
        <v>470</v>
      </c>
      <c r="V69" s="320">
        <v>354.04</v>
      </c>
      <c r="W69" s="315" t="s">
        <v>472</v>
      </c>
      <c r="X69" s="263" t="s"/>
      <c r="Y69" s="263" t="s"/>
    </row>
    <row r="70" spans="1:25" ht="32" customHeight="true">
      <c r="A70" s="201">
        <v>3</v>
      </c>
      <c r="B70" s="283" t="s">
        <v>473</v>
      </c>
      <c r="C70" s="295">
        <f>=I70*J70/10000</f>
        <v>34.3962</v>
      </c>
      <c r="D70" s="295" t="s"/>
      <c r="E70" s="295" t="s"/>
      <c r="F70" s="295" t="s"/>
      <c r="G70" s="295">
        <f>=C70</f>
        <v>34.3962</v>
      </c>
      <c r="H70" s="201" t="s">
        <v>470</v>
      </c>
      <c r="I70" s="296">
        <v>191.09</v>
      </c>
      <c r="J70" s="297">
        <v>1800</v>
      </c>
      <c r="K70" s="312" t="s"/>
      <c r="L70" s="298" t="s"/>
      <c r="M70" s="263" t="s"/>
      <c r="N70" s="315" t="s"/>
      <c r="O70" s="315" t="s"/>
      <c r="P70" s="320" t="s"/>
      <c r="Q70" s="315" t="s"/>
      <c r="R70" s="316" t="s"/>
      <c r="S70" s="316" t="s"/>
      <c r="T70" s="315" t="s">
        <v>473</v>
      </c>
      <c r="U70" s="315" t="s">
        <v>470</v>
      </c>
      <c r="V70" s="320">
        <v>191.09</v>
      </c>
      <c r="W70" s="315" t="s"/>
      <c r="X70" s="263" t="s"/>
      <c r="Y70" s="263" t="s"/>
    </row>
    <row r="71" spans="1:25" ht="32" customHeight="true">
      <c r="A71" s="201">
        <v>4</v>
      </c>
      <c r="B71" s="283" t="s">
        <v>474</v>
      </c>
      <c r="C71" s="295">
        <f>=I71*J71/10000</f>
        <v>1.26</v>
      </c>
      <c r="D71" s="295" t="s"/>
      <c r="E71" s="295" t="s"/>
      <c r="F71" s="295" t="s"/>
      <c r="G71" s="295">
        <f>=C71</f>
        <v>1.26</v>
      </c>
      <c r="H71" s="201" t="s">
        <v>470</v>
      </c>
      <c r="I71" s="296">
        <v>28</v>
      </c>
      <c r="J71" s="297">
        <v>450</v>
      </c>
      <c r="K71" s="312" t="s"/>
      <c r="L71" s="298" t="s"/>
      <c r="M71" s="263" t="s"/>
      <c r="N71" s="315" t="s">
        <v>474</v>
      </c>
      <c r="O71" s="315" t="s">
        <v>470</v>
      </c>
      <c r="P71" s="320">
        <v>13</v>
      </c>
      <c r="Q71" s="315" t="s"/>
      <c r="R71" s="316" t="s"/>
      <c r="S71" s="316" t="s"/>
      <c r="T71" s="315" t="s">
        <v>474</v>
      </c>
      <c r="U71" s="315" t="s">
        <v>470</v>
      </c>
      <c r="V71" s="320">
        <v>28</v>
      </c>
      <c r="W71" s="315" t="s"/>
      <c r="X71" s="263" t="s"/>
      <c r="Y71" s="263" t="s"/>
    </row>
    <row r="72" spans="1:25" ht="32" customHeight="true">
      <c r="A72" s="201">
        <v>5</v>
      </c>
      <c r="B72" s="283" t="s">
        <v>475</v>
      </c>
      <c r="C72" s="295">
        <f>=I72*J72/10000</f>
        <v>4.16</v>
      </c>
      <c r="D72" s="295" t="s"/>
      <c r="E72" s="295" t="s"/>
      <c r="F72" s="295" t="s"/>
      <c r="G72" s="295">
        <f>=C72</f>
        <v>4.16</v>
      </c>
      <c r="H72" s="201" t="s">
        <v>470</v>
      </c>
      <c r="I72" s="296">
        <v>80</v>
      </c>
      <c r="J72" s="297">
        <v>520</v>
      </c>
      <c r="K72" s="312" t="s"/>
      <c r="L72" s="298" t="s"/>
      <c r="M72" s="263" t="s"/>
      <c r="N72" s="315" t="s">
        <v>475</v>
      </c>
      <c r="O72" s="315" t="s">
        <v>470</v>
      </c>
      <c r="P72" s="320">
        <v>187.07</v>
      </c>
      <c r="Q72" s="315" t="s"/>
      <c r="R72" s="316" t="s"/>
      <c r="S72" s="316" t="s"/>
      <c r="T72" s="315" t="s">
        <v>475</v>
      </c>
      <c r="U72" s="315" t="s">
        <v>273</v>
      </c>
      <c r="V72" s="320">
        <v>80</v>
      </c>
      <c r="W72" s="315" t="s">
        <v>476</v>
      </c>
      <c r="X72" s="263" t="s"/>
      <c r="Y72" s="263" t="s"/>
    </row>
    <row r="73" spans="1:25" ht="32" customHeight="true">
      <c r="A73" s="201">
        <v>6</v>
      </c>
      <c r="B73" s="283" t="s">
        <v>477</v>
      </c>
      <c r="C73" s="295">
        <f>=I73*J73/10000</f>
        <v>772.547</v>
      </c>
      <c r="D73" s="295" t="s"/>
      <c r="E73" s="295" t="s"/>
      <c r="F73" s="295" t="s"/>
      <c r="G73" s="295">
        <f>=C73</f>
        <v>772.547</v>
      </c>
      <c r="H73" s="201" t="s">
        <v>470</v>
      </c>
      <c r="I73" s="296">
        <v>38627.35</v>
      </c>
      <c r="J73" s="297">
        <v>200</v>
      </c>
      <c r="K73" s="312" t="s"/>
      <c r="L73" s="298" t="s"/>
      <c r="M73" s="263" t="s"/>
      <c r="N73" s="317" t="s">
        <v>478</v>
      </c>
      <c r="O73" s="317" t="s">
        <v>470</v>
      </c>
      <c r="P73" s="318">
        <v>41197.66</v>
      </c>
      <c r="Q73" s="317" t="s"/>
      <c r="R73" s="319" t="s"/>
      <c r="S73" s="321" t="s"/>
      <c r="T73" s="315" t="s">
        <v>478</v>
      </c>
      <c r="U73" s="315" t="s">
        <v>470</v>
      </c>
      <c r="V73" s="320">
        <v>38627.35</v>
      </c>
      <c r="W73" s="315" t="s"/>
      <c r="X73" s="263" t="s"/>
      <c r="Y73" s="263" t="s"/>
    </row>
    <row r="74" spans="1:25" ht="32" customHeight="true">
      <c r="A74" s="201">
        <v>7</v>
      </c>
      <c r="B74" s="283" t="s">
        <v>479</v>
      </c>
      <c r="C74" s="295">
        <f>=I74*J74/10000</f>
        <v>37.371284</v>
      </c>
      <c r="D74" s="295" t="s"/>
      <c r="E74" s="295" t="s"/>
      <c r="F74" s="295" t="s"/>
      <c r="G74" s="295">
        <f>=C74</f>
        <v>37.371284</v>
      </c>
      <c r="H74" s="201" t="s">
        <v>470</v>
      </c>
      <c r="I74" s="296">
        <v>907.07</v>
      </c>
      <c r="J74" s="297">
        <v>412</v>
      </c>
      <c r="K74" s="312" t="s">
        <v>480</v>
      </c>
      <c r="L74" s="298" t="s"/>
      <c r="M74" s="263" t="s"/>
      <c r="N74" s="315" t="s">
        <v>479</v>
      </c>
      <c r="O74" s="315" t="s">
        <v>470</v>
      </c>
      <c r="P74" s="320">
        <v>1789.14</v>
      </c>
      <c r="Q74" s="315" t="s">
        <v>481</v>
      </c>
      <c r="R74" s="321" t="s"/>
      <c r="S74" s="321" t="s"/>
      <c r="T74" s="315" t="s">
        <v>479</v>
      </c>
      <c r="U74" s="315" t="s">
        <v>470</v>
      </c>
      <c r="V74" s="320">
        <v>907.07</v>
      </c>
      <c r="W74" s="315" t="s">
        <v>481</v>
      </c>
      <c r="X74" s="263" t="s"/>
      <c r="Y74" s="263" t="s"/>
    </row>
    <row r="75" spans="1:25" ht="32" customHeight="true">
      <c r="A75" s="201">
        <v>8</v>
      </c>
      <c r="B75" s="283" t="s">
        <v>482</v>
      </c>
      <c r="C75" s="295">
        <f>=I75*J75/10000</f>
        <v>284.48</v>
      </c>
      <c r="D75" s="295" t="s"/>
      <c r="E75" s="295" t="s"/>
      <c r="F75" s="295" t="s"/>
      <c r="G75" s="295">
        <f>=C75</f>
        <v>284.48</v>
      </c>
      <c r="H75" s="201" t="s">
        <v>470</v>
      </c>
      <c r="I75" s="296">
        <v>8890</v>
      </c>
      <c r="J75" s="297">
        <v>320</v>
      </c>
      <c r="K75" s="312" t="s"/>
      <c r="L75" s="298" t="s"/>
      <c r="M75" s="263" t="s"/>
      <c r="N75" s="315" t="s">
        <v>483</v>
      </c>
      <c r="O75" s="315" t="s">
        <v>470</v>
      </c>
      <c r="P75" s="320">
        <v>6792.04</v>
      </c>
      <c r="Q75" s="315" t="s"/>
      <c r="R75" s="321" t="s"/>
      <c r="S75" s="321" t="s"/>
      <c r="T75" s="315" t="s">
        <v>482</v>
      </c>
      <c r="U75" s="315" t="s">
        <v>470</v>
      </c>
      <c r="V75" s="320">
        <v>8890</v>
      </c>
      <c r="W75" s="315" t="s">
        <v>484</v>
      </c>
      <c r="X75" s="263" t="s"/>
      <c r="Y75" s="263" t="s"/>
    </row>
    <row r="76" spans="1:25" ht="32" customHeight="true">
      <c r="A76" s="201">
        <v>9</v>
      </c>
      <c r="B76" s="283" t="s">
        <v>485</v>
      </c>
      <c r="C76" s="295">
        <f>=I76*J76/10000</f>
        <v>88.81691</v>
      </c>
      <c r="D76" s="295" t="s"/>
      <c r="E76" s="295" t="s"/>
      <c r="F76" s="295" t="s"/>
      <c r="G76" s="295">
        <f>=C76</f>
        <v>88.81691</v>
      </c>
      <c r="H76" s="201" t="s">
        <v>470</v>
      </c>
      <c r="I76" s="296">
        <v>869.05</v>
      </c>
      <c r="J76" s="297">
        <v>1022</v>
      </c>
      <c r="K76" s="312" t="s">
        <v>2534</v>
      </c>
      <c r="L76" s="298" t="s"/>
      <c r="M76" s="263" t="s"/>
      <c r="N76" s="315" t="s">
        <v>485</v>
      </c>
      <c r="O76" s="315" t="s">
        <v>470</v>
      </c>
      <c r="P76" s="320">
        <v>7393.87</v>
      </c>
      <c r="Q76" s="322" t="s">
        <v>486</v>
      </c>
      <c r="R76" s="321">
        <f>=339.99+336.05+179.81+611.73</f>
        <v>1467.58</v>
      </c>
      <c r="S76" s="321" t="s"/>
      <c r="T76" s="315" t="s">
        <v>485</v>
      </c>
      <c r="U76" s="315" t="s">
        <v>470</v>
      </c>
      <c r="V76" s="320">
        <v>869.05</v>
      </c>
      <c r="W76" s="322" t="s">
        <v>486</v>
      </c>
      <c r="X76" s="263" t="s"/>
      <c r="Y76" s="263" t="s"/>
    </row>
    <row r="77" spans="1:25" ht="32" customHeight="true">
      <c r="A77" s="201">
        <v>10</v>
      </c>
      <c r="B77" s="283" t="s">
        <v>487</v>
      </c>
      <c r="C77" s="295">
        <f>=I77*J77/10000</f>
        <v>25.52</v>
      </c>
      <c r="D77" s="295" t="s"/>
      <c r="E77" s="295" t="s"/>
      <c r="F77" s="295" t="s"/>
      <c r="G77" s="295">
        <f>=C77</f>
        <v>25.52</v>
      </c>
      <c r="H77" s="201" t="s">
        <v>470</v>
      </c>
      <c r="I77" s="296">
        <v>797.5</v>
      </c>
      <c r="J77" s="297">
        <v>320</v>
      </c>
      <c r="K77" s="312" t="s"/>
      <c r="L77" s="298" t="s"/>
      <c r="M77" s="263" t="s"/>
      <c r="N77" s="317" t="s">
        <v>487</v>
      </c>
      <c r="O77" s="317" t="s">
        <v>470</v>
      </c>
      <c r="P77" s="318">
        <v>797.5</v>
      </c>
      <c r="Q77" s="317" t="s"/>
      <c r="R77" s="319" t="s"/>
      <c r="S77" s="316" t="s"/>
      <c r="T77" s="315" t="s">
        <v>487</v>
      </c>
      <c r="U77" s="315" t="s">
        <v>470</v>
      </c>
      <c r="V77" s="320">
        <v>797.5</v>
      </c>
      <c r="W77" s="315" t="s"/>
      <c r="X77" s="263" t="s"/>
      <c r="Y77" s="263" t="s"/>
    </row>
    <row r="78" spans="1:25" ht="32" customHeight="true">
      <c r="A78" s="201">
        <v>11</v>
      </c>
      <c r="B78" s="283" t="s">
        <v>488</v>
      </c>
      <c r="C78" s="295">
        <f>=I78*J78/10000</f>
        <v>322.468</v>
      </c>
      <c r="D78" s="295" t="s"/>
      <c r="E78" s="295" t="s"/>
      <c r="F78" s="295" t="s"/>
      <c r="G78" s="295">
        <f>=C78</f>
        <v>322.468</v>
      </c>
      <c r="H78" s="201" t="s">
        <v>470</v>
      </c>
      <c r="I78" s="296">
        <v>6449.36</v>
      </c>
      <c r="J78" s="297">
        <v>500</v>
      </c>
      <c r="K78" s="312" t="s"/>
      <c r="L78" s="298" t="s"/>
      <c r="M78" s="263" t="s"/>
      <c r="N78" s="317" t="s">
        <v>488</v>
      </c>
      <c r="O78" s="317" t="s">
        <v>470</v>
      </c>
      <c r="P78" s="318">
        <v>4488.35</v>
      </c>
      <c r="Q78" s="317" t="s"/>
      <c r="R78" s="319" t="s"/>
      <c r="S78" s="316" t="s"/>
      <c r="T78" s="315" t="s">
        <v>488</v>
      </c>
      <c r="U78" s="315" t="s">
        <v>470</v>
      </c>
      <c r="V78" s="320">
        <v>6449.36</v>
      </c>
      <c r="W78" s="315" t="s"/>
      <c r="X78" s="263" t="s"/>
      <c r="Y78" s="263" t="s"/>
    </row>
    <row r="79" spans="1:25" ht="32" customHeight="true">
      <c r="A79" s="201">
        <v>12</v>
      </c>
      <c r="B79" s="283" t="s">
        <v>489</v>
      </c>
      <c r="C79" s="295">
        <f>=I79*J79/10000</f>
        <v>6</v>
      </c>
      <c r="D79" s="295" t="s"/>
      <c r="E79" s="295" t="s"/>
      <c r="F79" s="295" t="s"/>
      <c r="G79" s="295">
        <f>=C79</f>
        <v>6</v>
      </c>
      <c r="H79" s="201" t="s">
        <v>470</v>
      </c>
      <c r="I79" s="296">
        <v>30</v>
      </c>
      <c r="J79" s="297">
        <v>2000</v>
      </c>
      <c r="K79" s="312" t="s"/>
      <c r="L79" s="298" t="s"/>
      <c r="M79" s="263" t="s"/>
      <c r="N79" s="315" t="s">
        <v>489</v>
      </c>
      <c r="O79" s="315" t="s">
        <v>470</v>
      </c>
      <c r="P79" s="320">
        <v>108.05</v>
      </c>
      <c r="Q79" s="315" t="s"/>
      <c r="R79" s="316" t="s"/>
      <c r="S79" s="316" t="s"/>
      <c r="T79" s="315" t="s">
        <v>489</v>
      </c>
      <c r="U79" s="315" t="s">
        <v>470</v>
      </c>
      <c r="V79" s="320">
        <v>30</v>
      </c>
      <c r="W79" s="315" t="s"/>
      <c r="X79" s="263" t="s"/>
      <c r="Y79" s="263" t="s"/>
    </row>
    <row r="80" spans="1:25" ht="32" customHeight="true">
      <c r="A80" s="201">
        <v>13</v>
      </c>
      <c r="B80" s="283" t="s">
        <v>490</v>
      </c>
      <c r="C80" s="295">
        <f>=I80*J80/10000</f>
        <v>73.7625</v>
      </c>
      <c r="D80" s="295" t="s"/>
      <c r="E80" s="295" t="s"/>
      <c r="F80" s="295" t="s"/>
      <c r="G80" s="295">
        <f>=C80</f>
        <v>73.7625</v>
      </c>
      <c r="H80" s="201" t="s">
        <v>470</v>
      </c>
      <c r="I80" s="296">
        <v>1053.75</v>
      </c>
      <c r="J80" s="297">
        <v>700</v>
      </c>
      <c r="K80" s="312" t="s"/>
      <c r="L80" s="298" t="s"/>
      <c r="M80" s="263" t="s"/>
      <c r="N80" s="315" t="s">
        <v>490</v>
      </c>
      <c r="O80" s="315" t="s">
        <v>470</v>
      </c>
      <c r="P80" s="320">
        <v>1053.75</v>
      </c>
      <c r="Q80" s="315" t="s"/>
      <c r="R80" s="316" t="s"/>
      <c r="S80" s="316" t="s"/>
      <c r="T80" s="315" t="s">
        <v>490</v>
      </c>
      <c r="U80" s="315" t="s">
        <v>470</v>
      </c>
      <c r="V80" s="320">
        <v>1053.75</v>
      </c>
      <c r="W80" s="315" t="s"/>
      <c r="X80" s="263" t="s"/>
      <c r="Y80" s="263" t="s"/>
    </row>
    <row r="81" spans="1:25" ht="32" customHeight="true">
      <c r="A81" s="201">
        <v>14</v>
      </c>
      <c r="B81" s="283" t="s">
        <v>491</v>
      </c>
      <c r="C81" s="295">
        <f>=I81*J81/10000</f>
        <v>113.522</v>
      </c>
      <c r="D81" s="295" t="s"/>
      <c r="E81" s="295" t="s"/>
      <c r="F81" s="295" t="s"/>
      <c r="G81" s="295">
        <f>=C81</f>
        <v>113.522</v>
      </c>
      <c r="H81" s="201" t="s">
        <v>470</v>
      </c>
      <c r="I81" s="296">
        <v>2270.44</v>
      </c>
      <c r="J81" s="297">
        <v>500</v>
      </c>
      <c r="K81" s="312" t="s">
        <v>492</v>
      </c>
      <c r="L81" s="298" t="s"/>
      <c r="M81" s="263" t="s"/>
      <c r="N81" s="315" t="s">
        <v>491</v>
      </c>
      <c r="O81" s="315" t="s">
        <v>470</v>
      </c>
      <c r="P81" s="320">
        <v>2975.4</v>
      </c>
      <c r="Q81" s="315" t="s">
        <v>492</v>
      </c>
      <c r="R81" s="316" t="s"/>
      <c r="S81" s="316" t="s"/>
      <c r="T81" s="315" t="s">
        <v>491</v>
      </c>
      <c r="U81" s="315" t="s">
        <v>470</v>
      </c>
      <c r="V81" s="320">
        <v>2270.44</v>
      </c>
      <c r="W81" s="315" t="s">
        <v>492</v>
      </c>
      <c r="X81" s="263" t="s"/>
      <c r="Y81" s="263" t="s"/>
    </row>
    <row r="82" spans="1:25" ht="32" customHeight="true">
      <c r="A82" s="201">
        <v>15</v>
      </c>
      <c r="B82" s="283" t="s">
        <v>493</v>
      </c>
      <c r="C82" s="295">
        <f>=I82*J82/10000</f>
        <v>23.0601</v>
      </c>
      <c r="D82" s="295" t="s"/>
      <c r="E82" s="295" t="s"/>
      <c r="F82" s="295" t="s"/>
      <c r="G82" s="295">
        <f>=C82</f>
        <v>23.0601</v>
      </c>
      <c r="H82" s="201" t="s">
        <v>470</v>
      </c>
      <c r="I82" s="296">
        <v>329.43</v>
      </c>
      <c r="J82" s="297">
        <v>700</v>
      </c>
      <c r="K82" s="312" t="s">
        <v>492</v>
      </c>
      <c r="L82" s="298" t="s"/>
      <c r="M82" s="263" t="s"/>
      <c r="N82" s="315" t="s">
        <v>493</v>
      </c>
      <c r="O82" s="315" t="s">
        <v>470</v>
      </c>
      <c r="P82" s="320">
        <v>518.49</v>
      </c>
      <c r="Q82" s="315" t="s">
        <v>492</v>
      </c>
      <c r="R82" s="316" t="s"/>
      <c r="S82" s="316" t="s"/>
      <c r="T82" s="315" t="s">
        <v>493</v>
      </c>
      <c r="U82" s="315" t="s">
        <v>470</v>
      </c>
      <c r="V82" s="320">
        <v>329.43</v>
      </c>
      <c r="W82" s="315" t="s">
        <v>492</v>
      </c>
      <c r="X82" s="263" t="s"/>
      <c r="Y82" s="263" t="s"/>
    </row>
    <row r="83" spans="1:25" ht="32" customHeight="true">
      <c r="A83" s="201">
        <v>16</v>
      </c>
      <c r="B83" s="283" t="s">
        <v>494</v>
      </c>
      <c r="C83" s="295">
        <f>=I83*J83/10000</f>
        <v>191.451</v>
      </c>
      <c r="D83" s="295" t="s"/>
      <c r="E83" s="295" t="s"/>
      <c r="F83" s="295" t="s"/>
      <c r="G83" s="295">
        <f>=C83</f>
        <v>191.451</v>
      </c>
      <c r="H83" s="201" t="s">
        <v>470</v>
      </c>
      <c r="I83" s="296">
        <v>638.17</v>
      </c>
      <c r="J83" s="297">
        <v>3000</v>
      </c>
      <c r="K83" s="312" t="s">
        <v>495</v>
      </c>
      <c r="L83" s="298" t="s"/>
      <c r="M83" s="263" t="s"/>
      <c r="N83" s="315" t="s">
        <v>494</v>
      </c>
      <c r="O83" s="315" t="s">
        <v>470</v>
      </c>
      <c r="P83" s="320">
        <v>784.64</v>
      </c>
      <c r="Q83" s="315" t="s">
        <v>495</v>
      </c>
      <c r="R83" s="316" t="s"/>
      <c r="S83" s="316" t="s"/>
      <c r="T83" s="315" t="s">
        <v>494</v>
      </c>
      <c r="U83" s="315" t="s">
        <v>470</v>
      </c>
      <c r="V83" s="320">
        <v>638.17</v>
      </c>
      <c r="W83" s="315" t="s">
        <v>495</v>
      </c>
      <c r="X83" s="263" t="s"/>
      <c r="Y83" s="263" t="s"/>
    </row>
    <row r="84" spans="1:25" ht="32" customHeight="true">
      <c r="A84" s="201">
        <v>17</v>
      </c>
      <c r="B84" s="283" t="s">
        <v>496</v>
      </c>
      <c r="C84" s="295">
        <f>=I84*J84/10000</f>
        <v>10</v>
      </c>
      <c r="D84" s="295" t="s"/>
      <c r="E84" s="295" t="s"/>
      <c r="F84" s="295" t="s"/>
      <c r="G84" s="295">
        <f>=C84</f>
        <v>10</v>
      </c>
      <c r="H84" s="201" t="s">
        <v>470</v>
      </c>
      <c r="I84" s="296">
        <v>25</v>
      </c>
      <c r="J84" s="297">
        <v>4000</v>
      </c>
      <c r="K84" s="312" t="s"/>
      <c r="L84" s="298" t="s"/>
      <c r="M84" s="263" t="s"/>
      <c r="N84" s="315" t="s">
        <v>496</v>
      </c>
      <c r="O84" s="315" t="s">
        <v>470</v>
      </c>
      <c r="P84" s="320">
        <v>144</v>
      </c>
      <c r="Q84" s="315" t="s"/>
      <c r="R84" s="316" t="s"/>
      <c r="S84" s="316" t="s"/>
      <c r="T84" s="315" t="s">
        <v>496</v>
      </c>
      <c r="U84" s="315" t="s">
        <v>470</v>
      </c>
      <c r="V84" s="320">
        <v>25</v>
      </c>
      <c r="W84" s="315" t="s"/>
      <c r="X84" s="263" t="s"/>
      <c r="Y84" s="263" t="s"/>
    </row>
    <row r="85" spans="1:25" ht="32" customHeight="true">
      <c r="A85" s="201">
        <v>18</v>
      </c>
      <c r="B85" s="283" t="s">
        <v>497</v>
      </c>
      <c r="C85" s="295">
        <f>=I85*J85/10000</f>
        <v>8.7444</v>
      </c>
      <c r="D85" s="295" t="s"/>
      <c r="E85" s="295" t="s"/>
      <c r="F85" s="295" t="s"/>
      <c r="G85" s="295">
        <f>=C85</f>
        <v>8.7444</v>
      </c>
      <c r="H85" s="201" t="s">
        <v>470</v>
      </c>
      <c r="I85" s="296">
        <v>72.87</v>
      </c>
      <c r="J85" s="297">
        <v>1200</v>
      </c>
      <c r="K85" s="312" t="s"/>
      <c r="L85" s="298" t="s"/>
      <c r="M85" s="263" t="s"/>
      <c r="N85" s="315" t="s">
        <v>497</v>
      </c>
      <c r="O85" s="315" t="s">
        <v>470</v>
      </c>
      <c r="P85" s="320">
        <v>109.39</v>
      </c>
      <c r="Q85" s="315" t="s"/>
      <c r="R85" s="316" t="s"/>
      <c r="S85" s="316" t="s"/>
      <c r="T85" s="315" t="s">
        <v>497</v>
      </c>
      <c r="U85" s="315" t="s">
        <v>470</v>
      </c>
      <c r="V85" s="320">
        <v>72.87</v>
      </c>
      <c r="W85" s="315" t="s"/>
      <c r="X85" s="263" t="s"/>
      <c r="Y85" s="263" t="s"/>
    </row>
    <row r="86" spans="1:25" ht="32" customHeight="true">
      <c r="A86" s="201">
        <v>19</v>
      </c>
      <c r="B86" s="283" t="s">
        <v>498</v>
      </c>
      <c r="C86" s="295">
        <f>=I86*J86/10000</f>
        <v>28.8</v>
      </c>
      <c r="D86" s="295" t="s"/>
      <c r="E86" s="295" t="s"/>
      <c r="F86" s="295" t="s"/>
      <c r="G86" s="295">
        <f>=C86</f>
        <v>28.8</v>
      </c>
      <c r="H86" s="201" t="s">
        <v>470</v>
      </c>
      <c r="I86" s="296">
        <v>90</v>
      </c>
      <c r="J86" s="297">
        <v>3200</v>
      </c>
      <c r="K86" s="312" t="s"/>
      <c r="L86" s="298" t="s"/>
      <c r="M86" s="263" t="s"/>
      <c r="N86" s="315" t="s">
        <v>498</v>
      </c>
      <c r="O86" s="315" t="s">
        <v>470</v>
      </c>
      <c r="P86" s="320">
        <v>40</v>
      </c>
      <c r="Q86" s="315" t="s"/>
      <c r="R86" s="316" t="s"/>
      <c r="S86" s="316" t="s"/>
      <c r="T86" s="315" t="s">
        <v>498</v>
      </c>
      <c r="U86" s="315" t="s">
        <v>470</v>
      </c>
      <c r="V86" s="320">
        <v>40</v>
      </c>
      <c r="W86" s="315" t="s"/>
      <c r="X86" s="263" t="s"/>
      <c r="Y86" s="263" t="s"/>
    </row>
    <row r="87" spans="1:25" ht="32" customHeight="true">
      <c r="A87" s="201">
        <v>20</v>
      </c>
      <c r="B87" s="283" t="s">
        <v>499</v>
      </c>
      <c r="C87" s="295">
        <f>=I87*J87/10000</f>
        <v>4.9</v>
      </c>
      <c r="D87" s="295" t="s"/>
      <c r="E87" s="295" t="s"/>
      <c r="F87" s="295" t="s"/>
      <c r="G87" s="295">
        <f>=C87</f>
        <v>4.9</v>
      </c>
      <c r="H87" s="201" t="s">
        <v>470</v>
      </c>
      <c r="I87" s="296">
        <v>12.25</v>
      </c>
      <c r="J87" s="297">
        <v>4000</v>
      </c>
      <c r="K87" s="312" t="s">
        <v>500</v>
      </c>
      <c r="L87" s="298" t="s"/>
      <c r="M87" s="263" t="s"/>
      <c r="N87" s="315" t="s">
        <v>499</v>
      </c>
      <c r="O87" s="315" t="s">
        <v>470</v>
      </c>
      <c r="P87" s="320">
        <v>12.25</v>
      </c>
      <c r="Q87" s="315" t="s">
        <v>500</v>
      </c>
      <c r="R87" s="321" t="s"/>
      <c r="S87" s="316" t="s"/>
      <c r="T87" s="315" t="s">
        <v>499</v>
      </c>
      <c r="U87" s="315" t="s">
        <v>470</v>
      </c>
      <c r="V87" s="320">
        <v>12.25</v>
      </c>
      <c r="W87" s="315" t="s">
        <v>500</v>
      </c>
      <c r="X87" s="263" t="s"/>
      <c r="Y87" s="263" t="s"/>
    </row>
    <row r="88" spans="1:25" ht="32" customHeight="true">
      <c r="A88" s="201">
        <v>21</v>
      </c>
      <c r="B88" s="283" t="s">
        <v>501</v>
      </c>
      <c r="C88" s="295">
        <f>=I88*J88/10000</f>
        <v>34.7136</v>
      </c>
      <c r="D88" s="295" t="s"/>
      <c r="E88" s="295" t="s"/>
      <c r="F88" s="295" t="s"/>
      <c r="G88" s="295">
        <f>=C88</f>
        <v>34.7136</v>
      </c>
      <c r="H88" s="201" t="s">
        <v>470</v>
      </c>
      <c r="I88" s="296">
        <v>289.28</v>
      </c>
      <c r="J88" s="297">
        <v>1200</v>
      </c>
      <c r="K88" s="312" t="s"/>
      <c r="L88" s="298" t="s"/>
      <c r="M88" s="263" t="s"/>
      <c r="N88" s="315" t="s">
        <v>502</v>
      </c>
      <c r="O88" s="315" t="s">
        <v>470</v>
      </c>
      <c r="P88" s="320">
        <v>460.93</v>
      </c>
      <c r="Q88" s="315" t="s">
        <v>503</v>
      </c>
      <c r="R88" s="321" t="s"/>
      <c r="S88" s="321" t="s"/>
      <c r="T88" s="315" t="s">
        <v>501</v>
      </c>
      <c r="U88" s="315" t="s">
        <v>470</v>
      </c>
      <c r="V88" s="320">
        <v>289.28</v>
      </c>
      <c r="W88" s="322" t="s">
        <v>504</v>
      </c>
      <c r="X88" s="263" t="s"/>
      <c r="Y88" s="263" t="s"/>
    </row>
    <row r="89" spans="1:25" ht="32" customHeight="true">
      <c r="A89" s="201">
        <v>22</v>
      </c>
      <c r="B89" s="283" t="s">
        <v>505</v>
      </c>
      <c r="C89" s="295">
        <f>=I89*J89/10000</f>
        <v>67.26135</v>
      </c>
      <c r="D89" s="295" t="s"/>
      <c r="E89" s="295" t="s"/>
      <c r="F89" s="295" t="s"/>
      <c r="G89" s="295">
        <f>=C89</f>
        <v>67.26135</v>
      </c>
      <c r="H89" s="201" t="s">
        <v>470</v>
      </c>
      <c r="I89" s="296">
        <v>1034.79</v>
      </c>
      <c r="J89" s="297">
        <v>650</v>
      </c>
      <c r="K89" s="312" t="s">
        <v>506</v>
      </c>
      <c r="L89" s="298" t="s"/>
      <c r="M89" s="263" t="s"/>
      <c r="N89" s="315" t="s">
        <v>505</v>
      </c>
      <c r="O89" s="315" t="s">
        <v>470</v>
      </c>
      <c r="P89" s="320">
        <v>1529.24</v>
      </c>
      <c r="Q89" s="315" t="s">
        <v>506</v>
      </c>
      <c r="R89" s="316" t="s"/>
      <c r="S89" s="321" t="s"/>
      <c r="T89" s="315" t="s">
        <v>505</v>
      </c>
      <c r="U89" s="315" t="s">
        <v>470</v>
      </c>
      <c r="V89" s="320">
        <v>1034.79</v>
      </c>
      <c r="W89" s="315" t="s">
        <v>506</v>
      </c>
      <c r="X89" s="263" t="s"/>
      <c r="Y89" s="263" t="s"/>
    </row>
    <row r="90" spans="1:25" ht="32" customHeight="true">
      <c r="A90" s="201">
        <v>23</v>
      </c>
      <c r="B90" s="283" t="s">
        <v>507</v>
      </c>
      <c r="C90" s="295">
        <f>=I90*J90/10000</f>
        <v>0</v>
      </c>
      <c r="D90" s="295" t="s"/>
      <c r="E90" s="295" t="s"/>
      <c r="F90" s="295" t="s"/>
      <c r="G90" s="295">
        <f>=C90</f>
        <v>0</v>
      </c>
      <c r="H90" s="201" t="s">
        <v>470</v>
      </c>
      <c r="I90" s="296">
        <v>0</v>
      </c>
      <c r="J90" s="297">
        <v>1120</v>
      </c>
      <c r="K90" s="312" t="s">
        <v>508</v>
      </c>
      <c r="L90" s="298" t="s"/>
      <c r="M90" s="263" t="s"/>
      <c r="N90" s="315" t="s">
        <v>507</v>
      </c>
      <c r="O90" s="315" t="s">
        <v>470</v>
      </c>
      <c r="P90" s="320">
        <v>4652.3</v>
      </c>
      <c r="Q90" s="322" t="s">
        <v>508</v>
      </c>
      <c r="R90" s="316" t="s"/>
      <c r="S90" s="321" t="s"/>
      <c r="T90" s="315" t="s">
        <v>507</v>
      </c>
      <c r="U90" s="315" t="s">
        <v>470</v>
      </c>
      <c r="V90" s="320">
        <v>2625.34</v>
      </c>
      <c r="W90" s="322" t="s">
        <v>508</v>
      </c>
      <c r="X90" s="263" t="s"/>
      <c r="Y90" s="263" t="s"/>
    </row>
    <row r="91" spans="1:25" ht="32" customHeight="true">
      <c r="A91" s="201">
        <v>24</v>
      </c>
      <c r="B91" s="283" t="s">
        <v>509</v>
      </c>
      <c r="C91" s="295">
        <f>=I91*J91/10000</f>
        <v>4.8</v>
      </c>
      <c r="D91" s="295" t="s"/>
      <c r="E91" s="295" t="s"/>
      <c r="F91" s="295" t="s"/>
      <c r="G91" s="295">
        <f>=C91</f>
        <v>4.8</v>
      </c>
      <c r="H91" s="201" t="s">
        <v>470</v>
      </c>
      <c r="I91" s="296">
        <v>24</v>
      </c>
      <c r="J91" s="297">
        <v>2000</v>
      </c>
      <c r="K91" s="312" t="s">
        <v>508</v>
      </c>
      <c r="L91" s="298" t="s"/>
      <c r="M91" s="263" t="s"/>
      <c r="N91" s="315" t="s">
        <v>510</v>
      </c>
      <c r="O91" s="315" t="s">
        <v>470</v>
      </c>
      <c r="P91" s="320">
        <v>165.77</v>
      </c>
      <c r="Q91" s="322" t="s">
        <v>508</v>
      </c>
      <c r="R91" s="316" t="s"/>
      <c r="S91" s="321" t="s"/>
      <c r="T91" s="315" t="s">
        <v>509</v>
      </c>
      <c r="U91" s="315" t="s">
        <v>470</v>
      </c>
      <c r="V91" s="320">
        <v>24</v>
      </c>
      <c r="W91" s="322" t="s"/>
      <c r="X91" s="263" t="s"/>
      <c r="Y91" s="263" t="s"/>
    </row>
    <row r="92" spans="1:25" ht="32" customHeight="true">
      <c r="A92" s="201">
        <v>25</v>
      </c>
      <c r="B92" s="283" t="s">
        <v>511</v>
      </c>
      <c r="C92" s="295">
        <f>=I92*J92/10000</f>
        <v>3</v>
      </c>
      <c r="D92" s="295" t="s"/>
      <c r="E92" s="295" t="s"/>
      <c r="F92" s="295" t="s"/>
      <c r="G92" s="295">
        <f>=C92</f>
        <v>3</v>
      </c>
      <c r="H92" s="201" t="s">
        <v>45</v>
      </c>
      <c r="I92" s="296">
        <v>1</v>
      </c>
      <c r="J92" s="297">
        <v>30000</v>
      </c>
      <c r="K92" s="312" t="s">
        <v>512</v>
      </c>
      <c r="L92" s="298" t="s"/>
      <c r="M92" s="263" t="s"/>
      <c r="N92" s="315" t="s">
        <v>511</v>
      </c>
      <c r="O92" s="315" t="s">
        <v>45</v>
      </c>
      <c r="P92" s="315">
        <v>1</v>
      </c>
      <c r="Q92" s="315" t="s">
        <v>512</v>
      </c>
      <c r="R92" s="316" t="s"/>
      <c r="S92" s="316" t="s"/>
      <c r="T92" s="315" t="s">
        <v>511</v>
      </c>
      <c r="U92" s="315" t="s">
        <v>45</v>
      </c>
      <c r="V92" s="315">
        <v>1</v>
      </c>
      <c r="W92" s="315" t="s">
        <v>512</v>
      </c>
      <c r="X92" s="263" t="s"/>
      <c r="Y92" s="263" t="s"/>
    </row>
    <row r="93" spans="1:25" ht="32" customHeight="true">
      <c r="A93" s="201">
        <v>26</v>
      </c>
      <c r="B93" s="283" t="s">
        <v>513</v>
      </c>
      <c r="C93" s="295">
        <f>=I93*J93/10000</f>
        <v>45</v>
      </c>
      <c r="D93" s="295" t="s"/>
      <c r="E93" s="295" t="s"/>
      <c r="F93" s="295" t="s"/>
      <c r="G93" s="295">
        <f>=C93</f>
        <v>45</v>
      </c>
      <c r="H93" s="201" t="s">
        <v>514</v>
      </c>
      <c r="I93" s="296">
        <v>1</v>
      </c>
      <c r="J93" s="297">
        <v>450000</v>
      </c>
      <c r="K93" s="312" t="s">
        <v>515</v>
      </c>
      <c r="L93" s="298" t="s"/>
      <c r="M93" s="263" t="s"/>
      <c r="N93" s="315" t="s">
        <v>513</v>
      </c>
      <c r="O93" s="315" t="s">
        <v>514</v>
      </c>
      <c r="P93" s="315">
        <v>1</v>
      </c>
      <c r="Q93" s="315" t="s">
        <v>515</v>
      </c>
      <c r="R93" s="316" t="s"/>
      <c r="S93" s="316" t="s"/>
      <c r="T93" s="315" t="s">
        <v>513</v>
      </c>
      <c r="U93" s="315" t="s">
        <v>514</v>
      </c>
      <c r="V93" s="315">
        <v>1</v>
      </c>
      <c r="W93" s="315" t="s">
        <v>515</v>
      </c>
      <c r="X93" s="263" t="s"/>
      <c r="Y93" s="263" t="s"/>
    </row>
    <row r="94" spans="1:25" ht="32" customHeight="true">
      <c r="A94" s="201">
        <v>27</v>
      </c>
      <c r="B94" s="283" t="s">
        <v>516</v>
      </c>
      <c r="C94" s="295">
        <f>=I94*J94/10000</f>
        <v>255.82576</v>
      </c>
      <c r="D94" s="295" t="s"/>
      <c r="E94" s="295" t="s"/>
      <c r="F94" s="295" t="s"/>
      <c r="G94" s="295">
        <f>=C94</f>
        <v>255.82576</v>
      </c>
      <c r="H94" s="201" t="s">
        <v>470</v>
      </c>
      <c r="I94" s="296">
        <v>63956.44</v>
      </c>
      <c r="J94" s="297">
        <v>40</v>
      </c>
      <c r="K94" s="312" t="s">
        <v>517</v>
      </c>
      <c r="L94" s="298" t="s"/>
      <c r="M94" s="263" t="s"/>
      <c r="N94" s="317" t="s">
        <v>516</v>
      </c>
      <c r="O94" s="317" t="s">
        <v>470</v>
      </c>
      <c r="P94" s="317">
        <v>63956.44</v>
      </c>
      <c r="Q94" s="317" t="s">
        <v>517</v>
      </c>
      <c r="R94" s="319" t="s"/>
      <c r="S94" s="316" t="s"/>
      <c r="T94" s="315" t="s">
        <v>516</v>
      </c>
      <c r="U94" s="315" t="s">
        <v>470</v>
      </c>
      <c r="V94" s="315">
        <v>63956.44</v>
      </c>
      <c r="W94" s="315" t="s">
        <v>517</v>
      </c>
      <c r="X94" s="263" t="s"/>
      <c r="Y94" s="263" t="s"/>
    </row>
    <row r="95" spans="1:25" ht="32" customHeight="true">
      <c r="A95" s="201">
        <v>28</v>
      </c>
      <c r="B95" s="283" t="s">
        <v>518</v>
      </c>
      <c r="C95" s="295">
        <f>=I95*J95/10000</f>
        <v>415.71686</v>
      </c>
      <c r="D95" s="295" t="s"/>
      <c r="E95" s="295" t="s"/>
      <c r="F95" s="295" t="s"/>
      <c r="G95" s="295">
        <f>=C95</f>
        <v>415.71686</v>
      </c>
      <c r="H95" s="201" t="s">
        <v>470</v>
      </c>
      <c r="I95" s="296">
        <v>63956.44</v>
      </c>
      <c r="J95" s="297">
        <v>65</v>
      </c>
      <c r="K95" s="312" t="s">
        <v>519</v>
      </c>
      <c r="L95" s="298" t="s"/>
      <c r="M95" s="263" t="s"/>
      <c r="N95" s="317" t="s">
        <v>518</v>
      </c>
      <c r="O95" s="317" t="s">
        <v>470</v>
      </c>
      <c r="P95" s="317">
        <v>63956.44</v>
      </c>
      <c r="Q95" s="317" t="s">
        <v>519</v>
      </c>
      <c r="R95" s="319" t="s"/>
      <c r="S95" s="316" t="s"/>
      <c r="T95" s="315" t="s">
        <v>518</v>
      </c>
      <c r="U95" s="315" t="s">
        <v>470</v>
      </c>
      <c r="V95" s="315">
        <v>63956.44</v>
      </c>
      <c r="W95" s="315" t="s">
        <v>519</v>
      </c>
      <c r="X95" s="263" t="s"/>
      <c r="Y95" s="263" t="s"/>
    </row>
    <row r="96" spans="1:25" ht="32" customHeight="true">
      <c r="A96" s="201" t="s"/>
      <c r="B96" s="283" t="s"/>
      <c r="C96" s="295" t="s"/>
      <c r="D96" s="295" t="s"/>
      <c r="E96" s="295" t="s"/>
      <c r="F96" s="295" t="s"/>
      <c r="G96" s="295" t="s"/>
      <c r="H96" s="201" t="s"/>
      <c r="I96" s="296" t="s"/>
      <c r="J96" s="297" t="s"/>
      <c r="K96" s="312" t="s"/>
      <c r="L96" s="298" t="s"/>
      <c r="M96" s="263" t="s"/>
      <c r="N96" s="315" t="s"/>
      <c r="O96" s="315" t="s"/>
      <c r="P96" s="315" t="s"/>
      <c r="Q96" s="315" t="s"/>
      <c r="R96" s="316" t="s"/>
      <c r="S96" s="316" t="s"/>
      <c r="T96" s="315" t="s"/>
      <c r="U96" s="315" t="s"/>
      <c r="V96" s="315" t="s"/>
      <c r="W96" s="315" t="s"/>
      <c r="X96" s="263" t="s"/>
      <c r="Y96" s="263" t="s"/>
    </row>
    <row r="97" spans="1:25" ht="32" customHeight="true">
      <c r="A97" s="323" t="s">
        <v>520</v>
      </c>
      <c r="B97" s="280" t="s">
        <v>521</v>
      </c>
      <c r="C97" s="268" t="s"/>
      <c r="D97" s="268" t="s"/>
      <c r="E97" s="268" t="s"/>
      <c r="F97" s="324" t="e">
        <f>=SUM(F98:F117)-F100</f>
        <v>#VALUE!</v>
      </c>
      <c r="G97" s="324" t="e">
        <f>=F97</f>
        <v>#VALUE!</v>
      </c>
      <c r="H97" s="280" t="s">
        <v>2525</v>
      </c>
      <c r="I97" s="281">
        <v>100000</v>
      </c>
      <c r="J97" s="282" t="e">
        <f>=G97/I97*10000</f>
        <v>#VALUE!</v>
      </c>
      <c r="K97" s="325" t="s"/>
      <c r="L97" s="263" t="s"/>
      <c r="M97" s="263" t="s"/>
      <c r="N97" s="263" t="s"/>
      <c r="O97" s="263" t="s"/>
      <c r="P97" s="263" t="s"/>
      <c r="Q97" s="263" t="s"/>
      <c r="R97" s="263" t="s"/>
      <c r="S97" s="263" t="s"/>
      <c r="T97" s="315" t="s"/>
      <c r="U97" s="315" t="s"/>
      <c r="V97" s="315" t="s"/>
      <c r="W97" s="315" t="s"/>
      <c r="X97" s="263" t="s"/>
      <c r="Y97" s="263" t="s"/>
    </row>
    <row r="98" spans="1:25" ht="32" customHeight="true">
      <c r="A98" s="326" t="s">
        <v>522</v>
      </c>
      <c r="B98" s="327" t="s">
        <v>523</v>
      </c>
      <c r="C98" s="268" t="s"/>
      <c r="D98" s="268" t="s"/>
      <c r="E98" s="268" t="s"/>
      <c r="F98" s="296" t="e">
        <f>=#REF!F20</f>
        <v>#VALUE!</v>
      </c>
      <c r="G98" s="296" t="e">
        <f>=F98</f>
        <v>#VALUE!</v>
      </c>
      <c r="H98" s="328" t="s"/>
      <c r="I98" s="328" t="s"/>
      <c r="J98" s="325" t="s"/>
      <c r="K98" s="325" t="s"/>
      <c r="L98" s="329">
        <v>284.60115552679</v>
      </c>
      <c r="M98" s="263" t="s"/>
      <c r="N98" s="263" t="s"/>
      <c r="O98" s="263" t="s"/>
      <c r="P98" s="263" t="s"/>
      <c r="Q98" s="263" t="s"/>
      <c r="R98" s="263" t="s"/>
      <c r="S98" s="263" t="s"/>
      <c r="T98" s="263" t="s"/>
      <c r="U98" s="263" t="s"/>
      <c r="V98" s="263" t="s"/>
      <c r="W98" s="263" t="s"/>
      <c r="X98" s="263" t="s"/>
      <c r="Y98" s="263" t="s"/>
    </row>
    <row r="99" spans="1:25" ht="32" customHeight="true">
      <c r="A99" s="326" t="s">
        <v>524</v>
      </c>
      <c r="B99" s="327" t="s">
        <v>525</v>
      </c>
      <c r="C99" s="268" t="s"/>
      <c r="D99" s="268" t="s"/>
      <c r="E99" s="268" t="s"/>
      <c r="F99" s="296" t="e">
        <f>=#REF!I19*0.8</f>
        <v>#VALUE!</v>
      </c>
      <c r="G99" s="296" t="e">
        <f>=F99</f>
        <v>#VALUE!</v>
      </c>
      <c r="H99" s="270" t="s"/>
      <c r="I99" s="270" t="s"/>
      <c r="J99" s="330" t="s"/>
      <c r="K99" s="330" t="s"/>
      <c r="L99" s="263" t="s"/>
      <c r="M99" s="263" t="s"/>
      <c r="N99" s="263" t="s"/>
      <c r="O99" s="263" t="s"/>
      <c r="P99" s="263" t="s"/>
      <c r="Q99" s="263" t="s"/>
      <c r="R99" s="263" t="s"/>
      <c r="S99" s="263" t="s"/>
      <c r="T99" s="263" t="s"/>
      <c r="U99" s="263" t="s"/>
      <c r="V99" s="263" t="s"/>
      <c r="W99" s="263" t="s"/>
      <c r="X99" s="263" t="s"/>
      <c r="Y99" s="263" t="s"/>
    </row>
    <row r="100" spans="1:25" ht="32" customHeight="true">
      <c r="A100" s="326" t="s">
        <v>526</v>
      </c>
      <c r="B100" s="327" t="s">
        <v>527</v>
      </c>
      <c r="C100" s="268" t="s"/>
      <c r="D100" s="268" t="s"/>
      <c r="E100" s="268" t="s"/>
      <c r="F100" s="296" t="e">
        <f>=SUM(F101)</f>
        <v>#VALUE!</v>
      </c>
      <c r="G100" s="296" t="e">
        <f>=F100</f>
        <v>#VALUE!</v>
      </c>
      <c r="H100" s="328" t="s"/>
      <c r="I100" s="328" t="s"/>
      <c r="J100" s="325" t="s"/>
      <c r="K100" s="325" t="s"/>
      <c r="L100" s="263" t="s"/>
      <c r="M100" s="263" t="s"/>
      <c r="N100" s="263" t="s"/>
      <c r="O100" s="263" t="s"/>
      <c r="P100" s="263" t="s"/>
      <c r="Q100" s="263" t="s"/>
      <c r="R100" s="263" t="s"/>
      <c r="S100" s="263" t="s"/>
      <c r="T100" s="263" t="s"/>
      <c r="U100" s="263" t="s"/>
      <c r="V100" s="263" t="s"/>
      <c r="W100" s="263" t="s"/>
      <c r="X100" s="263" t="s"/>
      <c r="Y100" s="263" t="s"/>
    </row>
    <row r="101" spans="1:25" ht="32" customHeight="true">
      <c r="A101" s="326" t="s">
        <v>528</v>
      </c>
      <c r="B101" s="327" t="s">
        <v>529</v>
      </c>
      <c r="C101" s="268" t="s"/>
      <c r="D101" s="268" t="s"/>
      <c r="E101" s="268" t="s"/>
      <c r="F101" s="296" t="e">
        <f>=#REF!D21</f>
        <v>#VALUE!</v>
      </c>
      <c r="G101" s="296" t="e">
        <f>=F101</f>
        <v>#VALUE!</v>
      </c>
      <c r="H101" s="328" t="s"/>
      <c r="I101" s="328" t="s"/>
      <c r="J101" s="325" t="s"/>
      <c r="K101" s="325" t="s"/>
      <c r="L101" s="263" t="s"/>
      <c r="M101" s="263" t="s"/>
      <c r="N101" s="263" t="s"/>
      <c r="O101" s="263" t="s"/>
      <c r="P101" s="263" t="s"/>
      <c r="Q101" s="263" t="s"/>
      <c r="R101" s="263" t="s"/>
      <c r="S101" s="263" t="s"/>
      <c r="T101" s="263" t="s"/>
      <c r="U101" s="263" t="s"/>
      <c r="V101" s="263" t="s"/>
      <c r="W101" s="263" t="s"/>
      <c r="X101" s="263" t="s"/>
      <c r="Y101" s="263" t="s"/>
    </row>
    <row r="102" spans="1:25" ht="32" customHeight="true">
      <c r="A102" s="326" t="s">
        <v>530</v>
      </c>
      <c r="B102" s="327" t="s">
        <v>531</v>
      </c>
      <c r="C102" s="268" t="s"/>
      <c r="D102" s="268" t="s"/>
      <c r="E102" s="268" t="s"/>
      <c r="F102" s="296" t="e">
        <f>=G4*0.008</f>
        <v>#VALUE!</v>
      </c>
      <c r="G102" s="296" t="e">
        <f>=F102</f>
        <v>#VALUE!</v>
      </c>
      <c r="H102" s="328" t="s"/>
      <c r="I102" s="328" t="s"/>
      <c r="J102" s="325" t="s"/>
      <c r="K102" s="325" t="s"/>
      <c r="L102" s="331">
        <v>581.6</v>
      </c>
      <c r="M102" s="263" t="s"/>
      <c r="N102" s="263">
        <v>304.8</v>
      </c>
      <c r="O102" s="263" t="s"/>
      <c r="P102" s="263" t="s"/>
      <c r="Q102" s="263" t="s"/>
      <c r="R102" s="263" t="s"/>
      <c r="S102" s="263" t="s"/>
      <c r="T102" s="263" t="s"/>
      <c r="U102" s="263" t="s"/>
      <c r="V102" s="263" t="s"/>
      <c r="W102" s="263" t="s"/>
      <c r="X102" s="263" t="s"/>
      <c r="Y102" s="263" t="s"/>
    </row>
    <row r="103" spans="1:25" ht="32" customHeight="true">
      <c r="A103" s="326" t="s">
        <v>532</v>
      </c>
      <c r="B103" s="327" t="s">
        <v>533</v>
      </c>
      <c r="C103" s="268" t="s"/>
      <c r="D103" s="268" t="s"/>
      <c r="E103" s="268" t="s"/>
      <c r="F103" s="296" t="e">
        <f>=#REF!I19*1.18</f>
        <v>#VALUE!</v>
      </c>
      <c r="G103" s="296" t="e">
        <f>=F103</f>
        <v>#VALUE!</v>
      </c>
      <c r="H103" s="328" t="s"/>
      <c r="I103" s="328" t="s"/>
      <c r="J103" s="325" t="s"/>
      <c r="K103" s="325" t="s"/>
      <c r="L103" s="331">
        <v>2439.5</v>
      </c>
      <c r="M103" s="263">
        <f>=L103*1.1</f>
        <v>2683.45</v>
      </c>
      <c r="N103" s="263">
        <v>566.8</v>
      </c>
      <c r="O103" s="263" t="s"/>
      <c r="P103" s="263" t="s"/>
      <c r="Q103" s="263" t="s"/>
      <c r="R103" s="263" t="s"/>
      <c r="S103" s="263" t="s"/>
      <c r="T103" s="263" t="s"/>
      <c r="U103" s="263" t="s"/>
      <c r="V103" s="263" t="s"/>
      <c r="W103" s="263" t="s"/>
      <c r="X103" s="263" t="s"/>
      <c r="Y103" s="263" t="s"/>
    </row>
    <row r="104" spans="1:25" ht="32" customHeight="true">
      <c r="A104" s="326" t="s">
        <v>534</v>
      </c>
      <c r="B104" s="327" t="s">
        <v>535</v>
      </c>
      <c r="C104" s="268" t="s"/>
      <c r="D104" s="268" t="s"/>
      <c r="E104" s="268" t="s"/>
      <c r="F104" s="296" t="e">
        <f>=(F102+F103)*0.065</f>
        <v>#VALUE!</v>
      </c>
      <c r="G104" s="296" t="e">
        <f>=F104</f>
        <v>#VALUE!</v>
      </c>
      <c r="H104" s="270" t="s"/>
      <c r="I104" s="270" t="s"/>
      <c r="J104" s="330" t="s"/>
      <c r="K104" s="330" t="s"/>
      <c r="L104" s="263">
        <f>=(L102+L103)*6.5/100</f>
        <v>196.3715</v>
      </c>
      <c r="M104" s="263" t="s"/>
      <c r="N104" s="263" t="e">
        <f>=(F102+357.11)*6.5/100</f>
        <v>#VALUE!</v>
      </c>
      <c r="O104" s="263" t="s"/>
      <c r="P104" s="263" t="e">
        <f>=(((566.8-304.8)/(2-1)*(G4/10000-1)+304.8)*1*1.15*1)</f>
        <v>#VALUE!</v>
      </c>
      <c r="Q104" s="263" t="e">
        <f>=P104*0.8</f>
        <v>#VALUE!</v>
      </c>
      <c r="R104" s="263" t="s"/>
      <c r="S104" s="263" t="s"/>
      <c r="T104" s="263" t="s"/>
      <c r="U104" s="263" t="s"/>
      <c r="V104" s="263" t="s"/>
      <c r="W104" s="263" t="s"/>
      <c r="X104" s="263" t="s"/>
      <c r="Y104" s="263" t="s"/>
    </row>
    <row r="105" spans="1:25" ht="32" customHeight="true">
      <c r="A105" s="326" t="s">
        <v>536</v>
      </c>
      <c r="B105" s="327" t="s">
        <v>537</v>
      </c>
      <c r="C105" s="268" t="s"/>
      <c r="D105" s="268" t="s"/>
      <c r="E105" s="268" t="s"/>
      <c r="F105" s="296" t="e">
        <f>=#REF!E11</f>
        <v>#VALUE!</v>
      </c>
      <c r="G105" s="296" t="e">
        <f>=F105</f>
        <v>#VALUE!</v>
      </c>
      <c r="H105" s="270" t="s"/>
      <c r="I105" s="270" t="s"/>
      <c r="J105" s="330" t="s"/>
      <c r="K105" s="330" t="s"/>
      <c r="L105" s="263" t="s"/>
      <c r="M105" s="263" t="s"/>
      <c r="N105" s="263" t="s"/>
      <c r="O105" s="263" t="s"/>
      <c r="P105" s="263" t="e">
        <f>=P104*0.1</f>
        <v>#VALUE!</v>
      </c>
      <c r="Q105" s="263" t="e">
        <f>=P104+Q104</f>
        <v>#VALUE!</v>
      </c>
      <c r="R105" s="263" t="s"/>
      <c r="S105" s="263" t="s"/>
      <c r="T105" s="263" t="s"/>
      <c r="U105" s="263" t="s"/>
      <c r="V105" s="263" t="s"/>
      <c r="W105" s="263" t="s"/>
      <c r="X105" s="263" t="s"/>
      <c r="Y105" s="263" t="s"/>
    </row>
    <row r="106" spans="1:25" ht="32" customHeight="true">
      <c r="A106" s="326" t="s">
        <v>538</v>
      </c>
      <c r="B106" s="327" t="s">
        <v>539</v>
      </c>
      <c r="C106" s="268" t="s"/>
      <c r="D106" s="268" t="s"/>
      <c r="E106" s="268" t="s"/>
      <c r="F106" s="296" t="e">
        <f>=0.5%*G4</f>
        <v>#VALUE!</v>
      </c>
      <c r="G106" s="296" t="e">
        <f>=F106</f>
        <v>#VALUE!</v>
      </c>
      <c r="H106" s="270" t="s"/>
      <c r="I106" s="270" t="s"/>
      <c r="J106" s="330" t="s"/>
      <c r="K106" s="330" t="s"/>
      <c r="L106" s="263" t="s"/>
      <c r="M106" s="263" t="s"/>
      <c r="N106" s="263" t="s"/>
      <c r="O106" s="263" t="s"/>
      <c r="P106" s="263" t="e">
        <f>=P104+P105</f>
        <v>#VALUE!</v>
      </c>
      <c r="Q106" s="263" t="e">
        <f>=Q105*6.5/100</f>
        <v>#VALUE!</v>
      </c>
      <c r="R106" s="263" t="s"/>
      <c r="S106" s="263" t="s"/>
      <c r="T106" s="263" t="s"/>
      <c r="U106" s="263" t="s"/>
      <c r="V106" s="263" t="s"/>
      <c r="W106" s="263" t="s"/>
      <c r="X106" s="263" t="s"/>
      <c r="Y106" s="263" t="s"/>
    </row>
    <row r="107" spans="1:25" ht="32" customHeight="true">
      <c r="A107" s="326" t="s">
        <v>540</v>
      </c>
      <c r="B107" s="327" t="s">
        <v>541</v>
      </c>
      <c r="C107" s="268" t="s"/>
      <c r="D107" s="268" t="s"/>
      <c r="E107" s="268" t="s"/>
      <c r="F107" s="296" t="e">
        <f>=0.3%*G4</f>
        <v>#VALUE!</v>
      </c>
      <c r="G107" s="296" t="e">
        <f>=F107</f>
        <v>#VALUE!</v>
      </c>
      <c r="H107" s="270" t="s"/>
      <c r="I107" s="270" t="s"/>
      <c r="J107" s="330" t="s"/>
      <c r="K107" s="330" t="s"/>
      <c r="L107" s="263" t="s"/>
      <c r="M107" s="263" t="s"/>
      <c r="N107" s="263" t="s"/>
      <c r="O107" s="263" t="s"/>
      <c r="P107" s="263" t="s"/>
      <c r="Q107" s="263" t="s"/>
      <c r="R107" s="263" t="s"/>
      <c r="S107" s="263" t="s"/>
      <c r="T107" s="263" t="s"/>
      <c r="U107" s="263" t="s"/>
      <c r="V107" s="263" t="s"/>
      <c r="W107" s="263" t="s"/>
      <c r="X107" s="263" t="s"/>
      <c r="Y107" s="263" t="s"/>
    </row>
    <row r="108" spans="1:25" ht="32" customHeight="true">
      <c r="A108" s="326" t="s">
        <v>542</v>
      </c>
      <c r="B108" s="327" t="s">
        <v>543</v>
      </c>
      <c r="C108" s="268" t="s"/>
      <c r="D108" s="268" t="s"/>
      <c r="E108" s="268" t="s"/>
      <c r="F108" s="296">
        <f>=((104-95)/(5-4)*(C4/10000-4)+95)*0.8</f>
        <v>77.428376291668</v>
      </c>
      <c r="G108" s="296">
        <f>=F108</f>
        <v>77.428376291668</v>
      </c>
      <c r="H108" s="270" t="s"/>
      <c r="I108" s="270" t="s"/>
      <c r="J108" s="330" t="s"/>
      <c r="K108" s="330" t="s"/>
      <c r="L108" s="263" t="s"/>
      <c r="M108" s="263" t="s"/>
      <c r="N108" s="263" t="s"/>
      <c r="O108" s="263" t="s"/>
      <c r="P108" s="263" t="s"/>
      <c r="Q108" s="263" t="s"/>
      <c r="R108" s="263" t="s"/>
      <c r="S108" s="263" t="s"/>
      <c r="T108" s="263" t="s"/>
      <c r="U108" s="263" t="s"/>
      <c r="V108" s="263" t="s"/>
      <c r="W108" s="263" t="s"/>
      <c r="X108" s="263" t="s"/>
      <c r="Y108" s="263" t="s"/>
    </row>
    <row r="109" spans="1:25" ht="32" customHeight="true">
      <c r="A109" s="326" t="s">
        <v>544</v>
      </c>
      <c r="B109" s="327" t="s">
        <v>545</v>
      </c>
      <c r="C109" s="268" t="s"/>
      <c r="D109" s="268" t="s"/>
      <c r="E109" s="268" t="s"/>
      <c r="F109" s="296" t="e">
        <f>=#REF!H18</f>
        <v>#VALUE!</v>
      </c>
      <c r="G109" s="296" t="e">
        <f>=F109</f>
        <v>#VALUE!</v>
      </c>
      <c r="H109" s="328" t="s"/>
      <c r="I109" s="328" t="s"/>
      <c r="J109" s="325" t="s"/>
      <c r="K109" s="325" t="s"/>
      <c r="L109" s="263" t="s"/>
      <c r="M109" s="263" t="s"/>
      <c r="N109" s="263" t="s"/>
      <c r="O109" s="263" t="s"/>
      <c r="P109" s="263" t="s"/>
      <c r="Q109" s="263" t="s"/>
      <c r="R109" s="263" t="s"/>
      <c r="S109" s="263" t="s"/>
      <c r="T109" s="263" t="s"/>
      <c r="U109" s="263" t="s"/>
      <c r="V109" s="263" t="s"/>
      <c r="W109" s="263" t="s"/>
      <c r="X109" s="263" t="s"/>
      <c r="Y109" s="263" t="s"/>
    </row>
    <row r="110" spans="1:25" ht="32" customHeight="true">
      <c r="A110" s="326" t="s">
        <v>546</v>
      </c>
      <c r="B110" s="327" t="s">
        <v>547</v>
      </c>
      <c r="C110" s="268" t="s"/>
      <c r="D110" s="268" t="s"/>
      <c r="E110" s="268" t="s"/>
      <c r="F110" s="296" t="e">
        <f>=(C4+E4)*2%</f>
        <v>#VALUE!</v>
      </c>
      <c r="G110" s="296" t="e">
        <f>=F110</f>
        <v>#VALUE!</v>
      </c>
      <c r="H110" s="270" t="s"/>
      <c r="I110" s="270" t="s"/>
      <c r="J110" s="330" t="s"/>
      <c r="K110" s="330" t="s"/>
      <c r="L110" s="263" t="s"/>
      <c r="M110" s="263" t="s"/>
      <c r="N110" s="263" t="s"/>
      <c r="O110" s="263" t="s"/>
      <c r="P110" s="263" t="s"/>
      <c r="Q110" s="263" t="s"/>
      <c r="R110" s="263" t="s"/>
      <c r="S110" s="263" t="s"/>
      <c r="T110" s="263" t="s"/>
      <c r="U110" s="263" t="s"/>
      <c r="V110" s="263" t="s"/>
      <c r="W110" s="263" t="s"/>
      <c r="X110" s="263" t="s"/>
      <c r="Y110" s="263" t="s"/>
    </row>
    <row r="111" spans="1:25" ht="32" customHeight="true">
      <c r="A111" s="326" t="s">
        <v>548</v>
      </c>
      <c r="B111" s="327" t="s">
        <v>549</v>
      </c>
      <c r="C111" s="268" t="s"/>
      <c r="D111" s="268" t="s"/>
      <c r="E111" s="268" t="s"/>
      <c r="F111" s="296">
        <v>25</v>
      </c>
      <c r="G111" s="296">
        <f>=F111</f>
        <v>25</v>
      </c>
      <c r="H111" s="270" t="s"/>
      <c r="I111" s="270" t="s"/>
      <c r="J111" s="330" t="s"/>
      <c r="K111" s="330" t="s"/>
      <c r="L111" s="263" t="s"/>
      <c r="M111" s="263" t="s"/>
      <c r="N111" s="263" t="s"/>
      <c r="O111" s="263" t="s"/>
      <c r="P111" s="263" t="s"/>
      <c r="Q111" s="263" t="s"/>
      <c r="R111" s="263" t="s"/>
      <c r="S111" s="263" t="s"/>
      <c r="T111" s="263" t="s"/>
      <c r="U111" s="263" t="s"/>
      <c r="V111" s="263" t="s"/>
      <c r="W111" s="263" t="s"/>
      <c r="X111" s="263" t="s"/>
      <c r="Y111" s="263" t="s"/>
    </row>
    <row r="112" spans="1:25" ht="32" customHeight="true">
      <c r="A112" s="326" t="s">
        <v>550</v>
      </c>
      <c r="B112" s="327" t="s">
        <v>551</v>
      </c>
      <c r="C112" s="268" t="s"/>
      <c r="D112" s="268" t="s"/>
      <c r="E112" s="268" t="s"/>
      <c r="F112" s="296" t="e">
        <f>=D4*0.01</f>
        <v>#VALUE!</v>
      </c>
      <c r="G112" s="296" t="e">
        <f>=F112</f>
        <v>#VALUE!</v>
      </c>
      <c r="H112" s="270" t="s"/>
      <c r="I112" s="270" t="s"/>
      <c r="J112" s="330" t="s"/>
      <c r="K112" s="330" t="s"/>
      <c r="L112" s="263" t="s"/>
      <c r="M112" s="263" t="s"/>
      <c r="N112" s="263" t="s"/>
      <c r="O112" s="263" t="s"/>
      <c r="P112" s="263" t="s"/>
      <c r="Q112" s="263" t="s"/>
      <c r="R112" s="263" t="s"/>
      <c r="S112" s="263" t="s"/>
      <c r="T112" s="263" t="s"/>
      <c r="U112" s="263" t="s"/>
      <c r="V112" s="263" t="s"/>
      <c r="W112" s="263" t="s"/>
      <c r="X112" s="263" t="s"/>
      <c r="Y112" s="263" t="s"/>
    </row>
    <row r="113" spans="1:25" ht="32" customHeight="true">
      <c r="A113" s="326" t="s">
        <v>552</v>
      </c>
      <c r="B113" s="327" t="s">
        <v>553</v>
      </c>
      <c r="C113" s="268" t="s"/>
      <c r="D113" s="268" t="s"/>
      <c r="E113" s="268" t="s"/>
      <c r="F113" s="296">
        <f>=40*0.6*5</f>
        <v>120</v>
      </c>
      <c r="G113" s="296">
        <f>=F113</f>
        <v>120</v>
      </c>
      <c r="H113" s="270" t="s"/>
      <c r="I113" s="270" t="s"/>
      <c r="J113" s="330" t="s"/>
      <c r="K113" s="330" t="s"/>
      <c r="L113" s="263" t="s"/>
      <c r="M113" s="263" t="s"/>
      <c r="N113" s="263" t="s"/>
      <c r="O113" s="263" t="s"/>
      <c r="P113" s="263" t="s"/>
      <c r="Q113" s="263" t="s"/>
      <c r="R113" s="263" t="s"/>
      <c r="S113" s="263" t="s"/>
      <c r="T113" s="263" t="s"/>
      <c r="U113" s="263" t="s"/>
      <c r="V113" s="263" t="s"/>
      <c r="W113" s="263" t="s"/>
      <c r="X113" s="263" t="s"/>
      <c r="Y113" s="263" t="s"/>
    </row>
    <row r="114" spans="1:25" ht="32" customHeight="true">
      <c r="A114" s="326" t="s">
        <v>554</v>
      </c>
      <c r="B114" s="327" t="s">
        <v>555</v>
      </c>
      <c r="C114" s="268" t="s"/>
      <c r="D114" s="268" t="s"/>
      <c r="E114" s="268" t="s"/>
      <c r="F114" s="296">
        <f>=40*0.2</f>
        <v>8</v>
      </c>
      <c r="G114" s="296">
        <f>=F114</f>
        <v>8</v>
      </c>
      <c r="H114" s="270" t="s"/>
      <c r="I114" s="270" t="s"/>
      <c r="J114" s="330" t="s"/>
      <c r="K114" s="330" t="s"/>
      <c r="L114" s="263" t="s"/>
      <c r="M114" s="263" t="s"/>
      <c r="N114" s="263" t="s"/>
      <c r="O114" s="263" t="s"/>
      <c r="P114" s="263" t="s"/>
      <c r="Q114" s="263" t="s"/>
      <c r="R114" s="263" t="s"/>
      <c r="S114" s="263" t="s"/>
      <c r="T114" s="263" t="s"/>
      <c r="U114" s="263" t="s"/>
      <c r="V114" s="263" t="s"/>
      <c r="W114" s="263" t="s"/>
      <c r="X114" s="263" t="s"/>
      <c r="Y114" s="263" t="s"/>
    </row>
    <row r="115" spans="1:25" ht="32" customHeight="true">
      <c r="A115" s="326" t="s">
        <v>556</v>
      </c>
      <c r="B115" s="327" t="s">
        <v>557</v>
      </c>
      <c r="C115" s="268" t="s"/>
      <c r="D115" s="268" t="s"/>
      <c r="E115" s="268" t="s"/>
      <c r="F115" s="296">
        <v>8</v>
      </c>
      <c r="G115" s="296">
        <f>=F115</f>
        <v>8</v>
      </c>
      <c r="H115" s="270" t="s"/>
      <c r="I115" s="270" t="s"/>
      <c r="J115" s="330" t="s"/>
      <c r="K115" s="330" t="s"/>
      <c r="L115" s="263" t="s"/>
      <c r="M115" s="263" t="s"/>
      <c r="N115" s="263" t="s"/>
      <c r="O115" s="263" t="s"/>
      <c r="P115" s="263" t="s"/>
      <c r="Q115" s="263" t="s"/>
      <c r="R115" s="263" t="s"/>
      <c r="S115" s="263" t="s"/>
      <c r="T115" s="263" t="s"/>
      <c r="U115" s="263" t="s"/>
      <c r="V115" s="263" t="s"/>
      <c r="W115" s="263" t="s"/>
      <c r="X115" s="263" t="s"/>
      <c r="Y115" s="263" t="s"/>
    </row>
    <row r="116" spans="1:25" ht="32" customHeight="true">
      <c r="A116" s="326" t="s">
        <v>558</v>
      </c>
      <c r="B116" s="327" t="s">
        <v>559</v>
      </c>
      <c r="C116" s="268" t="s"/>
      <c r="D116" s="268" t="s"/>
      <c r="E116" s="268" t="s"/>
      <c r="F116" s="296">
        <f>=I116*J116/10000</f>
        <v>42</v>
      </c>
      <c r="G116" s="296">
        <f>=F116</f>
        <v>42</v>
      </c>
      <c r="H116" s="270" t="s">
        <v>560</v>
      </c>
      <c r="I116" s="270">
        <v>2500</v>
      </c>
      <c r="J116" s="330">
        <v>168</v>
      </c>
      <c r="K116" s="330" t="s"/>
      <c r="L116" s="263" t="s"/>
      <c r="M116" s="263" t="s"/>
      <c r="N116" s="263" t="s"/>
      <c r="O116" s="263" t="s"/>
      <c r="P116" s="263" t="s"/>
      <c r="Q116" s="263" t="s"/>
      <c r="R116" s="263" t="s"/>
      <c r="S116" s="263" t="s"/>
      <c r="T116" s="263" t="s"/>
      <c r="U116" s="263" t="s"/>
      <c r="V116" s="263" t="s"/>
      <c r="W116" s="263" t="s"/>
      <c r="X116" s="263" t="s"/>
      <c r="Y116" s="263" t="s"/>
    </row>
    <row r="117" spans="1:25" ht="32" customHeight="true">
      <c r="A117" s="326" t="s">
        <v>561</v>
      </c>
      <c r="B117" s="327" t="s">
        <v>562</v>
      </c>
      <c r="C117" s="268" t="s"/>
      <c r="D117" s="268" t="s"/>
      <c r="E117" s="268" t="s"/>
      <c r="F117" s="296">
        <v>20</v>
      </c>
      <c r="G117" s="296">
        <f>=F117</f>
        <v>20</v>
      </c>
      <c r="H117" s="270" t="s"/>
      <c r="I117" s="270" t="s"/>
      <c r="J117" s="330" t="s"/>
      <c r="K117" s="330" t="s"/>
      <c r="L117" s="263" t="s"/>
      <c r="M117" s="263" t="s"/>
      <c r="N117" s="263" t="s"/>
      <c r="O117" s="263" t="s"/>
      <c r="P117" s="263" t="s"/>
      <c r="Q117" s="263" t="s"/>
      <c r="R117" s="263" t="s"/>
      <c r="S117" s="263" t="s"/>
      <c r="T117" s="263" t="s"/>
      <c r="U117" s="263" t="s"/>
      <c r="V117" s="263" t="s"/>
      <c r="W117" s="263" t="s"/>
      <c r="X117" s="263" t="s"/>
      <c r="Y117" s="263" t="s"/>
    </row>
    <row r="118" spans="1:25" ht="32" customHeight="true">
      <c r="A118" s="323" t="s"/>
      <c r="B118" s="332" t="s">
        <v>563</v>
      </c>
      <c r="C118" s="279">
        <f>=C97+C4</f>
        <v>41983.85596065</v>
      </c>
      <c r="D118" s="279" t="e">
        <f>=D97+D4</f>
        <v>#VALUE!</v>
      </c>
      <c r="E118" s="279" t="e">
        <f>=E97+E4</f>
        <v>#VALUE!</v>
      </c>
      <c r="F118" s="279" t="e">
        <f>=F97+F4</f>
        <v>#VALUE!</v>
      </c>
      <c r="G118" s="279" t="e">
        <f>=SUM(C118:F118)</f>
        <v>#VALUE!</v>
      </c>
      <c r="H118" s="328" t="s"/>
      <c r="I118" s="328" t="s"/>
      <c r="J118" s="325" t="s"/>
      <c r="K118" s="325" t="s"/>
      <c r="L118" s="263" t="s"/>
      <c r="M118" s="263" t="s"/>
      <c r="N118" s="263" t="s"/>
      <c r="O118" s="263" t="s"/>
      <c r="P118" s="263" t="s"/>
      <c r="Q118" s="263" t="s"/>
      <c r="R118" s="263" t="s"/>
      <c r="S118" s="263" t="s"/>
      <c r="T118" s="263" t="s"/>
      <c r="U118" s="263" t="s"/>
      <c r="V118" s="263" t="s"/>
      <c r="W118" s="263" t="s"/>
      <c r="X118" s="263" t="s"/>
      <c r="Y118" s="263" t="s"/>
    </row>
    <row r="119" spans="1:25" ht="32" customHeight="true">
      <c r="A119" s="326" t="s"/>
      <c r="B119" s="327" t="s"/>
      <c r="C119" s="268" t="s"/>
      <c r="D119" s="268" t="s"/>
      <c r="E119" s="268" t="s"/>
      <c r="F119" s="296" t="s"/>
      <c r="G119" s="296" t="s"/>
      <c r="H119" s="270" t="s"/>
      <c r="I119" s="270" t="s"/>
      <c r="J119" s="330" t="s"/>
      <c r="K119" s="330" t="s"/>
      <c r="L119" s="263" t="s"/>
      <c r="M119" s="263" t="s"/>
      <c r="N119" s="263" t="s"/>
      <c r="O119" s="263" t="s"/>
      <c r="P119" s="263" t="s"/>
      <c r="Q119" s="263" t="s"/>
      <c r="R119" s="263" t="s"/>
      <c r="S119" s="263" t="s"/>
      <c r="T119" s="263" t="s"/>
      <c r="U119" s="263" t="s"/>
      <c r="V119" s="263" t="s"/>
      <c r="W119" s="263" t="s"/>
      <c r="X119" s="263" t="s"/>
      <c r="Y119" s="263" t="s"/>
    </row>
    <row r="120" spans="1:25" ht="32" customHeight="true">
      <c r="A120" s="323" t="s">
        <v>564</v>
      </c>
      <c r="B120" s="280" t="s">
        <v>565</v>
      </c>
      <c r="C120" s="268" t="s"/>
      <c r="D120" s="268" t="s"/>
      <c r="E120" s="268" t="s"/>
      <c r="F120" s="328" t="s"/>
      <c r="G120" s="328" t="e">
        <f>=G121</f>
        <v>#VALUE!</v>
      </c>
      <c r="H120" s="280" t="s">
        <v>2525</v>
      </c>
      <c r="I120" s="281">
        <v>100000</v>
      </c>
      <c r="J120" s="282" t="e">
        <f>=G120/I120*10000</f>
        <v>#VALUE!</v>
      </c>
      <c r="K120" s="325" t="s"/>
      <c r="L120" s="263" t="s"/>
      <c r="M120" s="263" t="s"/>
      <c r="N120" s="263" t="s"/>
      <c r="O120" s="263" t="s"/>
      <c r="P120" s="263" t="s"/>
      <c r="Q120" s="263" t="s"/>
      <c r="R120" s="263" t="s"/>
      <c r="S120" s="263" t="s"/>
      <c r="T120" s="263" t="s"/>
      <c r="U120" s="263" t="s"/>
      <c r="V120" s="263" t="s"/>
      <c r="W120" s="263" t="s"/>
      <c r="X120" s="263" t="s"/>
      <c r="Y120" s="263" t="s"/>
    </row>
    <row r="121" spans="1:25" ht="32" customHeight="true">
      <c r="A121" s="326" t="s">
        <v>522</v>
      </c>
      <c r="B121" s="327" t="s">
        <v>2535</v>
      </c>
      <c r="C121" s="268" t="s"/>
      <c r="D121" s="268" t="s"/>
      <c r="E121" s="268" t="s"/>
      <c r="F121" s="270" t="s"/>
      <c r="G121" s="270" t="e">
        <f>=(G4+G97)*0.05</f>
        <v>#VALUE!</v>
      </c>
      <c r="H121" s="270" t="s"/>
      <c r="I121" s="270" t="s"/>
      <c r="J121" s="330" t="s"/>
      <c r="K121" s="330" t="s"/>
      <c r="L121" s="275" t="e">
        <f>=G118-#REF!</f>
        <v>#REF!</v>
      </c>
      <c r="M121" s="263" t="s"/>
      <c r="N121" s="263" t="s"/>
      <c r="O121" s="263" t="s"/>
      <c r="P121" s="263" t="s"/>
      <c r="Q121" s="263" t="s"/>
      <c r="R121" s="263" t="s"/>
      <c r="S121" s="263" t="s"/>
      <c r="T121" s="263" t="s"/>
      <c r="U121" s="263" t="s"/>
      <c r="V121" s="263" t="s"/>
      <c r="W121" s="263" t="s"/>
      <c r="X121" s="263" t="s"/>
      <c r="Y121" s="263" t="s"/>
    </row>
    <row r="122" spans="1:25" ht="32" customHeight="true">
      <c r="A122" s="326" t="s"/>
      <c r="B122" s="327" t="s"/>
      <c r="C122" s="268" t="s"/>
      <c r="D122" s="268" t="s"/>
      <c r="E122" s="268" t="s"/>
      <c r="F122" s="270" t="s"/>
      <c r="G122" s="270" t="s"/>
      <c r="H122" s="270" t="s"/>
      <c r="I122" s="270" t="s"/>
      <c r="J122" s="330" t="s"/>
      <c r="K122" s="330" t="s"/>
      <c r="L122" s="275" t="s"/>
      <c r="M122" s="263" t="s"/>
      <c r="N122" s="263" t="s"/>
      <c r="O122" s="263" t="s"/>
      <c r="P122" s="263" t="s"/>
      <c r="Q122" s="263" t="s"/>
      <c r="R122" s="263" t="s"/>
      <c r="S122" s="263" t="s"/>
      <c r="T122" s="263" t="s"/>
      <c r="U122" s="263" t="s"/>
      <c r="V122" s="263" t="s"/>
      <c r="W122" s="263" t="s"/>
      <c r="X122" s="263" t="s"/>
      <c r="Y122" s="263" t="s"/>
    </row>
    <row r="123" spans="1:25" ht="32" customHeight="true">
      <c r="A123" s="323" t="s">
        <v>566</v>
      </c>
      <c r="B123" s="280" t="s">
        <v>567</v>
      </c>
      <c r="C123" s="268" t="s"/>
      <c r="D123" s="268" t="s"/>
      <c r="E123" s="268" t="s"/>
      <c r="F123" s="328" t="s"/>
      <c r="G123" s="333" t="e">
        <f>=G118+G121</f>
        <v>#VALUE!</v>
      </c>
      <c r="H123" s="280" t="s">
        <v>2525</v>
      </c>
      <c r="I123" s="281">
        <v>100000</v>
      </c>
      <c r="J123" s="282" t="e">
        <f>=G123/I123*10000</f>
        <v>#VALUE!</v>
      </c>
      <c r="K123" s="325" t="s"/>
      <c r="L123" s="334" t="s"/>
      <c r="M123" s="275" t="e">
        <f>=P4-G123</f>
        <v>#VALUE!</v>
      </c>
      <c r="N123" s="263" t="s"/>
      <c r="O123" s="263" t="s"/>
      <c r="P123" s="263" t="s"/>
      <c r="Q123" s="263" t="s"/>
      <c r="R123" s="263" t="s"/>
      <c r="S123" s="263" t="s"/>
      <c r="T123" s="263" t="s"/>
      <c r="U123" s="263" t="s"/>
      <c r="V123" s="263">
        <f>=686.38*0.9453</f>
        <v>648.835014</v>
      </c>
      <c r="W123" s="263" t="s"/>
      <c r="X123" s="263" t="s"/>
      <c r="Y123" s="263" t="s"/>
    </row>
    <row r="124" spans="1:25" ht="32" customHeight="true">
      <c r="A124" s="323" t="s"/>
      <c r="B124" s="280" t="s"/>
      <c r="C124" s="268" t="s"/>
      <c r="D124" s="268" t="s"/>
      <c r="E124" s="268" t="s"/>
      <c r="F124" s="328" t="s"/>
      <c r="G124" s="328" t="s"/>
      <c r="H124" s="328" t="s"/>
      <c r="I124" s="328" t="s"/>
      <c r="J124" s="325" t="s"/>
      <c r="K124" s="325" t="s"/>
      <c r="L124" s="263" t="s"/>
      <c r="M124" s="263" t="s"/>
      <c r="N124" s="276" t="e">
        <f>=G123*0.8</f>
        <v>#VALUE!</v>
      </c>
      <c r="O124" s="263" t="s"/>
      <c r="P124" s="263" t="s"/>
      <c r="Q124" s="263" t="s"/>
      <c r="R124" s="263" t="s"/>
      <c r="S124" s="263" t="s"/>
      <c r="T124" s="263" t="s"/>
      <c r="U124" s="263" t="s"/>
      <c r="V124" s="263" t="s"/>
      <c r="W124" s="263" t="s"/>
      <c r="X124" s="263" t="s"/>
      <c r="Y124" s="263" t="s"/>
    </row>
    <row r="125" spans="1:25" ht="32" customHeight="true">
      <c r="A125" s="323" t="s">
        <v>568</v>
      </c>
      <c r="B125" s="280" t="s">
        <v>569</v>
      </c>
      <c r="C125" s="268" t="s"/>
      <c r="D125" s="268" t="s"/>
      <c r="E125" s="268" t="s"/>
      <c r="F125" s="328" t="s"/>
      <c r="G125" s="328" t="e">
        <f>=O127</f>
        <v>#VALUE!</v>
      </c>
      <c r="H125" s="280" t="s">
        <v>2525</v>
      </c>
      <c r="I125" s="281">
        <v>100000</v>
      </c>
      <c r="J125" s="282" t="e">
        <f>=G125/I125*10000</f>
        <v>#VALUE!</v>
      </c>
      <c r="K125" s="325" t="s"/>
      <c r="L125" s="263" t="s"/>
      <c r="M125" s="263" t="s"/>
      <c r="N125" s="276" t="e">
        <f>=N124*0.5</f>
        <v>#VALUE!</v>
      </c>
      <c r="O125" s="275" t="e">
        <f>=N125*0.049/2</f>
        <v>#VALUE!</v>
      </c>
      <c r="P125" s="263" t="s"/>
      <c r="Q125" s="263" t="s"/>
      <c r="R125" s="263" t="s"/>
      <c r="S125" s="263" t="s"/>
      <c r="T125" s="263" t="s"/>
      <c r="U125" s="263" t="s"/>
      <c r="V125" s="263" t="s"/>
      <c r="W125" s="263" t="s"/>
      <c r="X125" s="263" t="s"/>
      <c r="Y125" s="263" t="s"/>
    </row>
    <row r="126" spans="1:25" ht="32" customHeight="true">
      <c r="A126" s="323" t="s"/>
      <c r="B126" s="280" t="s"/>
      <c r="C126" s="268" t="s"/>
      <c r="D126" s="268" t="s"/>
      <c r="E126" s="268" t="s"/>
      <c r="F126" s="328" t="s"/>
      <c r="G126" s="328" t="s"/>
      <c r="H126" s="328" t="s"/>
      <c r="I126" s="328" t="s"/>
      <c r="J126" s="325" t="s"/>
      <c r="K126" s="325" t="s"/>
      <c r="L126" s="263" t="s"/>
      <c r="M126" s="263" t="s"/>
      <c r="N126" s="276" t="e">
        <f>=N124*0.5</f>
        <v>#VALUE!</v>
      </c>
      <c r="O126" s="275" t="e">
        <f>=N126*0.049/2+N125*0.049</f>
        <v>#VALUE!</v>
      </c>
      <c r="P126" s="263" t="s"/>
      <c r="Q126" s="263" t="s"/>
      <c r="R126" s="263" t="s"/>
      <c r="S126" s="263" t="s"/>
      <c r="T126" s="263" t="s"/>
      <c r="U126" s="263" t="s"/>
      <c r="V126" s="263" t="s"/>
      <c r="W126" s="263" t="s"/>
      <c r="X126" s="263" t="s"/>
      <c r="Y126" s="263" t="s"/>
    </row>
    <row r="127" spans="1:25" ht="32" customHeight="true">
      <c r="A127" s="323" t="s">
        <v>570</v>
      </c>
      <c r="B127" s="280" t="s">
        <v>571</v>
      </c>
      <c r="C127" s="268" t="s"/>
      <c r="D127" s="268" t="s"/>
      <c r="E127" s="268" t="s"/>
      <c r="F127" s="328" t="s"/>
      <c r="G127" s="328">
        <v>337.34</v>
      </c>
      <c r="H127" s="280" t="s">
        <v>2525</v>
      </c>
      <c r="I127" s="281">
        <v>100000</v>
      </c>
      <c r="J127" s="282">
        <f>=G127/I127*10000</f>
        <v>33.734</v>
      </c>
      <c r="K127" s="325" t="s"/>
      <c r="L127" s="263" t="s"/>
      <c r="M127" s="263" t="s"/>
      <c r="N127" s="263" t="s"/>
      <c r="O127" s="275" t="e">
        <f>=SUM(O125:O126)</f>
        <v>#VALUE!</v>
      </c>
      <c r="P127" s="263" t="s"/>
      <c r="Q127" s="263" t="s"/>
      <c r="R127" s="263" t="s"/>
      <c r="S127" s="263" t="s"/>
      <c r="T127" s="263" t="s"/>
      <c r="U127" s="263" t="s"/>
      <c r="V127" s="263" t="s"/>
      <c r="W127" s="263" t="s"/>
      <c r="X127" s="263" t="s"/>
      <c r="Y127" s="263" t="s"/>
    </row>
    <row r="128" spans="1:25" ht="32" customHeight="true">
      <c r="A128" s="323" t="s"/>
      <c r="B128" s="280" t="s"/>
      <c r="C128" s="268" t="s"/>
      <c r="D128" s="268" t="s"/>
      <c r="E128" s="268" t="s"/>
      <c r="F128" s="328" t="s"/>
      <c r="G128" s="328" t="s"/>
      <c r="H128" s="328" t="s"/>
      <c r="I128" s="328" t="s"/>
      <c r="J128" s="325" t="s"/>
      <c r="K128" s="325" t="s"/>
      <c r="L128" s="263" t="s"/>
      <c r="M128" s="263" t="s"/>
      <c r="N128" s="263" t="s"/>
      <c r="O128" s="263" t="s"/>
      <c r="P128" s="263" t="s"/>
      <c r="Q128" s="263" t="s"/>
      <c r="R128" s="263" t="s"/>
      <c r="S128" s="263" t="s"/>
      <c r="T128" s="263" t="s"/>
      <c r="U128" s="263" t="s"/>
      <c r="V128" s="263" t="s"/>
      <c r="W128" s="263" t="s"/>
      <c r="X128" s="263" t="s"/>
      <c r="Y128" s="263" t="s"/>
    </row>
    <row r="129" spans="1:25" ht="32" customHeight="true">
      <c r="A129" s="323" t="s">
        <v>572</v>
      </c>
      <c r="B129" s="280" t="s">
        <v>573</v>
      </c>
      <c r="C129" s="268" t="s"/>
      <c r="D129" s="268" t="s"/>
      <c r="E129" s="268" t="s"/>
      <c r="F129" s="328" t="s"/>
      <c r="G129" s="333" t="e">
        <f>=G123+G125+G127</f>
        <v>#VALUE!</v>
      </c>
      <c r="H129" s="280" t="s">
        <v>2525</v>
      </c>
      <c r="I129" s="281">
        <v>100000</v>
      </c>
      <c r="J129" s="282" t="e">
        <f>=G129/I129*10000</f>
        <v>#VALUE!</v>
      </c>
      <c r="K129" s="325" t="s"/>
      <c r="L129" s="263" t="s"/>
      <c r="M129" s="263" t="s"/>
      <c r="N129" s="263" t="s"/>
      <c r="O129" s="263" t="s"/>
      <c r="P129" s="263" t="s"/>
      <c r="Q129" s="263" t="s"/>
      <c r="R129" s="263" t="s"/>
      <c r="S129" s="263" t="s"/>
      <c r="T129" s="263" t="s"/>
      <c r="U129" s="263" t="s"/>
      <c r="V129" s="263" t="s"/>
      <c r="W129" s="263" t="s"/>
      <c r="X129" s="263" t="s"/>
      <c r="Y129" s="263" t="s"/>
    </row>
    <row r="130" spans="1:25" ht="32" customHeight="true">
      <c r="A130" s="335" t="s"/>
      <c r="B130" s="336" t="s"/>
      <c r="C130" s="263" t="s"/>
      <c r="D130" s="263" t="s"/>
      <c r="E130" s="263" t="s"/>
      <c r="F130" s="337" t="s"/>
      <c r="G130" s="337" t="s"/>
      <c r="H130" s="337" t="s"/>
      <c r="I130" s="337" t="s"/>
      <c r="J130" s="338" t="s"/>
      <c r="K130" s="338" t="s"/>
      <c r="L130" s="263" t="s"/>
      <c r="M130" s="263" t="s"/>
      <c r="N130" s="263" t="s"/>
      <c r="O130" s="263" t="s"/>
      <c r="P130" s="263" t="s"/>
      <c r="Q130" s="263" t="s"/>
      <c r="R130" s="263" t="s"/>
      <c r="S130" s="263" t="s"/>
      <c r="T130" s="263" t="s"/>
      <c r="U130" s="263" t="s"/>
      <c r="V130" s="263" t="s"/>
      <c r="W130" s="263" t="s"/>
      <c r="X130" s="263" t="s"/>
      <c r="Y130" s="263" t="s"/>
    </row>
    <row r="131" spans="1:25" ht="32" customHeight="true">
      <c r="A131" s="335" t="s"/>
      <c r="B131" s="336" t="s"/>
      <c r="C131" s="263" t="s"/>
      <c r="D131" s="263" t="s"/>
      <c r="E131" s="263" t="s"/>
      <c r="F131" s="337" t="s"/>
      <c r="G131" s="337" t="s"/>
      <c r="H131" s="337" t="s"/>
      <c r="I131" s="337" t="s"/>
      <c r="J131" s="338" t="s"/>
      <c r="K131" s="338" t="s"/>
      <c r="L131" s="263" t="s"/>
      <c r="M131" s="263" t="s"/>
      <c r="N131" s="263" t="s"/>
      <c r="O131" s="263" t="s"/>
      <c r="P131" s="263" t="s"/>
      <c r="Q131" s="263" t="s"/>
      <c r="R131" s="263" t="s"/>
      <c r="S131" s="263" t="s"/>
      <c r="T131" s="263" t="s"/>
      <c r="U131" s="263" t="s"/>
      <c r="V131" s="263" t="s"/>
      <c r="W131" s="263" t="s"/>
      <c r="X131" s="263" t="s"/>
      <c r="Y131" s="263" t="s"/>
    </row>
    <row r="132" spans="1:25" customHeight="false">
      <c r="A132" s="263" t="s"/>
      <c r="B132" s="339" t="s"/>
      <c r="C132" s="263" t="s"/>
      <c r="D132" s="263" t="s"/>
      <c r="E132" s="263" t="s"/>
      <c r="F132" s="263" t="s"/>
      <c r="G132" s="263" t="s"/>
      <c r="H132" s="263" t="s"/>
      <c r="I132" s="263" t="s"/>
      <c r="J132" s="340" t="s"/>
      <c r="K132" s="340" t="s"/>
      <c r="L132" s="341" t="s"/>
      <c r="M132" s="263" t="s"/>
      <c r="N132" s="263" t="s"/>
      <c r="O132" s="263" t="s"/>
      <c r="P132" s="263" t="s"/>
      <c r="Q132" s="263" t="s"/>
      <c r="R132" s="263" t="s"/>
      <c r="S132" s="263" t="s"/>
      <c r="T132" s="263" t="s"/>
      <c r="U132" s="263" t="s"/>
      <c r="V132" s="263">
        <f>=686.38*0.973</f>
        <v>667.84774</v>
      </c>
      <c r="W132" s="263" t="s"/>
      <c r="X132" s="263" t="s"/>
      <c r="Y132" s="263" t="s"/>
    </row>
    <row r="133" spans="1:25" customHeight="false">
      <c r="A133" s="263" t="s"/>
      <c r="B133" s="339" t="s"/>
      <c r="C133" s="263" t="s"/>
      <c r="D133" s="263" t="s"/>
      <c r="E133" s="263" t="s"/>
      <c r="F133" s="263" t="s"/>
      <c r="G133" s="342">
        <v>86832.7241646242</v>
      </c>
      <c r="H133" s="263" t="s"/>
      <c r="I133" s="263" t="s"/>
      <c r="J133" s="340" t="s"/>
      <c r="K133" s="340" t="s"/>
      <c r="L133" s="263" t="s"/>
      <c r="M133" s="263" t="s"/>
      <c r="N133" s="263" t="s"/>
      <c r="O133" s="263" t="s"/>
      <c r="P133" s="263" t="s"/>
      <c r="Q133" s="263" t="s"/>
      <c r="R133" s="263" t="s"/>
      <c r="S133" s="263" t="s"/>
      <c r="T133" s="263" t="s"/>
      <c r="U133" s="263" t="s"/>
      <c r="V133" s="263">
        <f>=686.38*0.9668</f>
        <v>663.592184</v>
      </c>
      <c r="W133" s="263" t="s"/>
      <c r="X133" s="263" t="s"/>
      <c r="Y133" s="263" t="s"/>
    </row>
    <row r="134" spans="1:25" customHeight="false">
      <c r="A134" s="263" t="s"/>
      <c r="B134" s="339" t="s"/>
      <c r="C134" s="263" t="s"/>
      <c r="D134" s="263" t="s"/>
      <c r="E134" s="263" t="s"/>
      <c r="F134" s="263" t="s"/>
      <c r="G134" s="263" t="s"/>
      <c r="H134" s="263" t="s"/>
      <c r="I134" s="263" t="s"/>
      <c r="J134" s="340" t="s"/>
      <c r="K134" s="340" t="s"/>
      <c r="L134" s="263" t="s"/>
      <c r="M134" s="263" t="s"/>
      <c r="N134" s="263" t="s"/>
      <c r="O134" s="263" t="s"/>
      <c r="P134" s="263" t="s"/>
      <c r="Q134" s="263" t="s"/>
      <c r="R134" s="263" t="s"/>
      <c r="S134" s="263" t="s"/>
      <c r="T134" s="263" t="s"/>
      <c r="U134" s="263" t="s"/>
      <c r="V134" s="263" t="s"/>
      <c r="W134" s="263" t="s"/>
      <c r="X134" s="263" t="s"/>
      <c r="Y134" s="263" t="s"/>
    </row>
    <row r="135" spans="1:25" customHeight="false">
      <c r="A135" s="263" t="s"/>
      <c r="B135" s="339" t="s"/>
      <c r="C135" s="263" t="s"/>
      <c r="D135" s="263" t="s"/>
      <c r="E135" s="263" t="s"/>
      <c r="F135" s="263" t="s"/>
      <c r="G135" s="263" t="s"/>
      <c r="H135" s="263" t="s"/>
      <c r="I135" s="263" t="s"/>
      <c r="J135" s="340" t="s"/>
      <c r="K135" s="340" t="s"/>
      <c r="L135" s="263">
        <f>=1262.56</f>
        <v>1262.56</v>
      </c>
      <c r="M135" s="263" t="s"/>
      <c r="N135" s="263" t="s"/>
      <c r="O135" s="263" t="s"/>
      <c r="P135" s="263" t="s"/>
      <c r="Q135" s="263" t="s"/>
      <c r="R135" s="263" t="s"/>
      <c r="S135" s="263" t="s"/>
      <c r="T135" s="263" t="s"/>
      <c r="U135" s="263" t="s"/>
      <c r="V135" s="263" t="s"/>
      <c r="W135" s="263" t="s"/>
      <c r="X135" s="263" t="s"/>
      <c r="Y135" s="263" t="s"/>
    </row>
    <row r="136" spans="1:25" customHeight="false">
      <c r="A136" s="263" t="s"/>
      <c r="B136" s="339" t="s"/>
      <c r="C136" s="263" t="s"/>
      <c r="D136" s="263" t="s"/>
      <c r="E136" s="263" t="s"/>
      <c r="F136" s="263" t="s"/>
      <c r="G136" s="263" t="s"/>
      <c r="H136" s="263" t="s"/>
      <c r="I136" s="263" t="s"/>
      <c r="J136" s="340" t="s"/>
      <c r="K136" s="340" t="s"/>
      <c r="L136" s="263" t="s"/>
      <c r="M136" s="263" t="s"/>
      <c r="N136" s="263" t="s"/>
      <c r="O136" s="263" t="s"/>
      <c r="P136" s="263" t="s"/>
      <c r="Q136" s="263" t="s"/>
      <c r="R136" s="263" t="s"/>
      <c r="S136" s="263" t="s"/>
      <c r="T136" s="263" t="s"/>
      <c r="U136" s="263" t="s"/>
      <c r="V136" s="263" t="s"/>
      <c r="W136" s="263" t="s"/>
      <c r="X136" s="263" t="s"/>
      <c r="Y136" s="263" t="s"/>
    </row>
    <row r="137" spans="1:25" customHeight="false">
      <c r="A137" s="263" t="s"/>
      <c r="B137" s="339" t="s"/>
      <c r="C137" s="263" t="s"/>
      <c r="D137" s="263" t="s"/>
      <c r="E137" s="263" t="s"/>
      <c r="F137" s="263" t="s"/>
      <c r="G137" s="263" t="s"/>
      <c r="H137" s="263" t="s"/>
      <c r="I137" s="263" t="s"/>
      <c r="J137" s="340" t="s"/>
      <c r="K137" s="340" t="s"/>
      <c r="L137" s="263" t="s"/>
      <c r="M137" s="263" t="s"/>
      <c r="N137" s="263" t="s"/>
      <c r="O137" s="263" t="s"/>
      <c r="P137" s="263" t="s"/>
      <c r="Q137" s="263" t="s"/>
      <c r="R137" s="263" t="s"/>
      <c r="S137" s="263" t="s"/>
      <c r="T137" s="263" t="s"/>
      <c r="U137" s="263" t="s"/>
      <c r="V137" s="263" t="s"/>
      <c r="W137" s="263" t="s"/>
      <c r="X137" s="263" t="s"/>
      <c r="Y137" s="263" t="s"/>
    </row>
    <row r="138" spans="1:25" customHeight="false">
      <c r="A138" s="263" t="s"/>
      <c r="B138" s="339" t="s"/>
      <c r="C138" s="263" t="s"/>
      <c r="D138" s="263" t="s"/>
      <c r="E138" s="263" t="s"/>
      <c r="F138" s="263" t="s"/>
      <c r="G138" s="263" t="s"/>
      <c r="H138" s="263" t="s"/>
      <c r="I138" s="263" t="s"/>
      <c r="J138" s="340" t="s"/>
      <c r="K138" s="340" t="s"/>
      <c r="L138" s="263" t="s"/>
      <c r="M138" s="263" t="s"/>
      <c r="N138" s="263" t="s"/>
      <c r="O138" s="263" t="s"/>
      <c r="P138" s="263" t="s"/>
      <c r="Q138" s="263" t="s"/>
      <c r="R138" s="263" t="s"/>
      <c r="S138" s="263" t="s"/>
      <c r="T138" s="263" t="s"/>
      <c r="U138" s="263" t="s"/>
      <c r="V138" s="263" t="s"/>
      <c r="W138" s="263" t="s"/>
      <c r="X138" s="263" t="s"/>
      <c r="Y138" s="263" t="s"/>
    </row>
    <row r="139" spans="1:25" customHeight="false">
      <c r="A139" s="263" t="s"/>
      <c r="B139" s="339" t="s"/>
      <c r="C139" s="263" t="s"/>
      <c r="D139" s="263" t="s"/>
      <c r="E139" s="263" t="s"/>
      <c r="F139" s="263" t="s"/>
      <c r="G139" s="263" t="s"/>
      <c r="H139" s="263" t="s"/>
      <c r="I139" s="263" t="s"/>
      <c r="J139" s="340" t="s"/>
      <c r="K139" s="340" t="s"/>
      <c r="L139" s="263" t="s"/>
      <c r="M139" s="263" t="s"/>
      <c r="N139" s="263" t="s"/>
      <c r="O139" s="263" t="s"/>
      <c r="P139" s="263" t="s"/>
      <c r="Q139" s="263" t="s"/>
      <c r="R139" s="263" t="s"/>
      <c r="S139" s="263" t="s"/>
      <c r="T139" s="263" t="s"/>
      <c r="U139" s="263" t="s"/>
      <c r="V139" s="263" t="s"/>
      <c r="W139" s="263" t="s"/>
      <c r="X139" s="263" t="s"/>
      <c r="Y139" s="263" t="s"/>
    </row>
    <row r="140" spans="1:25" customHeight="false">
      <c r="A140" s="263" t="s"/>
      <c r="B140" s="339" t="s"/>
      <c r="C140" s="263" t="s"/>
      <c r="D140" s="263" t="s"/>
      <c r="E140" s="263" t="s"/>
      <c r="F140" s="263" t="s"/>
      <c r="G140" s="263" t="s"/>
      <c r="H140" s="263" t="s"/>
      <c r="I140" s="263" t="s"/>
      <c r="J140" s="340" t="s"/>
      <c r="K140" s="340" t="s"/>
      <c r="L140" s="263" t="s"/>
      <c r="M140" s="263" t="s"/>
      <c r="N140" s="263" t="s"/>
      <c r="O140" s="263" t="s"/>
      <c r="P140" s="263" t="s"/>
      <c r="Q140" s="263" t="s"/>
      <c r="R140" s="263" t="s"/>
      <c r="S140" s="263" t="s"/>
      <c r="T140" s="263" t="s"/>
      <c r="U140" s="263" t="s"/>
      <c r="V140" s="263" t="s"/>
      <c r="W140" s="263" t="s"/>
      <c r="X140" s="263" t="s"/>
      <c r="Y140" s="263" t="s"/>
    </row>
    <row r="141" spans="1:25" customHeight="false">
      <c r="A141" s="263" t="s"/>
      <c r="B141" s="339" t="s"/>
      <c r="C141" s="263" t="s"/>
      <c r="D141" s="263" t="s"/>
      <c r="E141" s="263" t="s"/>
      <c r="F141" s="263" t="s"/>
      <c r="G141" s="263" t="s"/>
      <c r="H141" s="263" t="s"/>
      <c r="I141" s="263" t="s"/>
      <c r="J141" s="340" t="s"/>
      <c r="K141" s="340" t="s"/>
      <c r="L141" s="263" t="s"/>
      <c r="M141" s="263" t="s"/>
      <c r="N141" s="263" t="s"/>
      <c r="O141" s="263" t="s"/>
      <c r="P141" s="263" t="s"/>
      <c r="Q141" s="263" t="s"/>
      <c r="R141" s="263" t="s"/>
      <c r="S141" s="263" t="s"/>
      <c r="T141" s="263" t="s"/>
      <c r="U141" s="263" t="s"/>
      <c r="V141" s="263" t="s"/>
      <c r="W141" s="263" t="s"/>
      <c r="X141" s="263" t="s"/>
      <c r="Y141" s="263" t="s"/>
    </row>
    <row r="142" spans="1:25" customHeight="false">
      <c r="A142" s="263" t="s"/>
      <c r="B142" s="339" t="s"/>
      <c r="C142" s="263" t="s"/>
      <c r="D142" s="263" t="s"/>
      <c r="E142" s="263" t="s"/>
      <c r="F142" s="263" t="s"/>
      <c r="G142" s="263" t="s"/>
      <c r="H142" s="263" t="s"/>
      <c r="I142" s="263" t="s"/>
      <c r="J142" s="340" t="s"/>
      <c r="K142" s="340" t="s"/>
      <c r="L142" s="263" t="s"/>
      <c r="M142" s="263" t="s"/>
      <c r="N142" s="263" t="s"/>
      <c r="O142" s="263" t="s"/>
      <c r="P142" s="263" t="s"/>
      <c r="Q142" s="263" t="s"/>
      <c r="R142" s="263" t="s"/>
      <c r="S142" s="263" t="s"/>
      <c r="T142" s="263" t="s"/>
      <c r="U142" s="263" t="s"/>
      <c r="V142" s="263" t="s"/>
      <c r="W142" s="263" t="s"/>
      <c r="X142" s="263" t="s"/>
      <c r="Y142" s="263" t="s"/>
    </row>
    <row r="143" spans="1:25" customHeight="false">
      <c r="A143" s="263" t="s"/>
      <c r="B143" s="339" t="s"/>
      <c r="C143" s="263" t="s"/>
      <c r="D143" s="263" t="s"/>
      <c r="E143" s="263" t="s"/>
      <c r="F143" s="263" t="s"/>
      <c r="G143" s="263" t="s"/>
      <c r="H143" s="263" t="s"/>
      <c r="I143" s="263" t="s"/>
      <c r="J143" s="340" t="s"/>
      <c r="K143" s="340" t="s"/>
      <c r="L143" s="263" t="s"/>
      <c r="M143" s="263" t="s"/>
      <c r="N143" s="263" t="s"/>
      <c r="O143" s="263" t="s"/>
      <c r="P143" s="263" t="s"/>
      <c r="Q143" s="263" t="s"/>
      <c r="R143" s="263" t="s"/>
      <c r="S143" s="263" t="s"/>
      <c r="T143" s="263" t="s"/>
      <c r="U143" s="263" t="s"/>
      <c r="V143" s="263" t="s"/>
      <c r="W143" s="263" t="s"/>
      <c r="X143" s="263" t="s"/>
      <c r="Y143" s="263" t="s"/>
    </row>
    <row r="144" spans="1:25" customHeight="false">
      <c r="A144" s="263" t="s"/>
      <c r="B144" s="263" t="s"/>
      <c r="C144" s="263" t="s"/>
      <c r="D144" s="263" t="s"/>
      <c r="E144" s="263" t="s"/>
      <c r="F144" s="263" t="s"/>
      <c r="G144" s="263" t="s"/>
      <c r="H144" s="263" t="s"/>
      <c r="I144" s="263" t="s"/>
      <c r="J144" s="340" t="s"/>
      <c r="K144" s="340" t="s"/>
      <c r="L144" s="263" t="s"/>
      <c r="M144" s="263" t="s"/>
      <c r="N144" s="263" t="s"/>
      <c r="O144" s="263" t="s"/>
      <c r="P144" s="263" t="s"/>
      <c r="Q144" s="263" t="s"/>
      <c r="R144" s="263" t="s"/>
      <c r="S144" s="263" t="s"/>
      <c r="T144" s="263" t="s"/>
      <c r="U144" s="263" t="s"/>
      <c r="V144" s="263" t="s"/>
      <c r="W144" s="263" t="s"/>
      <c r="X144" s="263" t="s"/>
      <c r="Y144" s="263" t="s"/>
    </row>
    <row r="145" spans="1:25" customHeight="false">
      <c r="A145" s="263" t="s"/>
      <c r="B145" s="263" t="s"/>
      <c r="C145" s="263" t="s"/>
      <c r="D145" s="263" t="s"/>
      <c r="E145" s="263" t="s"/>
      <c r="F145" s="263" t="s"/>
      <c r="G145" s="263" t="s"/>
      <c r="H145" s="263" t="s"/>
      <c r="I145" s="263" t="s"/>
      <c r="J145" s="340" t="s"/>
      <c r="K145" s="340" t="s"/>
      <c r="L145" s="263" t="s"/>
      <c r="M145" s="263" t="s"/>
      <c r="N145" s="263" t="s"/>
      <c r="O145" s="263" t="s"/>
      <c r="P145" s="263" t="s"/>
      <c r="Q145" s="263" t="s"/>
      <c r="R145" s="263" t="s"/>
      <c r="S145" s="263" t="s"/>
      <c r="T145" s="263" t="s"/>
      <c r="U145" s="263" t="s"/>
      <c r="V145" s="263" t="s"/>
      <c r="W145" s="263" t="s"/>
      <c r="X145" s="263" t="s"/>
      <c r="Y145" s="263" t="s"/>
    </row>
    <row r="146" spans="1:25" customHeight="false">
      <c r="A146" s="263" t="s"/>
      <c r="B146" s="263" t="s"/>
      <c r="C146" s="263" t="s"/>
      <c r="D146" s="263" t="s"/>
      <c r="E146" s="263" t="s"/>
      <c r="F146" s="263" t="s"/>
      <c r="G146" s="263" t="s"/>
      <c r="H146" s="263" t="s"/>
      <c r="I146" s="263" t="s"/>
      <c r="J146" s="340" t="s"/>
      <c r="K146" s="340" t="s"/>
      <c r="L146" s="263" t="s"/>
      <c r="M146" s="263" t="s"/>
      <c r="N146" s="263" t="s"/>
      <c r="O146" s="263" t="s"/>
      <c r="P146" s="263" t="s"/>
      <c r="Q146" s="263" t="s"/>
      <c r="R146" s="263" t="s"/>
      <c r="S146" s="263" t="s"/>
      <c r="T146" s="263" t="s"/>
      <c r="U146" s="263" t="s"/>
      <c r="V146" s="263" t="s"/>
      <c r="W146" s="263" t="s"/>
      <c r="X146" s="263" t="s"/>
      <c r="Y146" s="263" t="s"/>
    </row>
    <row r="147" spans="1:25" customHeight="false">
      <c r="A147" s="263" t="s"/>
      <c r="B147" s="263" t="s"/>
      <c r="C147" s="263" t="s"/>
      <c r="D147" s="263" t="s"/>
      <c r="E147" s="263" t="s"/>
      <c r="F147" s="263" t="s"/>
      <c r="G147" s="263" t="s"/>
      <c r="H147" s="263" t="s"/>
      <c r="I147" s="263" t="s"/>
      <c r="J147" s="340" t="s"/>
      <c r="K147" s="340" t="s"/>
      <c r="L147" s="263" t="s"/>
      <c r="M147" s="263" t="s"/>
      <c r="N147" s="263" t="s"/>
      <c r="O147" s="263" t="s"/>
      <c r="P147" s="263" t="s"/>
      <c r="Q147" s="263" t="s"/>
      <c r="R147" s="263" t="s"/>
      <c r="S147" s="263" t="s"/>
      <c r="T147" s="263" t="s"/>
      <c r="U147" s="263" t="s"/>
      <c r="V147" s="263" t="s"/>
      <c r="W147" s="263" t="s"/>
      <c r="X147" s="263" t="s"/>
      <c r="Y147" s="263" t="s"/>
    </row>
    <row r="148" spans="1:25" customHeight="false">
      <c r="A148" s="263" t="s"/>
      <c r="B148" s="263" t="s"/>
      <c r="C148" s="263" t="s"/>
      <c r="D148" s="263" t="s"/>
      <c r="E148" s="263" t="s"/>
      <c r="F148" s="263" t="s"/>
      <c r="G148" s="263" t="s"/>
      <c r="H148" s="263" t="s"/>
      <c r="I148" s="263" t="s"/>
      <c r="J148" s="340" t="s"/>
      <c r="K148" s="340" t="s"/>
      <c r="L148" s="263" t="s"/>
      <c r="M148" s="263" t="s"/>
      <c r="N148" s="263" t="s"/>
      <c r="O148" s="263" t="s"/>
      <c r="P148" s="263" t="s"/>
      <c r="Q148" s="263" t="s"/>
      <c r="R148" s="263" t="s"/>
      <c r="S148" s="263" t="s"/>
      <c r="T148" s="263" t="s"/>
      <c r="U148" s="263" t="s"/>
      <c r="V148" s="263" t="s"/>
      <c r="W148" s="263" t="s"/>
      <c r="X148" s="263" t="s"/>
      <c r="Y148" s="263" t="s"/>
    </row>
    <row r="149" spans="1:25" customHeight="false">
      <c r="A149" s="263" t="s"/>
      <c r="B149" s="263" t="s"/>
      <c r="C149" s="263" t="s"/>
      <c r="D149" s="263" t="s"/>
      <c r="E149" s="263" t="s"/>
      <c r="F149" s="263" t="s"/>
      <c r="G149" s="263" t="s"/>
      <c r="H149" s="263" t="s"/>
      <c r="I149" s="263" t="s"/>
      <c r="J149" s="340" t="s"/>
      <c r="K149" s="340" t="s"/>
      <c r="L149" s="263" t="s"/>
      <c r="M149" s="263" t="s"/>
      <c r="N149" s="263" t="s"/>
      <c r="O149" s="263" t="s"/>
      <c r="P149" s="263" t="s"/>
      <c r="Q149" s="263" t="s"/>
      <c r="R149" s="263" t="s"/>
      <c r="S149" s="263" t="s"/>
      <c r="T149" s="263" t="s"/>
      <c r="U149" s="263" t="s"/>
      <c r="V149" s="263" t="s"/>
      <c r="W149" s="263" t="s"/>
      <c r="X149" s="263" t="s"/>
      <c r="Y149" s="263" t="s"/>
    </row>
    <row r="150" spans="1:25" customHeight="false">
      <c r="A150" s="263" t="s"/>
      <c r="B150" s="263" t="s"/>
      <c r="C150" s="263" t="s"/>
      <c r="D150" s="263" t="s"/>
      <c r="E150" s="263" t="s"/>
      <c r="F150" s="263" t="s"/>
      <c r="G150" s="263" t="s"/>
      <c r="H150" s="263" t="s"/>
      <c r="I150" s="263" t="s"/>
      <c r="J150" s="340" t="s"/>
      <c r="K150" s="340" t="s"/>
      <c r="L150" s="263" t="s"/>
      <c r="M150" s="263" t="s"/>
      <c r="N150" s="263" t="s"/>
      <c r="O150" s="263" t="s"/>
      <c r="P150" s="263" t="s"/>
      <c r="Q150" s="263" t="s"/>
      <c r="R150" s="263" t="s"/>
      <c r="S150" s="263" t="s"/>
      <c r="T150" s="263" t="s"/>
      <c r="U150" s="263" t="s"/>
      <c r="V150" s="263" t="s"/>
      <c r="W150" s="263" t="s"/>
      <c r="X150" s="263" t="s"/>
      <c r="Y150" s="263" t="s"/>
    </row>
    <row r="151" spans="1:25" customHeight="false">
      <c r="A151" s="263" t="s"/>
      <c r="B151" s="263" t="s"/>
      <c r="C151" s="263" t="s"/>
      <c r="D151" s="263" t="s"/>
      <c r="E151" s="263" t="s"/>
      <c r="F151" s="263" t="s"/>
      <c r="G151" s="263" t="s"/>
      <c r="H151" s="263" t="s"/>
      <c r="I151" s="263" t="s"/>
      <c r="J151" s="340" t="s"/>
      <c r="K151" s="340" t="s"/>
      <c r="L151" s="263" t="s"/>
      <c r="M151" s="263" t="s"/>
      <c r="N151" s="263" t="s"/>
      <c r="O151" s="263" t="s"/>
      <c r="P151" s="263" t="s"/>
      <c r="Q151" s="263" t="s"/>
      <c r="R151" s="263" t="s"/>
      <c r="S151" s="263" t="s"/>
      <c r="T151" s="263" t="s"/>
      <c r="U151" s="263" t="s"/>
      <c r="V151" s="263" t="s"/>
      <c r="W151" s="263" t="s"/>
      <c r="X151" s="263" t="s"/>
      <c r="Y151" s="263" t="s"/>
    </row>
    <row r="152" spans="1:25" customHeight="false">
      <c r="A152" s="263" t="s"/>
      <c r="B152" s="263" t="s"/>
      <c r="C152" s="263" t="s"/>
      <c r="D152" s="263" t="s"/>
      <c r="E152" s="263" t="s"/>
      <c r="F152" s="263" t="s"/>
      <c r="G152" s="263" t="s"/>
      <c r="H152" s="263" t="s"/>
      <c r="I152" s="263" t="s"/>
      <c r="J152" s="340" t="s"/>
      <c r="K152" s="340" t="s"/>
      <c r="L152" s="263" t="s"/>
      <c r="M152" s="263" t="s"/>
      <c r="N152" s="263" t="s"/>
      <c r="O152" s="263" t="s"/>
      <c r="P152" s="263" t="s"/>
      <c r="Q152" s="263" t="s"/>
      <c r="R152" s="263" t="s"/>
      <c r="S152" s="263" t="s"/>
      <c r="T152" s="263" t="s"/>
      <c r="U152" s="263" t="s"/>
      <c r="V152" s="263" t="s"/>
      <c r="W152" s="263" t="s"/>
      <c r="X152" s="263" t="s"/>
      <c r="Y152" s="263" t="s"/>
    </row>
    <row r="153" spans="1:25" customHeight="false">
      <c r="A153" s="263" t="s"/>
      <c r="B153" s="263" t="s"/>
      <c r="C153" s="263" t="s"/>
      <c r="D153" s="263" t="s"/>
      <c r="E153" s="263" t="s"/>
      <c r="F153" s="263" t="s"/>
      <c r="G153" s="263" t="s"/>
      <c r="H153" s="263" t="s"/>
      <c r="I153" s="263" t="s"/>
      <c r="J153" s="340" t="s"/>
      <c r="K153" s="340" t="s"/>
      <c r="L153" s="263" t="s"/>
      <c r="M153" s="263" t="s"/>
      <c r="N153" s="263" t="s"/>
      <c r="O153" s="263" t="s"/>
      <c r="P153" s="263" t="s"/>
      <c r="Q153" s="263" t="s"/>
      <c r="R153" s="263" t="s"/>
      <c r="S153" s="263" t="s"/>
      <c r="T153" s="263" t="s"/>
      <c r="U153" s="263" t="s"/>
      <c r="V153" s="263" t="s"/>
      <c r="W153" s="263" t="s"/>
      <c r="X153" s="263" t="s"/>
      <c r="Y153" s="263" t="s"/>
    </row>
    <row r="154" spans="1:25" customHeight="false">
      <c r="A154" s="263" t="s"/>
      <c r="B154" s="263" t="s"/>
      <c r="C154" s="263" t="s"/>
      <c r="D154" s="263" t="s"/>
      <c r="E154" s="263" t="s"/>
      <c r="F154" s="263" t="s"/>
      <c r="G154" s="263" t="s"/>
      <c r="H154" s="263" t="s"/>
      <c r="I154" s="263" t="s"/>
      <c r="J154" s="340" t="s"/>
      <c r="K154" s="340" t="s"/>
      <c r="L154" s="263" t="s"/>
      <c r="M154" s="263" t="s"/>
      <c r="N154" s="263" t="s"/>
      <c r="O154" s="263" t="s"/>
      <c r="P154" s="263" t="s"/>
      <c r="Q154" s="263" t="s"/>
      <c r="R154" s="263" t="s"/>
      <c r="S154" s="263" t="s"/>
      <c r="T154" s="263" t="s"/>
      <c r="U154" s="263" t="s"/>
      <c r="V154" s="263" t="s"/>
      <c r="W154" s="263" t="s"/>
      <c r="X154" s="263" t="s"/>
      <c r="Y154" s="263" t="s"/>
    </row>
    <row r="155" spans="1:25" customHeight="false">
      <c r="A155" s="263" t="s"/>
      <c r="B155" s="263" t="s"/>
      <c r="C155" s="263" t="s"/>
      <c r="D155" s="263" t="s"/>
      <c r="E155" s="263" t="s"/>
      <c r="F155" s="263" t="s"/>
      <c r="G155" s="263" t="s"/>
      <c r="H155" s="263" t="s"/>
      <c r="I155" s="263" t="s"/>
      <c r="J155" s="340" t="s"/>
      <c r="K155" s="340" t="s"/>
      <c r="L155" s="263" t="s"/>
      <c r="M155" s="263" t="s"/>
      <c r="N155" s="263" t="s"/>
      <c r="O155" s="263" t="s"/>
      <c r="P155" s="263" t="s"/>
      <c r="Q155" s="263" t="s"/>
      <c r="R155" s="263" t="s"/>
      <c r="S155" s="263" t="s"/>
      <c r="T155" s="263" t="s"/>
      <c r="U155" s="263" t="s"/>
      <c r="V155" s="263" t="s"/>
      <c r="W155" s="263" t="s"/>
      <c r="X155" s="263" t="s"/>
      <c r="Y155" s="263" t="s"/>
    </row>
    <row r="156" spans="1:25" customHeight="false">
      <c r="A156" s="263" t="s"/>
      <c r="B156" s="263" t="s"/>
      <c r="C156" s="263" t="s"/>
      <c r="D156" s="263" t="s"/>
      <c r="E156" s="263" t="s"/>
      <c r="F156" s="263" t="s"/>
      <c r="G156" s="263" t="s"/>
      <c r="H156" s="263" t="s"/>
      <c r="I156" s="263" t="s"/>
      <c r="J156" s="340" t="s"/>
      <c r="K156" s="340" t="s"/>
      <c r="L156" s="263" t="s"/>
      <c r="M156" s="263" t="s"/>
      <c r="N156" s="263" t="s"/>
      <c r="O156" s="263" t="s"/>
      <c r="P156" s="263" t="s"/>
      <c r="Q156" s="263" t="s"/>
      <c r="R156" s="263" t="s"/>
      <c r="S156" s="263" t="s"/>
      <c r="T156" s="263" t="s"/>
      <c r="U156" s="263" t="s"/>
      <c r="V156" s="263" t="s"/>
      <c r="W156" s="263" t="s"/>
      <c r="X156" s="263" t="s"/>
      <c r="Y156" s="263" t="s"/>
    </row>
    <row r="157" spans="1:25" customHeight="false">
      <c r="A157" s="263" t="s"/>
      <c r="B157" s="263" t="s"/>
      <c r="C157" s="263" t="s"/>
      <c r="D157" s="263" t="s"/>
      <c r="E157" s="263" t="s"/>
      <c r="F157" s="263" t="s"/>
      <c r="G157" s="263" t="s"/>
      <c r="H157" s="263" t="s"/>
      <c r="I157" s="263" t="s"/>
      <c r="J157" s="340" t="s"/>
      <c r="K157" s="340" t="s"/>
      <c r="L157" s="263" t="s"/>
      <c r="M157" s="263" t="s"/>
      <c r="N157" s="263" t="s"/>
      <c r="O157" s="263" t="s"/>
      <c r="P157" s="263" t="s"/>
      <c r="Q157" s="263" t="s"/>
      <c r="R157" s="263" t="s"/>
      <c r="S157" s="263" t="s"/>
      <c r="T157" s="263" t="s"/>
      <c r="U157" s="263" t="s"/>
      <c r="V157" s="263" t="s"/>
      <c r="W157" s="263" t="s"/>
      <c r="X157" s="263" t="s"/>
      <c r="Y157" s="263" t="s"/>
    </row>
    <row r="158" spans="1:25" customHeight="false">
      <c r="A158" s="263" t="s"/>
      <c r="B158" s="263" t="s"/>
      <c r="C158" s="263" t="s"/>
      <c r="D158" s="263" t="s"/>
      <c r="E158" s="263" t="s"/>
      <c r="F158" s="263" t="s"/>
      <c r="G158" s="263" t="s"/>
      <c r="H158" s="263" t="s"/>
      <c r="I158" s="263" t="s"/>
      <c r="J158" s="340" t="s"/>
      <c r="K158" s="340" t="s"/>
      <c r="L158" s="263" t="s"/>
      <c r="M158" s="263" t="s"/>
      <c r="N158" s="263" t="s"/>
      <c r="O158" s="263" t="s"/>
      <c r="P158" s="263" t="s"/>
      <c r="Q158" s="263" t="s"/>
      <c r="R158" s="263" t="s"/>
      <c r="S158" s="263" t="s"/>
      <c r="T158" s="263" t="s"/>
      <c r="U158" s="263" t="s"/>
      <c r="V158" s="263" t="s"/>
      <c r="W158" s="263" t="s"/>
      <c r="X158" s="263" t="s"/>
      <c r="Y158" s="263" t="s"/>
    </row>
    <row r="159" spans="1:25" customHeight="false">
      <c r="A159" s="263" t="s"/>
      <c r="B159" s="263" t="s"/>
      <c r="C159" s="263" t="s"/>
      <c r="D159" s="263" t="s"/>
      <c r="E159" s="263" t="s"/>
      <c r="F159" s="263" t="s"/>
      <c r="G159" s="263" t="s"/>
      <c r="H159" s="263" t="s"/>
      <c r="I159" s="263" t="s"/>
      <c r="J159" s="340" t="s"/>
      <c r="K159" s="340" t="s"/>
      <c r="L159" s="263" t="s"/>
      <c r="M159" s="263" t="s"/>
      <c r="N159" s="263" t="s"/>
      <c r="O159" s="263" t="s"/>
      <c r="P159" s="263" t="s"/>
      <c r="Q159" s="263" t="s"/>
      <c r="R159" s="263" t="s"/>
      <c r="S159" s="263" t="s"/>
      <c r="T159" s="263" t="s"/>
      <c r="U159" s="263" t="s"/>
      <c r="V159" s="263" t="s"/>
      <c r="W159" s="263" t="s"/>
      <c r="X159" s="263" t="s"/>
      <c r="Y159" s="263" t="s"/>
    </row>
    <row r="160" spans="1:25" customHeight="false">
      <c r="A160" s="263" t="s"/>
      <c r="B160" s="263" t="s"/>
      <c r="C160" s="263" t="s"/>
      <c r="D160" s="263" t="s"/>
      <c r="E160" s="263" t="s"/>
      <c r="F160" s="263" t="s"/>
      <c r="G160" s="263" t="s"/>
      <c r="H160" s="263" t="s"/>
      <c r="I160" s="263" t="s"/>
      <c r="J160" s="340" t="s"/>
      <c r="K160" s="340" t="s"/>
      <c r="L160" s="263" t="s"/>
      <c r="M160" s="263" t="s"/>
      <c r="N160" s="263" t="s"/>
      <c r="O160" s="263" t="s"/>
      <c r="P160" s="263" t="s"/>
      <c r="Q160" s="263" t="s"/>
      <c r="R160" s="263" t="s"/>
      <c r="S160" s="263" t="s"/>
      <c r="T160" s="263" t="s"/>
      <c r="U160" s="263" t="s"/>
      <c r="V160" s="263" t="s"/>
      <c r="W160" s="263" t="s"/>
      <c r="X160" s="263" t="s"/>
      <c r="Y160" s="263" t="s"/>
    </row>
    <row r="161" spans="1:25" customHeight="false">
      <c r="A161" s="263" t="s"/>
      <c r="B161" s="263" t="s"/>
      <c r="C161" s="263" t="s"/>
      <c r="D161" s="263" t="s"/>
      <c r="E161" s="263" t="s"/>
      <c r="F161" s="263" t="s"/>
      <c r="G161" s="263" t="s"/>
      <c r="H161" s="263" t="s"/>
      <c r="I161" s="263" t="s"/>
      <c r="J161" s="340" t="s"/>
      <c r="K161" s="340" t="s"/>
      <c r="L161" s="263" t="s"/>
      <c r="M161" s="263" t="s"/>
      <c r="N161" s="263" t="s"/>
      <c r="O161" s="263" t="s"/>
      <c r="P161" s="263" t="s"/>
      <c r="Q161" s="263" t="s"/>
      <c r="R161" s="263" t="s"/>
      <c r="S161" s="263" t="s"/>
      <c r="T161" s="263" t="s"/>
      <c r="U161" s="263" t="s"/>
      <c r="V161" s="263" t="s"/>
      <c r="W161" s="263" t="s"/>
      <c r="X161" s="263" t="s"/>
      <c r="Y161" s="263" t="s"/>
    </row>
    <row r="162" spans="1:25" customHeight="false">
      <c r="A162" s="263" t="s"/>
      <c r="B162" s="263" t="s"/>
      <c r="C162" s="263" t="s"/>
      <c r="D162" s="263" t="s"/>
      <c r="E162" s="263" t="s"/>
      <c r="F162" s="263" t="s"/>
      <c r="G162" s="263" t="s"/>
      <c r="H162" s="263" t="s"/>
      <c r="I162" s="263" t="s"/>
      <c r="J162" s="340" t="s"/>
      <c r="K162" s="340" t="s"/>
      <c r="L162" s="263" t="s"/>
      <c r="M162" s="263" t="s"/>
      <c r="N162" s="263" t="s"/>
      <c r="O162" s="263" t="s"/>
      <c r="P162" s="263" t="s"/>
      <c r="Q162" s="263" t="s"/>
      <c r="R162" s="263" t="s"/>
      <c r="S162" s="263" t="s"/>
      <c r="T162" s="263" t="s"/>
      <c r="U162" s="263" t="s"/>
      <c r="V162" s="263" t="s"/>
      <c r="W162" s="263" t="s"/>
      <c r="X162" s="263" t="s"/>
      <c r="Y162" s="263" t="s"/>
    </row>
    <row r="163" spans="1:25" customHeight="false">
      <c r="A163" s="263" t="s"/>
      <c r="B163" s="263" t="s"/>
      <c r="C163" s="263" t="s"/>
      <c r="D163" s="263" t="s"/>
      <c r="E163" s="263" t="s"/>
      <c r="F163" s="263" t="s"/>
      <c r="G163" s="263" t="s"/>
      <c r="H163" s="263" t="s"/>
      <c r="I163" s="263" t="s"/>
      <c r="J163" s="340" t="s"/>
      <c r="K163" s="340" t="s"/>
      <c r="L163" s="263" t="s"/>
      <c r="M163" s="263" t="s"/>
      <c r="N163" s="263" t="s"/>
      <c r="O163" s="263" t="s"/>
      <c r="P163" s="263" t="s"/>
      <c r="Q163" s="263" t="s"/>
      <c r="R163" s="263" t="s"/>
      <c r="S163" s="263" t="s"/>
      <c r="T163" s="263" t="s"/>
      <c r="U163" s="263" t="s"/>
      <c r="V163" s="263" t="s"/>
      <c r="W163" s="263" t="s"/>
      <c r="X163" s="263" t="s"/>
      <c r="Y163" s="263" t="s"/>
    </row>
    <row r="164" spans="1:25" customHeight="false">
      <c r="A164" s="263" t="s"/>
      <c r="B164" s="263" t="s"/>
      <c r="C164" s="263" t="s"/>
      <c r="D164" s="263" t="s"/>
      <c r="E164" s="263" t="s"/>
      <c r="F164" s="263" t="s"/>
      <c r="G164" s="263" t="s"/>
      <c r="H164" s="263" t="s"/>
      <c r="I164" s="263" t="s"/>
      <c r="J164" s="340" t="s"/>
      <c r="K164" s="340" t="s"/>
      <c r="L164" s="263" t="s"/>
      <c r="M164" s="263" t="s"/>
      <c r="N164" s="263" t="s"/>
      <c r="O164" s="263" t="s"/>
      <c r="P164" s="263" t="s"/>
      <c r="Q164" s="263" t="s"/>
      <c r="R164" s="263" t="s"/>
      <c r="S164" s="263" t="s"/>
      <c r="T164" s="263" t="s"/>
      <c r="U164" s="263" t="s"/>
      <c r="V164" s="263" t="s"/>
      <c r="W164" s="263" t="s"/>
      <c r="X164" s="263" t="s"/>
      <c r="Y164" s="263" t="s"/>
    </row>
    <row r="165" spans="1:25" customHeight="false">
      <c r="A165" s="263" t="s"/>
      <c r="B165" s="263" t="s"/>
      <c r="C165" s="263" t="s"/>
      <c r="D165" s="263" t="s"/>
      <c r="E165" s="263" t="s"/>
      <c r="F165" s="263" t="s"/>
      <c r="G165" s="263" t="s"/>
      <c r="H165" s="263" t="s"/>
      <c r="I165" s="263" t="s"/>
      <c r="J165" s="340" t="s"/>
      <c r="K165" s="340" t="s"/>
      <c r="L165" s="263" t="s"/>
      <c r="M165" s="263" t="s"/>
      <c r="N165" s="263" t="s"/>
      <c r="O165" s="263" t="s"/>
      <c r="P165" s="263" t="s"/>
      <c r="Q165" s="263" t="s"/>
      <c r="R165" s="263" t="s"/>
      <c r="S165" s="263" t="s"/>
      <c r="T165" s="263" t="s"/>
      <c r="U165" s="263" t="s"/>
      <c r="V165" s="263" t="s"/>
      <c r="W165" s="263" t="s"/>
      <c r="X165" s="263" t="s"/>
      <c r="Y165" s="263" t="s"/>
    </row>
    <row r="166" spans="1:25" customHeight="false">
      <c r="A166" s="263" t="s"/>
      <c r="B166" s="263" t="s"/>
      <c r="C166" s="263" t="s"/>
      <c r="D166" s="263" t="s"/>
      <c r="E166" s="263" t="s"/>
      <c r="F166" s="263" t="s"/>
      <c r="G166" s="263" t="s"/>
      <c r="H166" s="263" t="s"/>
      <c r="I166" s="263" t="s"/>
      <c r="J166" s="340" t="s"/>
      <c r="K166" s="340" t="s"/>
      <c r="L166" s="263" t="s"/>
      <c r="M166" s="263" t="s"/>
      <c r="N166" s="263" t="s"/>
      <c r="O166" s="263" t="s"/>
      <c r="P166" s="263" t="s"/>
      <c r="Q166" s="263" t="s"/>
      <c r="R166" s="263" t="s"/>
      <c r="S166" s="263" t="s"/>
      <c r="T166" s="263" t="s"/>
      <c r="U166" s="263" t="s"/>
      <c r="V166" s="263" t="s"/>
      <c r="W166" s="263" t="s"/>
      <c r="X166" s="263" t="s"/>
      <c r="Y166" s="263" t="s"/>
    </row>
    <row r="167" spans="1:25" customHeight="false">
      <c r="A167" s="263" t="s"/>
      <c r="B167" s="263" t="s"/>
      <c r="C167" s="263" t="s"/>
      <c r="D167" s="263" t="s"/>
      <c r="E167" s="263" t="s"/>
      <c r="F167" s="263" t="s"/>
      <c r="G167" s="263" t="s"/>
      <c r="H167" s="263" t="s"/>
      <c r="I167" s="263" t="s"/>
      <c r="J167" s="340" t="s"/>
      <c r="K167" s="340" t="s"/>
      <c r="L167" s="263" t="s"/>
      <c r="M167" s="263" t="s"/>
      <c r="N167" s="263" t="s"/>
      <c r="O167" s="263" t="s"/>
      <c r="P167" s="263" t="s"/>
      <c r="Q167" s="263" t="s"/>
      <c r="R167" s="263" t="s"/>
      <c r="S167" s="263" t="s"/>
      <c r="T167" s="263" t="s"/>
      <c r="U167" s="263" t="s"/>
      <c r="V167" s="263" t="s"/>
      <c r="W167" s="263" t="s"/>
      <c r="X167" s="263" t="s"/>
      <c r="Y167" s="263" t="s"/>
    </row>
    <row r="168" spans="1:25" customHeight="false">
      <c r="A168" s="263" t="s"/>
      <c r="B168" s="263" t="s"/>
      <c r="C168" s="263" t="s"/>
      <c r="D168" s="263" t="s"/>
      <c r="E168" s="263" t="s"/>
      <c r="F168" s="263" t="s"/>
      <c r="G168" s="263" t="s"/>
      <c r="H168" s="263" t="s"/>
      <c r="I168" s="263" t="s"/>
      <c r="J168" s="340" t="s"/>
      <c r="K168" s="340" t="s"/>
      <c r="L168" s="263" t="s"/>
      <c r="M168" s="263" t="s"/>
      <c r="N168" s="263" t="s"/>
      <c r="O168" s="263" t="s"/>
      <c r="P168" s="263" t="s"/>
      <c r="Q168" s="263" t="s"/>
      <c r="R168" s="263" t="s"/>
      <c r="S168" s="263" t="s"/>
      <c r="T168" s="263" t="s"/>
      <c r="U168" s="263" t="s"/>
      <c r="V168" s="263" t="s"/>
      <c r="W168" s="263" t="s"/>
      <c r="X168" s="263" t="s"/>
      <c r="Y168" s="263" t="s"/>
    </row>
    <row r="169" spans="1:25" customHeight="false">
      <c r="A169" s="263" t="s"/>
      <c r="B169" s="263" t="s"/>
      <c r="C169" s="263" t="s"/>
      <c r="D169" s="263" t="s"/>
      <c r="E169" s="263" t="s"/>
      <c r="F169" s="263" t="s"/>
      <c r="G169" s="263" t="s"/>
      <c r="H169" s="263" t="s"/>
      <c r="I169" s="263" t="s"/>
      <c r="J169" s="340" t="s"/>
      <c r="K169" s="340" t="s"/>
      <c r="L169" s="263" t="s"/>
      <c r="M169" s="263" t="s"/>
      <c r="N169" s="263" t="s"/>
      <c r="O169" s="263" t="s"/>
      <c r="P169" s="263" t="s"/>
      <c r="Q169" s="263" t="s"/>
      <c r="R169" s="263" t="s"/>
      <c r="S169" s="263" t="s"/>
      <c r="T169" s="263" t="s"/>
      <c r="U169" s="263" t="s"/>
      <c r="V169" s="263" t="s"/>
      <c r="W169" s="263" t="s"/>
      <c r="X169" s="263" t="s"/>
      <c r="Y169" s="263" t="s"/>
    </row>
    <row r="170" spans="1:25" customHeight="false">
      <c r="A170" s="263" t="s"/>
      <c r="B170" s="263" t="s"/>
      <c r="C170" s="263" t="s"/>
      <c r="D170" s="263" t="s"/>
      <c r="E170" s="263" t="s"/>
      <c r="F170" s="263" t="s"/>
      <c r="G170" s="263" t="s"/>
      <c r="H170" s="263" t="s"/>
      <c r="I170" s="263" t="s"/>
      <c r="J170" s="340" t="s"/>
      <c r="K170" s="340" t="s"/>
      <c r="L170" s="263" t="s"/>
      <c r="M170" s="263" t="s"/>
      <c r="N170" s="263" t="s"/>
      <c r="O170" s="263" t="s"/>
      <c r="P170" s="263" t="s"/>
      <c r="Q170" s="263" t="s"/>
      <c r="R170" s="263" t="s"/>
      <c r="S170" s="263" t="s"/>
      <c r="T170" s="263" t="s"/>
      <c r="U170" s="263" t="s"/>
      <c r="V170" s="263" t="s"/>
      <c r="W170" s="263" t="s"/>
      <c r="X170" s="263" t="s"/>
      <c r="Y170" s="263" t="s"/>
    </row>
    <row r="171" spans="1:25" customHeight="false">
      <c r="A171" s="263" t="s"/>
      <c r="B171" s="263" t="s"/>
      <c r="C171" s="263" t="s"/>
      <c r="D171" s="263" t="s"/>
      <c r="E171" s="263" t="s"/>
      <c r="F171" s="263" t="s"/>
      <c r="G171" s="263" t="s"/>
      <c r="H171" s="263" t="s"/>
      <c r="I171" s="263" t="s"/>
      <c r="J171" s="340" t="s"/>
      <c r="K171" s="340" t="s"/>
      <c r="L171" s="263" t="s"/>
      <c r="M171" s="263" t="s"/>
      <c r="N171" s="263" t="s"/>
      <c r="O171" s="263" t="s"/>
      <c r="P171" s="263" t="s"/>
      <c r="Q171" s="263" t="s"/>
      <c r="R171" s="263" t="s"/>
      <c r="S171" s="263" t="s"/>
      <c r="T171" s="263" t="s"/>
      <c r="U171" s="263" t="s"/>
      <c r="V171" s="263" t="s"/>
      <c r="W171" s="263" t="s"/>
      <c r="X171" s="263" t="s"/>
      <c r="Y171" s="263" t="s"/>
    </row>
    <row r="172" spans="1:25" customHeight="false">
      <c r="A172" s="263" t="s"/>
      <c r="B172" s="263" t="s"/>
      <c r="C172" s="263" t="s"/>
      <c r="D172" s="263" t="s"/>
      <c r="E172" s="263" t="s"/>
      <c r="F172" s="263" t="s"/>
      <c r="G172" s="263" t="s"/>
      <c r="H172" s="263" t="s"/>
      <c r="I172" s="263" t="s"/>
      <c r="J172" s="340" t="s"/>
      <c r="K172" s="340" t="s"/>
      <c r="L172" s="263" t="s"/>
      <c r="M172" s="263" t="s"/>
      <c r="N172" s="263" t="s"/>
      <c r="O172" s="263" t="s"/>
      <c r="P172" s="263" t="s"/>
      <c r="Q172" s="263" t="s"/>
      <c r="R172" s="263" t="s"/>
      <c r="S172" s="263" t="s"/>
      <c r="T172" s="263" t="s"/>
      <c r="U172" s="263" t="s"/>
      <c r="V172" s="263" t="s"/>
      <c r="W172" s="263" t="s"/>
      <c r="X172" s="263" t="s"/>
      <c r="Y172" s="263" t="s"/>
    </row>
    <row r="173" spans="1:25" customHeight="false">
      <c r="A173" s="263" t="s"/>
      <c r="B173" s="263" t="s"/>
      <c r="C173" s="263" t="s"/>
      <c r="D173" s="263" t="s"/>
      <c r="E173" s="263" t="s"/>
      <c r="F173" s="263" t="s"/>
      <c r="G173" s="263" t="s"/>
      <c r="H173" s="263" t="s"/>
      <c r="I173" s="263" t="s"/>
      <c r="J173" s="340" t="s"/>
      <c r="K173" s="340" t="s"/>
      <c r="L173" s="263" t="s"/>
      <c r="M173" s="263" t="s"/>
      <c r="N173" s="263" t="s"/>
      <c r="O173" s="263" t="s"/>
      <c r="P173" s="263" t="s"/>
      <c r="Q173" s="263" t="s"/>
      <c r="R173" s="263" t="s"/>
      <c r="S173" s="263" t="s"/>
      <c r="T173" s="263" t="s"/>
      <c r="U173" s="263" t="s"/>
      <c r="V173" s="263" t="s"/>
      <c r="W173" s="263" t="s"/>
      <c r="X173" s="263" t="s"/>
      <c r="Y173" s="263" t="s"/>
    </row>
    <row r="174" spans="1:25" customHeight="false">
      <c r="A174" s="263" t="s"/>
      <c r="B174" s="263" t="s"/>
      <c r="C174" s="263" t="s"/>
      <c r="D174" s="263" t="s"/>
      <c r="E174" s="263" t="s"/>
      <c r="F174" s="263" t="s"/>
      <c r="G174" s="263" t="s"/>
      <c r="H174" s="263" t="s"/>
      <c r="I174" s="263" t="s"/>
      <c r="J174" s="340" t="s"/>
      <c r="K174" s="340" t="s"/>
      <c r="L174" s="263" t="s"/>
      <c r="M174" s="263" t="s"/>
      <c r="N174" s="263" t="s"/>
      <c r="O174" s="263" t="s"/>
      <c r="P174" s="263" t="s"/>
      <c r="Q174" s="263" t="s"/>
      <c r="R174" s="263" t="s"/>
      <c r="S174" s="263" t="s"/>
      <c r="T174" s="263" t="s"/>
      <c r="U174" s="263" t="s"/>
      <c r="V174" s="263" t="s"/>
      <c r="W174" s="263" t="s"/>
      <c r="X174" s="263" t="s"/>
      <c r="Y174" s="263" t="s"/>
    </row>
    <row r="175" spans="1:25" customHeight="false">
      <c r="A175" s="263" t="s"/>
      <c r="B175" s="263" t="s"/>
      <c r="C175" s="263" t="s"/>
      <c r="D175" s="263" t="s"/>
      <c r="E175" s="263" t="s"/>
      <c r="F175" s="263" t="s"/>
      <c r="G175" s="263" t="s"/>
      <c r="H175" s="263" t="s"/>
      <c r="I175" s="263" t="s"/>
      <c r="J175" s="340" t="s"/>
      <c r="K175" s="340" t="s"/>
      <c r="L175" s="263" t="s"/>
      <c r="M175" s="263" t="s"/>
      <c r="N175" s="263" t="s"/>
      <c r="O175" s="263" t="s"/>
      <c r="P175" s="263" t="s"/>
      <c r="Q175" s="263" t="s"/>
      <c r="R175" s="263" t="s"/>
      <c r="S175" s="263" t="s"/>
      <c r="T175" s="263" t="s"/>
      <c r="U175" s="263" t="s"/>
      <c r="V175" s="263" t="s"/>
      <c r="W175" s="263" t="s"/>
      <c r="X175" s="263" t="s"/>
      <c r="Y175" s="263" t="s"/>
    </row>
    <row r="176" spans="1:25" customHeight="false">
      <c r="A176" s="263" t="s"/>
      <c r="B176" s="263" t="s"/>
      <c r="C176" s="263" t="s"/>
      <c r="D176" s="263" t="s"/>
      <c r="E176" s="263" t="s"/>
      <c r="F176" s="263" t="s"/>
      <c r="G176" s="263" t="s"/>
      <c r="H176" s="263" t="s"/>
      <c r="I176" s="263" t="s"/>
      <c r="J176" s="340" t="s"/>
      <c r="K176" s="340" t="s"/>
      <c r="L176" s="263" t="s"/>
      <c r="M176" s="263" t="s"/>
      <c r="N176" s="263" t="s"/>
      <c r="O176" s="263" t="s"/>
      <c r="P176" s="263" t="s"/>
      <c r="Q176" s="263" t="s"/>
      <c r="R176" s="263" t="s"/>
      <c r="S176" s="263" t="s"/>
      <c r="T176" s="263" t="s"/>
      <c r="U176" s="263" t="s"/>
      <c r="V176" s="263" t="s"/>
      <c r="W176" s="263" t="s"/>
      <c r="X176" s="263" t="s"/>
      <c r="Y176" s="263" t="s"/>
    </row>
    <row r="177" spans="1:25" customHeight="false">
      <c r="A177" s="263" t="s"/>
      <c r="B177" s="263" t="s"/>
      <c r="C177" s="263" t="s"/>
      <c r="D177" s="263" t="s"/>
      <c r="E177" s="263" t="s"/>
      <c r="F177" s="263" t="s"/>
      <c r="G177" s="263" t="s"/>
      <c r="H177" s="263" t="s"/>
      <c r="I177" s="263" t="s"/>
      <c r="J177" s="340" t="s"/>
      <c r="K177" s="340" t="s"/>
      <c r="L177" s="263" t="s"/>
      <c r="M177" s="263" t="s"/>
      <c r="N177" s="263" t="s"/>
      <c r="O177" s="263" t="s"/>
      <c r="P177" s="263" t="s"/>
      <c r="Q177" s="263" t="s"/>
      <c r="R177" s="263" t="s"/>
      <c r="S177" s="263" t="s"/>
      <c r="T177" s="263" t="s"/>
      <c r="U177" s="263" t="s"/>
      <c r="V177" s="263" t="s"/>
      <c r="W177" s="263" t="s"/>
      <c r="X177" s="263" t="s"/>
      <c r="Y177" s="263" t="s"/>
    </row>
    <row r="178" spans="1:25" customHeight="false">
      <c r="A178" s="263" t="s"/>
      <c r="B178" s="263" t="s"/>
      <c r="C178" s="263" t="s"/>
      <c r="D178" s="263" t="s"/>
      <c r="E178" s="263" t="s"/>
      <c r="F178" s="263" t="s"/>
      <c r="G178" s="263" t="s"/>
      <c r="H178" s="263" t="s"/>
      <c r="I178" s="263" t="s"/>
      <c r="J178" s="340" t="s"/>
      <c r="K178" s="340" t="s"/>
      <c r="L178" s="263" t="s"/>
      <c r="M178" s="263" t="s"/>
      <c r="N178" s="263" t="s"/>
      <c r="O178" s="263" t="s"/>
      <c r="P178" s="263" t="s"/>
      <c r="Q178" s="263" t="s"/>
      <c r="R178" s="263" t="s"/>
      <c r="S178" s="263" t="s"/>
      <c r="T178" s="263" t="s"/>
      <c r="U178" s="263" t="s"/>
      <c r="V178" s="263" t="s"/>
      <c r="W178" s="263" t="s"/>
      <c r="X178" s="263" t="s"/>
      <c r="Y178" s="263" t="s"/>
    </row>
    <row r="179" spans="1:25" customHeight="false">
      <c r="A179" s="263" t="s"/>
      <c r="B179" s="263" t="s"/>
      <c r="C179" s="263" t="s"/>
      <c r="D179" s="263" t="s"/>
      <c r="E179" s="263" t="s"/>
      <c r="F179" s="263" t="s"/>
      <c r="G179" s="263" t="s"/>
      <c r="H179" s="263" t="s"/>
      <c r="I179" s="263" t="s"/>
      <c r="J179" s="340" t="s"/>
      <c r="K179" s="340" t="s"/>
      <c r="L179" s="263" t="s"/>
      <c r="M179" s="263" t="s"/>
      <c r="N179" s="263" t="s"/>
      <c r="O179" s="263" t="s"/>
      <c r="P179" s="263" t="s"/>
      <c r="Q179" s="263" t="s"/>
      <c r="R179" s="263" t="s"/>
      <c r="S179" s="263" t="s"/>
      <c r="T179" s="263" t="s"/>
      <c r="U179" s="263" t="s"/>
      <c r="V179" s="263" t="s"/>
      <c r="W179" s="263" t="s"/>
      <c r="X179" s="263" t="s"/>
      <c r="Y179" s="263" t="s"/>
    </row>
    <row r="180" spans="1:25" customHeight="false">
      <c r="A180" s="263" t="s"/>
      <c r="B180" s="263" t="s"/>
      <c r="C180" s="263" t="s"/>
      <c r="D180" s="263" t="s"/>
      <c r="E180" s="263" t="s"/>
      <c r="F180" s="263" t="s"/>
      <c r="G180" s="263" t="s"/>
      <c r="H180" s="263" t="s"/>
      <c r="I180" s="263" t="s"/>
      <c r="J180" s="340" t="s"/>
      <c r="K180" s="340" t="s"/>
      <c r="L180" s="263" t="s"/>
      <c r="M180" s="263" t="s"/>
      <c r="N180" s="263" t="s"/>
      <c r="O180" s="263" t="s"/>
      <c r="P180" s="263" t="s"/>
      <c r="Q180" s="263" t="s"/>
      <c r="R180" s="263" t="s"/>
      <c r="S180" s="263" t="s"/>
      <c r="T180" s="263" t="s"/>
      <c r="U180" s="263" t="s"/>
      <c r="V180" s="263" t="s"/>
      <c r="W180" s="263" t="s"/>
      <c r="X180" s="263" t="s"/>
      <c r="Y180" s="263" t="s"/>
    </row>
    <row r="181" spans="1:25" customHeight="false">
      <c r="A181" s="263" t="s"/>
      <c r="B181" s="263" t="s"/>
      <c r="C181" s="263" t="s"/>
      <c r="D181" s="263" t="s"/>
      <c r="E181" s="263" t="s"/>
      <c r="F181" s="263" t="s"/>
      <c r="G181" s="263" t="s"/>
      <c r="H181" s="263" t="s"/>
      <c r="I181" s="263" t="s"/>
      <c r="J181" s="340" t="s"/>
      <c r="K181" s="340" t="s"/>
      <c r="L181" s="263" t="s"/>
      <c r="M181" s="263" t="s"/>
      <c r="N181" s="263" t="s"/>
      <c r="O181" s="263" t="s"/>
      <c r="P181" s="263" t="s"/>
      <c r="Q181" s="263" t="s"/>
      <c r="R181" s="263" t="s"/>
      <c r="S181" s="263" t="s"/>
      <c r="T181" s="263" t="s"/>
      <c r="U181" s="263" t="s"/>
      <c r="V181" s="263" t="s"/>
      <c r="W181" s="263" t="s"/>
      <c r="X181" s="263" t="s"/>
      <c r="Y181" s="263" t="s"/>
    </row>
    <row r="182" spans="1:25" customHeight="false">
      <c r="A182" s="263" t="s"/>
      <c r="B182" s="263" t="s"/>
      <c r="C182" s="263" t="s"/>
      <c r="D182" s="263" t="s"/>
      <c r="E182" s="263" t="s"/>
      <c r="F182" s="263" t="s"/>
      <c r="G182" s="263" t="s"/>
      <c r="H182" s="263" t="s"/>
      <c r="I182" s="263" t="s"/>
      <c r="J182" s="340" t="s"/>
      <c r="K182" s="340" t="s"/>
      <c r="L182" s="263" t="s"/>
      <c r="M182" s="263" t="s"/>
      <c r="N182" s="263" t="s"/>
      <c r="O182" s="263" t="s"/>
      <c r="P182" s="263" t="s"/>
      <c r="Q182" s="263" t="s"/>
      <c r="R182" s="263" t="s"/>
      <c r="S182" s="263" t="s"/>
      <c r="T182" s="263" t="s"/>
      <c r="U182" s="263" t="s"/>
      <c r="V182" s="263" t="s"/>
      <c r="W182" s="263" t="s"/>
      <c r="X182" s="263" t="s"/>
      <c r="Y182" s="263" t="s"/>
    </row>
    <row r="183" spans="1:25" customHeight="false">
      <c r="A183" s="263" t="s"/>
      <c r="B183" s="263" t="s"/>
      <c r="C183" s="263" t="s"/>
      <c r="D183" s="263" t="s"/>
      <c r="E183" s="263" t="s"/>
      <c r="F183" s="263" t="s"/>
      <c r="G183" s="263" t="s"/>
      <c r="H183" s="263" t="s"/>
      <c r="I183" s="263" t="s"/>
      <c r="J183" s="340" t="s"/>
      <c r="K183" s="340" t="s"/>
      <c r="L183" s="263" t="s"/>
      <c r="M183" s="263" t="s"/>
      <c r="N183" s="263" t="s"/>
      <c r="O183" s="263" t="s"/>
      <c r="P183" s="263" t="s"/>
      <c r="Q183" s="263" t="s"/>
      <c r="R183" s="263" t="s"/>
      <c r="S183" s="263" t="s"/>
      <c r="T183" s="263" t="s"/>
      <c r="U183" s="263" t="s"/>
      <c r="V183" s="263" t="s"/>
      <c r="W183" s="263" t="s"/>
      <c r="X183" s="263" t="s"/>
      <c r="Y183" s="263" t="s"/>
    </row>
    <row r="184" spans="1:25" customHeight="false">
      <c r="A184" s="263" t="s"/>
      <c r="B184" s="263" t="s"/>
      <c r="C184" s="263" t="s"/>
      <c r="D184" s="263" t="s"/>
      <c r="E184" s="263" t="s"/>
      <c r="F184" s="263" t="s"/>
      <c r="G184" s="263" t="s"/>
      <c r="H184" s="263" t="s"/>
      <c r="I184" s="263" t="s"/>
      <c r="J184" s="340" t="s"/>
      <c r="K184" s="340" t="s"/>
      <c r="L184" s="263" t="s"/>
      <c r="M184" s="263" t="s"/>
      <c r="N184" s="263" t="s"/>
      <c r="O184" s="263" t="s"/>
      <c r="P184" s="263" t="s"/>
      <c r="Q184" s="263" t="s"/>
      <c r="R184" s="263" t="s"/>
      <c r="S184" s="263" t="s"/>
      <c r="T184" s="263" t="s"/>
      <c r="U184" s="263" t="s"/>
      <c r="V184" s="263" t="s"/>
      <c r="W184" s="263" t="s"/>
      <c r="X184" s="263" t="s"/>
      <c r="Y184" s="263" t="s"/>
    </row>
    <row r="185" spans="1:25" customHeight="false">
      <c r="A185" s="263" t="s"/>
      <c r="B185" s="263" t="s"/>
      <c r="C185" s="263" t="s"/>
      <c r="D185" s="263" t="s"/>
      <c r="E185" s="263" t="s"/>
      <c r="F185" s="263" t="s"/>
      <c r="G185" s="263" t="s"/>
      <c r="H185" s="263" t="s"/>
      <c r="I185" s="263" t="s"/>
      <c r="J185" s="340" t="s"/>
      <c r="K185" s="340" t="s"/>
      <c r="L185" s="263" t="s"/>
      <c r="M185" s="263" t="s"/>
      <c r="N185" s="263" t="s"/>
      <c r="O185" s="263" t="s"/>
      <c r="P185" s="263" t="s"/>
      <c r="Q185" s="263" t="s"/>
      <c r="R185" s="263" t="s"/>
      <c r="S185" s="263" t="s"/>
      <c r="T185" s="263" t="s"/>
      <c r="U185" s="263" t="s"/>
      <c r="V185" s="263" t="s"/>
      <c r="W185" s="263" t="s"/>
      <c r="X185" s="263" t="s"/>
      <c r="Y185" s="263" t="s"/>
    </row>
    <row r="186" spans="1:25" customHeight="false">
      <c r="A186" s="263" t="s"/>
      <c r="B186" s="263" t="s"/>
      <c r="C186" s="263" t="s"/>
      <c r="D186" s="263" t="s"/>
      <c r="E186" s="263" t="s"/>
      <c r="F186" s="263" t="s"/>
      <c r="G186" s="263" t="s"/>
      <c r="H186" s="263" t="s"/>
      <c r="I186" s="263" t="s"/>
      <c r="J186" s="340" t="s"/>
      <c r="K186" s="340" t="s"/>
      <c r="L186" s="263" t="s"/>
      <c r="M186" s="263" t="s"/>
      <c r="N186" s="263" t="s"/>
      <c r="O186" s="263" t="s"/>
      <c r="P186" s="263" t="s"/>
      <c r="Q186" s="263" t="s"/>
      <c r="R186" s="263" t="s"/>
      <c r="S186" s="263" t="s"/>
      <c r="T186" s="263" t="s"/>
      <c r="U186" s="263" t="s"/>
      <c r="V186" s="263" t="s"/>
      <c r="W186" s="263" t="s"/>
      <c r="X186" s="263" t="s"/>
      <c r="Y186" s="263" t="s"/>
    </row>
    <row r="187" spans="1:25" customHeight="false">
      <c r="A187" s="263" t="s"/>
      <c r="B187" s="263" t="s"/>
      <c r="C187" s="263" t="s"/>
      <c r="D187" s="263" t="s"/>
      <c r="E187" s="263" t="s"/>
      <c r="F187" s="263" t="s"/>
      <c r="G187" s="263" t="s"/>
      <c r="H187" s="263" t="s"/>
      <c r="I187" s="263" t="s"/>
      <c r="J187" s="340" t="s"/>
      <c r="K187" s="340" t="s"/>
      <c r="L187" s="263" t="s"/>
      <c r="M187" s="263" t="s"/>
      <c r="N187" s="263" t="s"/>
      <c r="O187" s="263" t="s"/>
      <c r="P187" s="263" t="s"/>
      <c r="Q187" s="263" t="s"/>
      <c r="R187" s="263" t="s"/>
      <c r="S187" s="263" t="s"/>
      <c r="T187" s="263" t="s"/>
      <c r="U187" s="263" t="s"/>
      <c r="V187" s="263" t="s"/>
      <c r="W187" s="263" t="s"/>
      <c r="X187" s="263" t="s"/>
      <c r="Y187" s="263" t="s"/>
    </row>
    <row r="188" spans="1:25" customHeight="false">
      <c r="A188" s="263" t="s"/>
      <c r="B188" s="263" t="s"/>
      <c r="C188" s="263" t="s"/>
      <c r="D188" s="263" t="s"/>
      <c r="E188" s="263" t="s"/>
      <c r="F188" s="263" t="s"/>
      <c r="G188" s="263" t="s"/>
      <c r="H188" s="263" t="s"/>
      <c r="I188" s="263" t="s"/>
      <c r="J188" s="340" t="s"/>
      <c r="K188" s="340" t="s"/>
      <c r="L188" s="263" t="s"/>
      <c r="M188" s="263" t="s"/>
      <c r="N188" s="263" t="s"/>
      <c r="O188" s="263" t="s"/>
      <c r="P188" s="263" t="s"/>
      <c r="Q188" s="263" t="s"/>
      <c r="R188" s="263" t="s"/>
      <c r="S188" s="263" t="s"/>
      <c r="T188" s="263" t="s"/>
      <c r="U188" s="263" t="s"/>
      <c r="V188" s="263" t="s"/>
      <c r="W188" s="263" t="s"/>
      <c r="X188" s="263" t="s"/>
      <c r="Y188" s="263" t="s"/>
    </row>
    <row r="189" spans="1:25" customHeight="false">
      <c r="A189" s="263" t="s"/>
      <c r="B189" s="263" t="s"/>
      <c r="C189" s="263" t="s"/>
      <c r="D189" s="263" t="s"/>
      <c r="E189" s="263" t="s"/>
      <c r="F189" s="263" t="s"/>
      <c r="G189" s="263" t="s"/>
      <c r="H189" s="263" t="s"/>
      <c r="I189" s="263" t="s"/>
      <c r="J189" s="340" t="s"/>
      <c r="K189" s="340" t="s"/>
      <c r="L189" s="263" t="s"/>
      <c r="M189" s="263" t="s"/>
      <c r="N189" s="263" t="s"/>
      <c r="O189" s="263" t="s"/>
      <c r="P189" s="263" t="s"/>
      <c r="Q189" s="263" t="s"/>
      <c r="R189" s="263" t="s"/>
      <c r="S189" s="263" t="s"/>
      <c r="T189" s="263" t="s"/>
      <c r="U189" s="263" t="s"/>
      <c r="V189" s="263" t="s"/>
      <c r="W189" s="263" t="s"/>
      <c r="X189" s="263" t="s"/>
      <c r="Y189" s="263" t="s"/>
    </row>
    <row r="190" spans="1:25" customHeight="false">
      <c r="A190" s="263" t="s"/>
      <c r="B190" s="263" t="s"/>
      <c r="C190" s="263" t="s"/>
      <c r="D190" s="263" t="s"/>
      <c r="E190" s="263" t="s"/>
      <c r="F190" s="263" t="s"/>
      <c r="G190" s="263" t="s"/>
      <c r="H190" s="263" t="s"/>
      <c r="I190" s="263" t="s"/>
      <c r="J190" s="340" t="s"/>
      <c r="K190" s="340" t="s"/>
      <c r="L190" s="263" t="s"/>
      <c r="M190" s="263" t="s"/>
      <c r="N190" s="263" t="s"/>
      <c r="O190" s="263" t="s"/>
      <c r="P190" s="263" t="s"/>
      <c r="Q190" s="263" t="s"/>
      <c r="R190" s="263" t="s"/>
      <c r="S190" s="263" t="s"/>
      <c r="T190" s="263" t="s"/>
      <c r="U190" s="263" t="s"/>
      <c r="V190" s="263" t="s"/>
      <c r="W190" s="263" t="s"/>
      <c r="X190" s="263" t="s"/>
      <c r="Y190" s="263" t="s"/>
    </row>
    <row r="191" spans="1:25" customHeight="false">
      <c r="A191" s="263" t="s"/>
      <c r="B191" s="263" t="s"/>
      <c r="C191" s="263" t="s"/>
      <c r="D191" s="263" t="s"/>
      <c r="E191" s="263" t="s"/>
      <c r="F191" s="263" t="s"/>
      <c r="G191" s="263" t="s"/>
      <c r="H191" s="263" t="s"/>
      <c r="I191" s="263" t="s"/>
      <c r="J191" s="340" t="s"/>
      <c r="K191" s="340" t="s"/>
      <c r="L191" s="263" t="s"/>
      <c r="M191" s="263" t="s"/>
      <c r="N191" s="263" t="s"/>
      <c r="O191" s="263" t="s"/>
      <c r="P191" s="263" t="s"/>
      <c r="Q191" s="263" t="s"/>
      <c r="R191" s="263" t="s"/>
      <c r="S191" s="263" t="s"/>
      <c r="T191" s="263" t="s"/>
      <c r="U191" s="263" t="s"/>
      <c r="V191" s="263" t="s"/>
      <c r="W191" s="263" t="s"/>
      <c r="X191" s="263" t="s"/>
      <c r="Y191" s="263" t="s"/>
    </row>
    <row r="192" spans="1:25" customHeight="false">
      <c r="A192" s="263" t="s"/>
      <c r="B192" s="263" t="s"/>
      <c r="C192" s="263" t="s"/>
      <c r="D192" s="263" t="s"/>
      <c r="E192" s="263" t="s"/>
      <c r="F192" s="263" t="s"/>
      <c r="G192" s="263" t="s"/>
      <c r="H192" s="263" t="s"/>
      <c r="I192" s="263" t="s"/>
      <c r="J192" s="340" t="s"/>
      <c r="K192" s="340" t="s"/>
      <c r="L192" s="263" t="s"/>
      <c r="M192" s="263" t="s"/>
      <c r="N192" s="263" t="s"/>
      <c r="O192" s="263" t="s"/>
      <c r="P192" s="263" t="s"/>
      <c r="Q192" s="263" t="s"/>
      <c r="R192" s="263" t="s"/>
      <c r="S192" s="263" t="s"/>
      <c r="T192" s="263" t="s"/>
      <c r="U192" s="263" t="s"/>
      <c r="V192" s="263" t="s"/>
      <c r="W192" s="263" t="s"/>
      <c r="X192" s="263" t="s"/>
      <c r="Y192" s="263" t="s"/>
    </row>
    <row r="193" spans="1:25" customHeight="false">
      <c r="A193" s="263" t="s"/>
      <c r="B193" s="263" t="s"/>
      <c r="C193" s="263" t="s"/>
      <c r="D193" s="263" t="s"/>
      <c r="E193" s="263" t="s"/>
      <c r="F193" s="263" t="s"/>
      <c r="G193" s="263" t="s"/>
      <c r="H193" s="263" t="s"/>
      <c r="I193" s="263" t="s"/>
      <c r="J193" s="340" t="s"/>
      <c r="K193" s="340" t="s"/>
      <c r="L193" s="263" t="s"/>
      <c r="M193" s="263" t="s"/>
      <c r="N193" s="263" t="s"/>
      <c r="O193" s="263" t="s"/>
      <c r="P193" s="263" t="s"/>
      <c r="Q193" s="263" t="s"/>
      <c r="R193" s="263" t="s"/>
      <c r="S193" s="263" t="s"/>
      <c r="T193" s="263" t="s"/>
      <c r="U193" s="263" t="s"/>
      <c r="V193" s="263" t="s"/>
      <c r="W193" s="263" t="s"/>
      <c r="X193" s="263" t="s"/>
      <c r="Y193" s="263" t="s"/>
    </row>
    <row r="194" spans="1:25" customHeight="false">
      <c r="A194" s="263" t="s"/>
      <c r="B194" s="263" t="s"/>
      <c r="C194" s="263" t="s"/>
      <c r="D194" s="263" t="s"/>
      <c r="E194" s="263" t="s"/>
      <c r="F194" s="263" t="s"/>
      <c r="G194" s="263" t="s"/>
      <c r="H194" s="263" t="s"/>
      <c r="I194" s="263" t="s"/>
      <c r="J194" s="340" t="s"/>
      <c r="K194" s="340" t="s"/>
      <c r="L194" s="263" t="s"/>
      <c r="M194" s="263" t="s"/>
      <c r="N194" s="263" t="s"/>
      <c r="O194" s="263" t="s"/>
      <c r="P194" s="263" t="s"/>
      <c r="Q194" s="263" t="s"/>
      <c r="R194" s="263" t="s"/>
      <c r="S194" s="263" t="s"/>
      <c r="T194" s="263" t="s"/>
      <c r="U194" s="263" t="s"/>
      <c r="V194" s="263" t="s"/>
      <c r="W194" s="263" t="s"/>
      <c r="X194" s="263" t="s"/>
      <c r="Y194" s="263" t="s"/>
    </row>
    <row r="195" spans="1:25" customHeight="false">
      <c r="A195" s="263" t="s"/>
      <c r="B195" s="263" t="s"/>
      <c r="C195" s="263" t="s"/>
      <c r="D195" s="263" t="s"/>
      <c r="E195" s="263" t="s"/>
      <c r="F195" s="263" t="s"/>
      <c r="G195" s="263" t="s"/>
      <c r="H195" s="263" t="s"/>
      <c r="I195" s="263" t="s"/>
      <c r="J195" s="340" t="s"/>
      <c r="K195" s="340" t="s"/>
      <c r="L195" s="263" t="s"/>
      <c r="M195" s="263" t="s"/>
      <c r="N195" s="263" t="s"/>
      <c r="O195" s="263" t="s"/>
      <c r="P195" s="263" t="s"/>
      <c r="Q195" s="263" t="s"/>
      <c r="R195" s="263" t="s"/>
      <c r="S195" s="263" t="s"/>
      <c r="T195" s="263" t="s"/>
      <c r="U195" s="263" t="s"/>
      <c r="V195" s="263" t="s"/>
      <c r="W195" s="263" t="s"/>
      <c r="X195" s="263" t="s"/>
      <c r="Y195" s="263" t="s"/>
    </row>
    <row r="196" spans="1:25" customHeight="false">
      <c r="A196" s="263" t="s"/>
      <c r="B196" s="263" t="s"/>
      <c r="C196" s="263" t="s"/>
      <c r="D196" s="263" t="s"/>
      <c r="E196" s="263" t="s"/>
      <c r="F196" s="263" t="s"/>
      <c r="G196" s="263" t="s"/>
      <c r="H196" s="263" t="s"/>
      <c r="I196" s="263" t="s"/>
      <c r="J196" s="340" t="s"/>
      <c r="K196" s="340" t="s"/>
      <c r="L196" s="263" t="s"/>
      <c r="M196" s="263" t="s"/>
      <c r="N196" s="263" t="s"/>
      <c r="O196" s="263" t="s"/>
      <c r="P196" s="263" t="s"/>
      <c r="Q196" s="263" t="s"/>
      <c r="R196" s="263" t="s"/>
      <c r="S196" s="263" t="s"/>
      <c r="T196" s="263" t="s"/>
      <c r="U196" s="263" t="s"/>
      <c r="V196" s="263" t="s"/>
      <c r="W196" s="263" t="s"/>
      <c r="X196" s="263" t="s"/>
      <c r="Y196" s="263" t="s"/>
    </row>
    <row r="197" spans="1:25" customHeight="false">
      <c r="A197" s="263" t="s"/>
      <c r="B197" s="263" t="s"/>
      <c r="C197" s="263" t="s"/>
      <c r="D197" s="263" t="s"/>
      <c r="E197" s="263" t="s"/>
      <c r="F197" s="263" t="s"/>
      <c r="G197" s="263" t="s"/>
      <c r="H197" s="263" t="s"/>
      <c r="I197" s="263" t="s"/>
      <c r="J197" s="340" t="s"/>
      <c r="K197" s="340" t="s"/>
      <c r="L197" s="263" t="s"/>
      <c r="M197" s="263" t="s"/>
      <c r="N197" s="263" t="s"/>
      <c r="O197" s="263" t="s"/>
      <c r="P197" s="263" t="s"/>
      <c r="Q197" s="263" t="s"/>
      <c r="R197" s="263" t="s"/>
      <c r="S197" s="263" t="s"/>
      <c r="T197" s="263" t="s"/>
      <c r="U197" s="263" t="s"/>
      <c r="V197" s="263" t="s"/>
      <c r="W197" s="263" t="s"/>
      <c r="X197" s="263" t="s"/>
      <c r="Y197" s="263" t="s"/>
    </row>
    <row r="198" spans="1:25" customHeight="false">
      <c r="A198" s="263" t="s"/>
      <c r="B198" s="263" t="s"/>
      <c r="C198" s="263" t="s"/>
      <c r="D198" s="263" t="s"/>
      <c r="E198" s="263" t="s"/>
      <c r="F198" s="263" t="s"/>
      <c r="G198" s="263" t="s"/>
      <c r="H198" s="263" t="s"/>
      <c r="I198" s="263" t="s"/>
      <c r="J198" s="340" t="s"/>
      <c r="K198" s="340" t="s"/>
      <c r="L198" s="263" t="s"/>
      <c r="M198" s="263" t="s"/>
      <c r="N198" s="263" t="s"/>
      <c r="O198" s="263" t="s"/>
      <c r="P198" s="263" t="s"/>
      <c r="Q198" s="263" t="s"/>
      <c r="R198" s="263" t="s"/>
      <c r="S198" s="263" t="s"/>
      <c r="T198" s="263" t="s"/>
      <c r="U198" s="263" t="s"/>
      <c r="V198" s="263" t="s"/>
      <c r="W198" s="263" t="s"/>
      <c r="X198" s="263" t="s"/>
      <c r="Y198" s="263" t="s"/>
    </row>
    <row r="199" spans="1:25" customHeight="false">
      <c r="A199" s="263" t="s"/>
      <c r="B199" s="263" t="s"/>
      <c r="C199" s="263" t="s"/>
      <c r="D199" s="263" t="s"/>
      <c r="E199" s="263" t="s"/>
      <c r="F199" s="263" t="s"/>
      <c r="G199" s="263" t="s"/>
      <c r="H199" s="263" t="s"/>
      <c r="I199" s="263" t="s"/>
      <c r="J199" s="340" t="s"/>
      <c r="K199" s="340" t="s"/>
      <c r="L199" s="263" t="s"/>
      <c r="M199" s="263" t="s"/>
      <c r="N199" s="263" t="s"/>
      <c r="O199" s="263" t="s"/>
      <c r="P199" s="263" t="s"/>
      <c r="Q199" s="263" t="s"/>
      <c r="R199" s="263" t="s"/>
      <c r="S199" s="263" t="s"/>
      <c r="T199" s="263" t="s"/>
      <c r="U199" s="263" t="s"/>
      <c r="V199" s="263" t="s"/>
      <c r="W199" s="263" t="s"/>
      <c r="X199" s="263" t="s"/>
      <c r="Y199" s="263" t="s"/>
    </row>
    <row r="200" spans="1:25" customHeight="false">
      <c r="A200" s="263" t="s"/>
      <c r="B200" s="263" t="s"/>
      <c r="C200" s="263" t="s"/>
      <c r="D200" s="263" t="s"/>
      <c r="E200" s="263" t="s"/>
      <c r="F200" s="263" t="s"/>
      <c r="G200" s="263" t="s"/>
      <c r="H200" s="263" t="s"/>
      <c r="I200" s="263" t="s"/>
      <c r="J200" s="340" t="s"/>
      <c r="K200" s="340" t="s"/>
      <c r="L200" s="263" t="s"/>
      <c r="M200" s="263" t="s"/>
      <c r="N200" s="263" t="s"/>
      <c r="O200" s="263" t="s"/>
      <c r="P200" s="263" t="s"/>
      <c r="Q200" s="263" t="s"/>
      <c r="R200" s="263" t="s"/>
      <c r="S200" s="263" t="s"/>
      <c r="T200" s="263" t="s"/>
      <c r="U200" s="263" t="s"/>
      <c r="V200" s="263" t="s"/>
      <c r="W200" s="263" t="s"/>
      <c r="X200" s="263" t="s"/>
      <c r="Y200" s="263" t="s"/>
    </row>
    <row r="201" spans="1:25" customHeight="false">
      <c r="A201" s="263" t="s"/>
      <c r="B201" s="263" t="s"/>
      <c r="C201" s="263" t="s"/>
      <c r="D201" s="263" t="s"/>
      <c r="E201" s="263" t="s"/>
      <c r="F201" s="263" t="s"/>
      <c r="G201" s="263" t="s"/>
      <c r="H201" s="263" t="s"/>
      <c r="I201" s="263" t="s"/>
      <c r="J201" s="340" t="s"/>
      <c r="K201" s="340" t="s"/>
      <c r="L201" s="263" t="s"/>
      <c r="M201" s="263" t="s"/>
      <c r="N201" s="263" t="s"/>
      <c r="O201" s="263" t="s"/>
      <c r="P201" s="263" t="s"/>
      <c r="Q201" s="263" t="s"/>
      <c r="R201" s="263" t="s"/>
      <c r="S201" s="263" t="s"/>
      <c r="T201" s="263" t="s"/>
      <c r="U201" s="263" t="s"/>
      <c r="V201" s="263" t="s"/>
      <c r="W201" s="263" t="s"/>
      <c r="X201" s="263" t="s"/>
      <c r="Y201" s="263" t="s"/>
    </row>
  </sheetData>
  <mergeCells count="7">
    <mergeCell ref="A1:J1"/>
    <mergeCell ref="C2:G2"/>
    <mergeCell ref="N66:Q66"/>
    <mergeCell ref="T66:W66"/>
    <mergeCell ref="A2:A3"/>
    <mergeCell ref="B2:B3"/>
    <mergeCell ref="K2:K3"/>
  </mergeCells>
</worksheet>
</file>

<file path=xl/worksheets/sheet12.xml><?xml version="1.0" encoding="utf-8"?>
<worksheet xmlns="http://schemas.openxmlformats.org/spreadsheetml/2006/main">
  <sheetPr>
    <tabColor rgb="FFFFFFFF"/>
  </sheetPr>
  <dimension ref="AD201"/>
  <sheetViews>
    <sheetView showGridLines="true" rightToLeft="false" workbookViewId="0">
      <pane xSplit="1" ySplit="1" topLeftCell="B2" state="frozen"/>
    </sheetView>
  </sheetViews>
  <cols>
    <col min="1" max="1" width="9.29297" customWidth="true"/>
    <col min="2" max="2" width="38.4414" customWidth="true"/>
    <col min="3" max="3" width="14.1523" customWidth="true"/>
    <col min="4" max="5" width="13.8633" customWidth="true"/>
    <col min="6" max="6" width="11.7109" customWidth="true"/>
    <col min="7" max="7" width="13.293" customWidth="true"/>
    <col min="8" max="8" width="9.43359" customWidth="true"/>
    <col min="9" max="9" width="12.8633" customWidth="true"/>
    <col min="10" max="10" width="13.7227" customWidth="true"/>
    <col min="11" max="11" width="18.1523" customWidth="true"/>
    <col min="12" max="19" width="12.8633" customWidth="true"/>
    <col min="20" max="20" width="18.0039" customWidth="true"/>
    <col min="21" max="21" width="36.582" customWidth="true"/>
    <col min="22" max="22" width="12.1445" customWidth="true"/>
    <col min="23" max="30" width="10.293" customWidth="true"/>
  </cols>
  <sheetData>
    <row r="1" spans="1:30" ht="40" customHeight="true">
      <c r="A1" s="260" t="s">
        <v>928</v>
      </c>
      <c r="B1" s="261" t="s"/>
      <c r="C1" s="261" t="s"/>
      <c r="D1" s="261" t="s"/>
      <c r="E1" s="261" t="s"/>
      <c r="F1" s="261" t="s"/>
      <c r="G1" s="261" t="s"/>
      <c r="H1" s="261" t="s"/>
      <c r="I1" s="261" t="s"/>
      <c r="J1" s="261" t="s"/>
      <c r="K1" s="260" t="s">
        <v>929</v>
      </c>
      <c r="L1" s="566" t="s"/>
      <c r="M1" s="566" t="s"/>
      <c r="N1" s="566" t="s"/>
      <c r="O1" s="566" t="s"/>
      <c r="P1" s="566" t="s"/>
      <c r="Q1" s="566" t="s"/>
      <c r="R1" s="566" t="s"/>
      <c r="S1" s="260" t="s">
        <v>930</v>
      </c>
      <c r="T1" s="566" t="s"/>
      <c r="U1" s="566" t="s"/>
      <c r="V1" s="263" t="s"/>
      <c r="W1" s="263" t="s"/>
      <c r="X1" s="263" t="s"/>
      <c r="Y1" s="263" t="s"/>
      <c r="Z1" s="263" t="s"/>
      <c r="AA1" s="263" t="s"/>
      <c r="AB1" s="263" t="s"/>
      <c r="AC1" s="263" t="s"/>
      <c r="AD1" s="263" t="s"/>
    </row>
    <row r="2" spans="1:30" ht="30" customHeight="true">
      <c r="A2" s="201" t="s">
        <v>3</v>
      </c>
      <c r="B2" s="201" t="s">
        <v>364</v>
      </c>
      <c r="C2" s="197" t="s">
        <v>365</v>
      </c>
      <c r="D2" s="197" t="s"/>
      <c r="E2" s="197" t="s"/>
      <c r="F2" s="197" t="s"/>
      <c r="G2" s="197" t="s"/>
      <c r="H2" s="197" t="s">
        <v>366</v>
      </c>
      <c r="I2" s="264" t="s"/>
      <c r="J2" s="265" t="s"/>
      <c r="K2" s="197" t="s">
        <v>931</v>
      </c>
      <c r="L2" s="197" t="s"/>
      <c r="M2" s="197" t="s"/>
      <c r="N2" s="197" t="s"/>
      <c r="O2" s="197" t="s"/>
      <c r="P2" s="197" t="s">
        <v>366</v>
      </c>
      <c r="Q2" s="264" t="s"/>
      <c r="R2" s="265" t="s"/>
      <c r="S2" s="567" t="s">
        <v>932</v>
      </c>
      <c r="T2" s="277" t="s">
        <v>933</v>
      </c>
      <c r="U2" s="277" t="s">
        <v>934</v>
      </c>
      <c r="V2" s="263" t="s"/>
      <c r="W2" s="263" t="s"/>
      <c r="X2" s="263" t="s"/>
      <c r="Y2" s="263" t="s"/>
      <c r="Z2" s="263" t="s"/>
      <c r="AA2" s="263" t="s"/>
      <c r="AB2" s="263" t="s"/>
      <c r="AC2" s="263" t="s"/>
      <c r="AD2" s="263" t="s"/>
    </row>
    <row r="3" spans="1:30" ht="47" customHeight="true">
      <c r="A3" s="269" t="s"/>
      <c r="B3" s="201" t="s"/>
      <c r="C3" s="201" t="s">
        <v>367</v>
      </c>
      <c r="D3" s="201" t="s">
        <v>368</v>
      </c>
      <c r="E3" s="201" t="s">
        <v>369</v>
      </c>
      <c r="F3" s="201" t="s">
        <v>370</v>
      </c>
      <c r="G3" s="201" t="s">
        <v>371</v>
      </c>
      <c r="H3" s="201" t="s">
        <v>7</v>
      </c>
      <c r="I3" s="270" t="s">
        <v>8</v>
      </c>
      <c r="J3" s="271" t="s">
        <v>372</v>
      </c>
      <c r="K3" s="201" t="s">
        <v>367</v>
      </c>
      <c r="L3" s="201" t="s">
        <v>368</v>
      </c>
      <c r="M3" s="201" t="s">
        <v>369</v>
      </c>
      <c r="N3" s="201" t="s">
        <v>370</v>
      </c>
      <c r="O3" s="201" t="s">
        <v>371</v>
      </c>
      <c r="P3" s="201" t="s">
        <v>7</v>
      </c>
      <c r="Q3" s="270" t="s">
        <v>8</v>
      </c>
      <c r="R3" s="271" t="s">
        <v>372</v>
      </c>
      <c r="S3" s="269" t="s"/>
      <c r="T3" s="568" t="s"/>
      <c r="U3" s="568" t="s"/>
      <c r="V3" s="263" t="s"/>
      <c r="W3" s="263" t="s"/>
      <c r="X3" s="263" t="s"/>
      <c r="Y3" s="263" t="s"/>
      <c r="Z3" s="263" t="s"/>
      <c r="AA3" s="263" t="s"/>
      <c r="AB3" s="263" t="s"/>
      <c r="AC3" s="263" t="s"/>
      <c r="AD3" s="263" t="s"/>
    </row>
    <row r="4" spans="1:30" ht="32" customHeight="true">
      <c r="A4" s="277" t="s">
        <v>377</v>
      </c>
      <c r="B4" s="278" t="s">
        <v>378</v>
      </c>
      <c r="C4" s="279">
        <f>=C5+C21</f>
        <v>41983.85596065</v>
      </c>
      <c r="D4" s="279" t="e">
        <f>=D5+D21</f>
        <v>#VALUE!</v>
      </c>
      <c r="E4" s="279" t="e">
        <f>=E5+E21</f>
        <v>#VALUE!</v>
      </c>
      <c r="F4" s="279">
        <f>=F5+F21</f>
        <v>0</v>
      </c>
      <c r="G4" s="279" t="e">
        <f>=SUM(C4:F4)</f>
        <v>#VALUE!</v>
      </c>
      <c r="H4" s="280" t="s">
        <v>2525</v>
      </c>
      <c r="I4" s="281">
        <v>100000</v>
      </c>
      <c r="J4" s="282" t="e">
        <f>=G4/I4*10000</f>
        <v>#VALUE!</v>
      </c>
      <c r="K4" s="279">
        <f>=K5+K21</f>
        <v>26500.97</v>
      </c>
      <c r="L4" s="279">
        <f>=L5+L21</f>
        <v>11487.895</v>
      </c>
      <c r="M4" s="279">
        <f>=M5+M21</f>
        <v>3622.2</v>
      </c>
      <c r="N4" s="279">
        <f>=N5+N21</f>
        <v>0</v>
      </c>
      <c r="O4" s="279">
        <f>=SUM(K4:N4)</f>
        <v>41611.065</v>
      </c>
      <c r="P4" s="280" t="s">
        <v>2525</v>
      </c>
      <c r="Q4" s="281">
        <v>75000</v>
      </c>
      <c r="R4" s="291">
        <f>=O4/Q4*10000</f>
        <v>5548.142</v>
      </c>
      <c r="S4" s="291" t="e">
        <f>=G4-O4</f>
        <v>#VALUE!</v>
      </c>
      <c r="T4" s="569" t="e">
        <f>=-(R4-J4)/J4</f>
        <v>#VALUE!</v>
      </c>
      <c r="U4" s="570" t="s">
        <v>935</v>
      </c>
      <c r="V4" s="300" t="s"/>
      <c r="W4" s="300" t="s"/>
      <c r="X4" s="300" t="s"/>
      <c r="Y4" s="300" t="s"/>
      <c r="Z4" s="300" t="s"/>
      <c r="AA4" s="300" t="s"/>
      <c r="AB4" s="300" t="s"/>
      <c r="AC4" s="300" t="s"/>
      <c r="AD4" s="300" t="s"/>
    </row>
    <row r="5" spans="1:30" ht="32" customHeight="true">
      <c r="A5" s="288" t="s">
        <v>379</v>
      </c>
      <c r="B5" s="289" t="s">
        <v>380</v>
      </c>
      <c r="C5" s="290">
        <f>=C6+C12+C19</f>
        <v>38949.48732665</v>
      </c>
      <c r="D5" s="290" t="e">
        <f>=D6+D12+D19</f>
        <v>#VALUE!</v>
      </c>
      <c r="E5" s="290" t="e">
        <f>=E6+E12+E19</f>
        <v>#VALUE!</v>
      </c>
      <c r="F5" s="290">
        <f>=F6+F12</f>
        <v>0</v>
      </c>
      <c r="G5" s="290" t="e">
        <f>=SUM(C5:F5)</f>
        <v>#VALUE!</v>
      </c>
      <c r="H5" s="280" t="s">
        <v>2525</v>
      </c>
      <c r="I5" s="281">
        <f>=I4</f>
        <v>100000</v>
      </c>
      <c r="J5" s="291" t="e">
        <f>=G5/I5*10000</f>
        <v>#VALUE!</v>
      </c>
      <c r="K5" s="290">
        <f>=K6+K12+K19</f>
        <v>25691.03</v>
      </c>
      <c r="L5" s="290">
        <f>=L6+L12+L19</f>
        <v>11487.895</v>
      </c>
      <c r="M5" s="290">
        <f>=M6+M12+M19</f>
        <v>3622.2</v>
      </c>
      <c r="N5" s="290">
        <f>=N6+N12</f>
        <v>0</v>
      </c>
      <c r="O5" s="290">
        <f>=SUM(K5:N5)</f>
        <v>40801.125</v>
      </c>
      <c r="P5" s="280" t="s">
        <v>2525</v>
      </c>
      <c r="Q5" s="281">
        <f>=Q4</f>
        <v>75000</v>
      </c>
      <c r="R5" s="291">
        <f>=O5/Q5*10000</f>
        <v>5440.15</v>
      </c>
      <c r="S5" s="291" t="e">
        <f>=G5-O5</f>
        <v>#VALUE!</v>
      </c>
      <c r="T5" s="569" t="e">
        <f>=-(R5-J5)/J5</f>
        <v>#VALUE!</v>
      </c>
      <c r="U5" s="570" t="s">
        <v>935</v>
      </c>
      <c r="V5" s="300" t="s"/>
      <c r="W5" s="300" t="s"/>
      <c r="X5" s="300" t="s"/>
      <c r="Y5" s="300" t="s"/>
      <c r="Z5" s="300" t="s"/>
      <c r="AA5" s="300" t="s"/>
      <c r="AB5" s="300" t="s"/>
      <c r="AC5" s="300" t="s"/>
      <c r="AD5" s="300" t="s"/>
    </row>
    <row r="6" spans="1:30" ht="32" customHeight="true">
      <c r="A6" s="288" t="s">
        <v>381</v>
      </c>
      <c r="B6" s="289" t="s">
        <v>367</v>
      </c>
      <c r="C6" s="290">
        <f>=C7+C8+C9+C10</f>
        <v>38949.48732665</v>
      </c>
      <c r="D6" s="290">
        <f>=D7+D8+D9+D10</f>
        <v>0</v>
      </c>
      <c r="E6" s="290">
        <f>=E7+E8+E9+E10</f>
        <v>0</v>
      </c>
      <c r="F6" s="290">
        <f>=F7+F8+F9+F10</f>
        <v>0</v>
      </c>
      <c r="G6" s="290">
        <f>=SUM(C6:F6)</f>
        <v>38949.48732665</v>
      </c>
      <c r="H6" s="280" t="s">
        <v>2525</v>
      </c>
      <c r="I6" s="281">
        <f>=I5</f>
        <v>100000</v>
      </c>
      <c r="J6" s="291">
        <f>=G6/I6*10000</f>
        <v>3894.948732665</v>
      </c>
      <c r="K6" s="290">
        <f>=K7+K8+K9+K10</f>
        <v>25691.03</v>
      </c>
      <c r="L6" s="290">
        <f>=L7+L8+L9+L10</f>
        <v>0</v>
      </c>
      <c r="M6" s="290">
        <f>=M7+M8+M9+M10</f>
        <v>110.66</v>
      </c>
      <c r="N6" s="290">
        <f>=N7+N8+N9+N10</f>
        <v>0</v>
      </c>
      <c r="O6" s="290">
        <f>=SUM(K6:N6)</f>
        <v>25801.69</v>
      </c>
      <c r="P6" s="280" t="s">
        <v>2525</v>
      </c>
      <c r="Q6" s="281">
        <v>100000</v>
      </c>
      <c r="R6" s="291">
        <f>=O6/Q6*10000</f>
        <v>2580.169</v>
      </c>
      <c r="S6" s="291">
        <f>=G6-O6</f>
        <v>13147.79732665</v>
      </c>
      <c r="T6" s="569">
        <f>=-(R6-J6)/J6</f>
        <v>0.337560215270254</v>
      </c>
      <c r="U6" s="571" t="s"/>
      <c r="V6" s="300" t="s"/>
      <c r="W6" s="300" t="s"/>
      <c r="X6" s="300" t="s"/>
      <c r="Y6" s="300" t="s"/>
      <c r="Z6" s="300" t="s"/>
      <c r="AA6" s="300" t="s"/>
      <c r="AB6" s="300" t="s"/>
      <c r="AC6" s="293" t="s"/>
      <c r="AD6" s="293" t="s"/>
    </row>
    <row r="7" spans="1:30" ht="32" customHeight="true">
      <c r="A7" s="201">
        <v>1</v>
      </c>
      <c r="B7" s="283" t="s">
        <v>936</v>
      </c>
      <c r="C7" s="295">
        <f>=估算1115修改园建!C7+估算1115修改园建!C8+估算1115修改园建!C9</f>
        <v>13779.4911904</v>
      </c>
      <c r="D7" s="290" t="s"/>
      <c r="E7" s="290" t="s"/>
      <c r="F7" s="290" t="s"/>
      <c r="G7" s="295">
        <f>=SUM(C7:F7)</f>
        <v>13779.4911904</v>
      </c>
      <c r="H7" s="201" t="s">
        <v>2533</v>
      </c>
      <c r="I7" s="314">
        <f>=I6</f>
        <v>100000</v>
      </c>
      <c r="J7" s="572">
        <f>=G7/I7*10000</f>
        <v>1377.94911904</v>
      </c>
      <c r="K7" s="295">
        <v>9390.11</v>
      </c>
      <c r="L7" s="290" t="s"/>
      <c r="M7" s="290" t="s"/>
      <c r="N7" s="290" t="s"/>
      <c r="O7" s="295">
        <f>=SUM(K7:N7)</f>
        <v>9390.11</v>
      </c>
      <c r="P7" s="201" t="s">
        <v>2533</v>
      </c>
      <c r="Q7" s="314">
        <v>100000</v>
      </c>
      <c r="R7" s="572">
        <f>=O7/Q7*10000</f>
        <v>939.011</v>
      </c>
      <c r="S7" s="572">
        <f>=G7-O7</f>
        <v>4389.3811904</v>
      </c>
      <c r="T7" s="573">
        <f>=-(R7-J7)/J7</f>
        <v>0.318544504274442</v>
      </c>
      <c r="U7" s="574" t="s">
        <v>937</v>
      </c>
      <c r="V7" s="300" t="s"/>
      <c r="W7" s="300" t="s"/>
      <c r="X7" s="300" t="s"/>
      <c r="Y7" s="300" t="s"/>
      <c r="Z7" s="300" t="s"/>
      <c r="AA7" s="300" t="s"/>
      <c r="AB7" s="300" t="s"/>
      <c r="AC7" s="293" t="s"/>
      <c r="AD7" s="293" t="s"/>
    </row>
    <row r="8" spans="1:30" ht="32" customHeight="true">
      <c r="A8" s="201">
        <v>2</v>
      </c>
      <c r="B8" s="283" t="s">
        <v>938</v>
      </c>
      <c r="C8" s="295">
        <f>=估算1115修改园建!C6-估算1115修改园建!C35-估算1115修改园建!C37-C7</f>
        <v>22094.23373625</v>
      </c>
      <c r="D8" s="295" t="s"/>
      <c r="E8" s="295" t="s"/>
      <c r="F8" s="295" t="s"/>
      <c r="G8" s="295">
        <f>=SUM(C8:F8)</f>
        <v>22094.23373625</v>
      </c>
      <c r="H8" s="201" t="s">
        <v>2527</v>
      </c>
      <c r="I8" s="296">
        <v>42869.03</v>
      </c>
      <c r="J8" s="297">
        <f>=C8/I8*10000</f>
        <v>5153.89168736731</v>
      </c>
      <c r="K8" s="295">
        <v>15147.96</v>
      </c>
      <c r="L8" s="295" t="s"/>
      <c r="M8" s="295" t="s"/>
      <c r="N8" s="295" t="s"/>
      <c r="O8" s="295">
        <f>=SUM(K8:N8)</f>
        <v>15147.96</v>
      </c>
      <c r="P8" s="201" t="s">
        <v>2527</v>
      </c>
      <c r="Q8" s="296">
        <v>37488.74</v>
      </c>
      <c r="R8" s="297">
        <f>=K8/Q8*10000</f>
        <v>4040.6692782953</v>
      </c>
      <c r="S8" s="572">
        <f>=G8-O8</f>
        <v>6946.27373625</v>
      </c>
      <c r="T8" s="573">
        <f>=-(R8-J8)/J8</f>
        <v>0.215996469580576</v>
      </c>
      <c r="U8" s="574" t="s">
        <v>937</v>
      </c>
      <c r="V8" s="263" t="s"/>
      <c r="W8" s="263" t="s"/>
      <c r="X8" s="263" t="s"/>
      <c r="Y8" s="263" t="s"/>
      <c r="Z8" s="263" t="s"/>
      <c r="AA8" s="263" t="s"/>
      <c r="AB8" s="263" t="s"/>
      <c r="AC8" s="263" t="s"/>
      <c r="AD8" s="263" t="s"/>
    </row>
    <row r="9" spans="1:30" ht="32" customHeight="true">
      <c r="A9" s="201">
        <v>3</v>
      </c>
      <c r="B9" s="283" t="s">
        <v>442</v>
      </c>
      <c r="C9" s="295">
        <f>=估算1115修改园建!C35</f>
        <v>1600</v>
      </c>
      <c r="D9" s="295" t="s"/>
      <c r="E9" s="295" t="s"/>
      <c r="F9" s="295" t="s"/>
      <c r="G9" s="295">
        <f>=SUM(C9:F9)</f>
        <v>1600</v>
      </c>
      <c r="H9" s="201" t="s">
        <v>2527</v>
      </c>
      <c r="I9" s="296">
        <v>3200</v>
      </c>
      <c r="J9" s="297">
        <v>5000</v>
      </c>
      <c r="K9" s="295">
        <v>931.68</v>
      </c>
      <c r="L9" s="295" t="s"/>
      <c r="M9" s="295">
        <v>110.66</v>
      </c>
      <c r="N9" s="295" t="s"/>
      <c r="O9" s="295">
        <f>=SUM(K9:N9)</f>
        <v>1042.34</v>
      </c>
      <c r="P9" s="201" t="s">
        <v>2527</v>
      </c>
      <c r="Q9" s="296">
        <v>2484.51</v>
      </c>
      <c r="R9" s="297">
        <f>=O9/Q9*10000</f>
        <v>4195.3544159613</v>
      </c>
      <c r="S9" s="572">
        <f>=G9-O9</f>
        <v>557.66</v>
      </c>
      <c r="T9" s="573">
        <f>=-(R9-J9)/J9</f>
        <v>0.160929116807741</v>
      </c>
      <c r="U9" s="574" t="s">
        <v>939</v>
      </c>
      <c r="V9" s="263" t="s"/>
      <c r="W9" s="263" t="s"/>
      <c r="X9" s="263" t="s"/>
      <c r="Y9" s="263" t="s"/>
      <c r="Z9" s="263" t="s"/>
      <c r="AA9" s="263" t="s"/>
      <c r="AB9" s="263" t="s"/>
      <c r="AC9" s="263" t="s"/>
      <c r="AD9" s="263" t="s"/>
    </row>
    <row r="10" spans="1:30" ht="32" customHeight="true">
      <c r="A10" s="201">
        <v>4</v>
      </c>
      <c r="B10" s="283" t="s">
        <v>940</v>
      </c>
      <c r="C10" s="295">
        <f>=估算1115修改园建!C37</f>
        <v>1475.7624</v>
      </c>
      <c r="D10" s="295" t="s"/>
      <c r="E10" s="295" t="s"/>
      <c r="F10" s="295" t="s"/>
      <c r="G10" s="295">
        <f>=SUM(C10:F10)</f>
        <v>1475.7624</v>
      </c>
      <c r="H10" s="201" t="s">
        <v>273</v>
      </c>
      <c r="I10" s="296">
        <v>1960</v>
      </c>
      <c r="J10" s="297">
        <f>=4183*1.8</f>
        <v>7529.4</v>
      </c>
      <c r="K10" s="295">
        <v>221.28</v>
      </c>
      <c r="L10" s="295" t="s"/>
      <c r="M10" s="295" t="s"/>
      <c r="N10" s="295" t="s"/>
      <c r="O10" s="295">
        <f>=SUM(K10:N10)</f>
        <v>221.28</v>
      </c>
      <c r="P10" s="201" t="s">
        <v>273</v>
      </c>
      <c r="Q10" s="296">
        <v>40.7</v>
      </c>
      <c r="R10" s="297">
        <f>=K10/Q10*10000</f>
        <v>54368.5503685504</v>
      </c>
      <c r="S10" s="572">
        <f>=G10-O10</f>
        <v>1254.4824</v>
      </c>
      <c r="T10" s="573">
        <f>=-(R10-J10)/J10</f>
        <v>-6.22083437837681</v>
      </c>
      <c r="U10" s="574" t="s">
        <v>941</v>
      </c>
      <c r="V10" s="263" t="s"/>
      <c r="W10" s="263" t="s"/>
      <c r="X10" s="263" t="s"/>
      <c r="Y10" s="263" t="s"/>
      <c r="Z10" s="263" t="s"/>
      <c r="AA10" s="263" t="s"/>
      <c r="AB10" s="263" t="s"/>
      <c r="AC10" s="263" t="s"/>
      <c r="AD10" s="263" t="s"/>
    </row>
    <row r="11" spans="1:30" ht="32" customHeight="true">
      <c r="A11" s="201" t="s"/>
      <c r="B11" s="283" t="s"/>
      <c r="C11" s="295" t="s"/>
      <c r="D11" s="295" t="s"/>
      <c r="E11" s="295" t="s"/>
      <c r="F11" s="295" t="s"/>
      <c r="G11" s="295" t="s"/>
      <c r="H11" s="201" t="s"/>
      <c r="I11" s="296" t="s"/>
      <c r="J11" s="297" t="s"/>
      <c r="K11" s="295" t="s"/>
      <c r="L11" s="295" t="s"/>
      <c r="M11" s="295" t="s"/>
      <c r="N11" s="295" t="s"/>
      <c r="O11" s="295" t="s"/>
      <c r="P11" s="201" t="s"/>
      <c r="Q11" s="296" t="s"/>
      <c r="R11" s="297" t="s"/>
      <c r="S11" s="297" t="s"/>
      <c r="T11" s="574" t="s"/>
      <c r="U11" s="574" t="s"/>
      <c r="V11" s="263" t="s"/>
      <c r="W11" s="263" t="s"/>
      <c r="X11" s="263" t="s"/>
      <c r="Y11" s="263" t="s"/>
      <c r="Z11" s="263" t="s"/>
      <c r="AA11" s="263" t="s"/>
      <c r="AB11" s="263" t="s"/>
      <c r="AC11" s="263" t="s"/>
      <c r="AD11" s="263" t="s"/>
    </row>
    <row r="12" spans="1:30" ht="32" customHeight="true">
      <c r="A12" s="280" t="s">
        <v>449</v>
      </c>
      <c r="B12" s="278" t="s">
        <v>450</v>
      </c>
      <c r="C12" s="279">
        <v>0</v>
      </c>
      <c r="D12" s="279" t="e">
        <f>=SUM(D13:D17)</f>
        <v>#VALUE!</v>
      </c>
      <c r="E12" s="279" t="e">
        <f>=SUM(E13:E17)</f>
        <v>#VALUE!</v>
      </c>
      <c r="F12" s="279" t="s"/>
      <c r="G12" s="279" t="e">
        <f>=SUM(C12:F12)</f>
        <v>#VALUE!</v>
      </c>
      <c r="H12" s="280" t="s">
        <v>2525</v>
      </c>
      <c r="I12" s="281">
        <v>100000</v>
      </c>
      <c r="J12" s="282" t="e">
        <f>=G12/I12*10000</f>
        <v>#VALUE!</v>
      </c>
      <c r="K12" s="279">
        <v>0</v>
      </c>
      <c r="L12" s="279">
        <f>=L13+L14+L15+L16+L17</f>
        <v>8270.455</v>
      </c>
      <c r="M12" s="279">
        <f>=M13+M14+M15+M16+M17</f>
        <v>3039.92</v>
      </c>
      <c r="N12" s="279">
        <v>0</v>
      </c>
      <c r="O12" s="279">
        <f>=SUM(K12:N12)</f>
        <v>11310.375</v>
      </c>
      <c r="P12" s="280" t="s">
        <v>2525</v>
      </c>
      <c r="Q12" s="281">
        <v>50000</v>
      </c>
      <c r="R12" s="282">
        <f>=O12/Q12*10000</f>
        <v>2262.075</v>
      </c>
      <c r="S12" s="291" t="e">
        <f>=G12-O12</f>
        <v>#VALUE!</v>
      </c>
      <c r="T12" s="569" t="e">
        <f>=-(R12-J12)/J12</f>
        <v>#VALUE!</v>
      </c>
      <c r="U12" s="570" t="s">
        <v>942</v>
      </c>
      <c r="V12" s="263" t="s"/>
      <c r="W12" s="263" t="s"/>
      <c r="X12" s="263" t="s"/>
      <c r="Y12" s="263" t="s"/>
      <c r="Z12" s="263" t="s"/>
      <c r="AA12" s="263" t="s"/>
      <c r="AB12" s="263" t="s"/>
      <c r="AC12" s="263" t="s"/>
      <c r="AD12" s="263" t="s"/>
    </row>
    <row r="13" spans="1:30" ht="32" customHeight="true">
      <c r="A13" s="201">
        <v>1</v>
      </c>
      <c r="B13" s="283" t="s">
        <v>943</v>
      </c>
      <c r="C13" s="279" t="s"/>
      <c r="D13" s="295" t="e">
        <f>=估算1115修改园建!D44-D14-D15-D16-D17-D19</f>
        <v>#VALUE!</v>
      </c>
      <c r="E13" s="295" t="e">
        <f>=估算1115修改园建!E44-E14-E15-E16-E17-E19</f>
        <v>#VALUE!</v>
      </c>
      <c r="F13" s="279" t="s"/>
      <c r="G13" s="295" t="e">
        <f>=SUM(C13:F13)</f>
        <v>#VALUE!</v>
      </c>
      <c r="H13" s="201" t="s">
        <v>2533</v>
      </c>
      <c r="I13" s="314">
        <v>100000</v>
      </c>
      <c r="J13" s="297" t="e">
        <f>=G13/I13*10000</f>
        <v>#VALUE!</v>
      </c>
      <c r="K13" s="279" t="s"/>
      <c r="L13" s="295">
        <f>=6327.12+36.17+0.025</f>
        <v>6363.315</v>
      </c>
      <c r="M13" s="295">
        <f>=247.08+24.62+669.95+49.39+14.32+67.87+11.37+65.18+12.22+0.01</f>
        <v>1162.01</v>
      </c>
      <c r="N13" s="279" t="s"/>
      <c r="O13" s="295">
        <f>=SUM(K13:N13)</f>
        <v>7525.325</v>
      </c>
      <c r="P13" s="201" t="s">
        <v>2536</v>
      </c>
      <c r="Q13" s="314">
        <v>50000</v>
      </c>
      <c r="R13" s="297">
        <f>=O13/Q13*10000</f>
        <v>1505.065</v>
      </c>
      <c r="S13" s="572" t="e">
        <f>=G13-O13</f>
        <v>#VALUE!</v>
      </c>
      <c r="T13" s="573" t="e">
        <f>=-(R13-J13)/J13</f>
        <v>#VALUE!</v>
      </c>
      <c r="U13" s="574" t="s">
        <v>944</v>
      </c>
      <c r="V13" s="263" t="s"/>
      <c r="W13" s="263" t="s"/>
      <c r="X13" s="263" t="s"/>
      <c r="Y13" s="263" t="s"/>
      <c r="Z13" s="263" t="s"/>
      <c r="AA13" s="263" t="s"/>
      <c r="AB13" s="263" t="s"/>
      <c r="AC13" s="263" t="s"/>
      <c r="AD13" s="263" t="s"/>
    </row>
    <row r="14" spans="1:30" ht="32" customHeight="true">
      <c r="A14" s="201">
        <v>2</v>
      </c>
      <c r="B14" s="283" t="s">
        <v>945</v>
      </c>
      <c r="C14" s="279" t="s"/>
      <c r="D14" s="295">
        <f>=估算1115修改园建!D55</f>
        <v>2779.03</v>
      </c>
      <c r="E14" s="295">
        <f>=估算1115修改园建!E55</f>
        <v>2011.25</v>
      </c>
      <c r="F14" s="279" t="s"/>
      <c r="G14" s="295">
        <f>=SUM(C14:F14)</f>
        <v>4790.28</v>
      </c>
      <c r="H14" s="201" t="s">
        <v>2533</v>
      </c>
      <c r="I14" s="314">
        <v>100000</v>
      </c>
      <c r="J14" s="297">
        <f>=G14/I14*10000</f>
        <v>479.028</v>
      </c>
      <c r="K14" s="279" t="s"/>
      <c r="L14" s="295">
        <f>=305.26+90.67</f>
        <v>395.93</v>
      </c>
      <c r="M14" s="295">
        <f>=489.28</f>
        <v>489.28</v>
      </c>
      <c r="N14" s="279" t="s"/>
      <c r="O14" s="295">
        <f>=SUM(K14:N14)</f>
        <v>885.21</v>
      </c>
      <c r="P14" s="201" t="s">
        <v>2536</v>
      </c>
      <c r="Q14" s="314">
        <v>50000</v>
      </c>
      <c r="R14" s="297">
        <f>=O14/Q14*10000</f>
        <v>177.042</v>
      </c>
      <c r="S14" s="572">
        <f>=G14-O14</f>
        <v>3905.07</v>
      </c>
      <c r="T14" s="573">
        <f>=-(R14-J14)/J14</f>
        <v>0.630414088529272</v>
      </c>
      <c r="U14" s="574" t="s">
        <v>946</v>
      </c>
      <c r="V14" s="263" t="s"/>
      <c r="W14" s="263" t="s"/>
      <c r="X14" s="263" t="s"/>
      <c r="Y14" s="263" t="s"/>
      <c r="Z14" s="263" t="s"/>
      <c r="AA14" s="263" t="s"/>
      <c r="AB14" s="263" t="s"/>
      <c r="AC14" s="263" t="s"/>
      <c r="AD14" s="263" t="s"/>
    </row>
    <row r="15" spans="1:30" ht="32" customHeight="true">
      <c r="A15" s="201">
        <v>3</v>
      </c>
      <c r="B15" s="283" t="s">
        <v>947</v>
      </c>
      <c r="C15" s="279" t="s"/>
      <c r="D15" s="295">
        <f>=估算1115修改园建!D61</f>
        <v>1338.79</v>
      </c>
      <c r="E15" s="295">
        <f>=估算1115修改园建!E61</f>
        <v>1400.8185</v>
      </c>
      <c r="F15" s="279" t="s"/>
      <c r="G15" s="295">
        <f>=SUM(C15:F15)</f>
        <v>2739.6085</v>
      </c>
      <c r="H15" s="201" t="s">
        <v>2533</v>
      </c>
      <c r="I15" s="314">
        <v>100000</v>
      </c>
      <c r="J15" s="297">
        <f>=G15/I15*10000</f>
        <v>273.96085</v>
      </c>
      <c r="K15" s="279" t="s"/>
      <c r="L15" s="295">
        <f>=874.43</f>
        <v>874.43</v>
      </c>
      <c r="M15" s="295">
        <f>=873.59+26.42+118.06+2.02</f>
        <v>1020.09</v>
      </c>
      <c r="N15" s="279" t="s"/>
      <c r="O15" s="295">
        <f>=SUM(K15:N15)</f>
        <v>1894.52</v>
      </c>
      <c r="P15" s="201" t="s">
        <v>2536</v>
      </c>
      <c r="Q15" s="314">
        <v>50000</v>
      </c>
      <c r="R15" s="297">
        <f>=O15/Q15*10000</f>
        <v>378.904</v>
      </c>
      <c r="S15" s="572">
        <f>=G15-O15</f>
        <v>845.0885</v>
      </c>
      <c r="T15" s="573">
        <f>=-(R15-J15)/J15</f>
        <v>-0.38305892977044</v>
      </c>
      <c r="U15" s="574" t="s">
        <v>944</v>
      </c>
      <c r="V15" s="263" t="s"/>
      <c r="W15" s="263" t="s"/>
      <c r="X15" s="263" t="s"/>
      <c r="Y15" s="263" t="s"/>
      <c r="Z15" s="263" t="s"/>
      <c r="AA15" s="263" t="s"/>
      <c r="AB15" s="263" t="s"/>
      <c r="AC15" s="263" t="s"/>
      <c r="AD15" s="263" t="s"/>
    </row>
    <row r="16" spans="1:30" ht="32" customHeight="true">
      <c r="A16" s="201">
        <v>4</v>
      </c>
      <c r="B16" s="283" t="s">
        <v>948</v>
      </c>
      <c r="C16" s="279" t="s"/>
      <c r="D16" s="295">
        <f>=估算1115修改园建!D63+估算1115修改园建!D64</f>
        <v>2527.52</v>
      </c>
      <c r="E16" s="295">
        <f>=估算1115修改园建!E63+估算1115修改园建!E64</f>
        <v>1147.7355</v>
      </c>
      <c r="F16" s="279" t="s"/>
      <c r="G16" s="295">
        <f>=SUM(C16:F16)</f>
        <v>3675.2555</v>
      </c>
      <c r="H16" s="201" t="s">
        <v>2533</v>
      </c>
      <c r="I16" s="314">
        <v>100000</v>
      </c>
      <c r="J16" s="297">
        <f>=G16/I16*10000</f>
        <v>367.52555</v>
      </c>
      <c r="K16" s="279" t="s"/>
      <c r="L16" s="295">
        <f>=350.63+286.15</f>
        <v>636.78</v>
      </c>
      <c r="M16" s="295">
        <f>=139.3+229.24</f>
        <v>368.54</v>
      </c>
      <c r="N16" s="279" t="s"/>
      <c r="O16" s="295">
        <f>=SUM(K16:N16)</f>
        <v>1005.32</v>
      </c>
      <c r="P16" s="201" t="s">
        <v>2536</v>
      </c>
      <c r="Q16" s="314">
        <v>50000</v>
      </c>
      <c r="R16" s="297">
        <f>=O16/Q16*10000</f>
        <v>201.064</v>
      </c>
      <c r="S16" s="572">
        <f>=G16-O16</f>
        <v>2669.9355</v>
      </c>
      <c r="T16" s="573">
        <f>=-(R16-J16)/J16</f>
        <v>0.45292510956041</v>
      </c>
      <c r="U16" s="574" t="s">
        <v>949</v>
      </c>
      <c r="V16" s="263" t="s"/>
      <c r="W16" s="263" t="s"/>
      <c r="X16" s="263" t="s"/>
      <c r="Y16" s="263" t="s"/>
      <c r="Z16" s="263" t="s"/>
      <c r="AA16" s="263" t="s"/>
      <c r="AB16" s="263" t="s"/>
      <c r="AC16" s="263" t="s"/>
      <c r="AD16" s="263" t="s"/>
    </row>
    <row r="17" spans="1:30" ht="32" customHeight="true">
      <c r="A17" s="201">
        <v>5</v>
      </c>
      <c r="B17" s="283" t="s">
        <v>463</v>
      </c>
      <c r="C17" s="279" t="s"/>
      <c r="D17" s="279" t="s"/>
      <c r="E17" s="295">
        <f>=估算1115修改园建!E62</f>
        <v>540</v>
      </c>
      <c r="F17" s="279" t="s"/>
      <c r="G17" s="295">
        <f>=SUM(C17:F17)</f>
        <v>540</v>
      </c>
      <c r="H17" s="201" t="s">
        <v>273</v>
      </c>
      <c r="I17" s="314">
        <v>3000</v>
      </c>
      <c r="J17" s="297">
        <v>1800</v>
      </c>
      <c r="K17" s="279" t="s"/>
      <c r="L17" s="279" t="s"/>
      <c r="M17" s="279" t="s"/>
      <c r="N17" s="279" t="s"/>
      <c r="O17" s="279" t="s"/>
      <c r="P17" s="280" t="s"/>
      <c r="Q17" s="281" t="s"/>
      <c r="R17" s="282" t="s"/>
      <c r="S17" s="572">
        <f>=G17-O17</f>
        <v>540</v>
      </c>
      <c r="T17" s="573">
        <f>=-(R17-J17)/J17</f>
        <v>1</v>
      </c>
      <c r="U17" s="574" t="s">
        <v>950</v>
      </c>
      <c r="V17" s="263" t="s"/>
      <c r="W17" s="263" t="s"/>
      <c r="X17" s="263" t="s"/>
      <c r="Y17" s="263" t="s"/>
      <c r="Z17" s="263" t="s"/>
      <c r="AA17" s="263" t="s"/>
      <c r="AB17" s="263" t="s"/>
      <c r="AC17" s="263" t="s"/>
      <c r="AD17" s="263" t="s"/>
    </row>
    <row r="18" spans="1:30" ht="32" customHeight="true">
      <c r="A18" s="201" t="s"/>
      <c r="B18" s="283" t="s"/>
      <c r="C18" s="279" t="s"/>
      <c r="D18" s="279" t="s"/>
      <c r="E18" s="295" t="s"/>
      <c r="F18" s="279" t="s"/>
      <c r="G18" s="295" t="s"/>
      <c r="H18" s="201" t="s"/>
      <c r="I18" s="314" t="s"/>
      <c r="J18" s="297" t="s"/>
      <c r="K18" s="279" t="s"/>
      <c r="L18" s="279" t="s"/>
      <c r="M18" s="279" t="s"/>
      <c r="N18" s="279" t="s"/>
      <c r="O18" s="279" t="s"/>
      <c r="P18" s="280" t="s"/>
      <c r="Q18" s="281" t="s"/>
      <c r="R18" s="282" t="s"/>
      <c r="S18" s="282" t="s"/>
      <c r="T18" s="570" t="s"/>
      <c r="U18" s="570" t="s"/>
      <c r="V18" s="263" t="s"/>
      <c r="W18" s="263" t="s"/>
      <c r="X18" s="263" t="s"/>
      <c r="Y18" s="263" t="s"/>
      <c r="Z18" s="263" t="s"/>
      <c r="AA18" s="263" t="s"/>
      <c r="AB18" s="263" t="s"/>
      <c r="AC18" s="263" t="s"/>
      <c r="AD18" s="263" t="s"/>
    </row>
    <row r="19" spans="1:30" ht="32" customHeight="true">
      <c r="A19" s="280" t="s">
        <v>951</v>
      </c>
      <c r="B19" s="278" t="s">
        <v>952</v>
      </c>
      <c r="C19" s="279">
        <v>0</v>
      </c>
      <c r="D19" s="279" t="e">
        <f>=估算1115修改园建!D51</f>
        <v>#VALUE!</v>
      </c>
      <c r="E19" s="279" t="e">
        <f>=估算1115修改园建!E51</f>
        <v>#VALUE!</v>
      </c>
      <c r="F19" s="279" t="s"/>
      <c r="G19" s="279" t="e">
        <f>=SUM(C19:F19)</f>
        <v>#VALUE!</v>
      </c>
      <c r="H19" s="280" t="s">
        <v>2525</v>
      </c>
      <c r="I19" s="281">
        <v>100000</v>
      </c>
      <c r="J19" s="282" t="e">
        <f>=G19/I19*10000</f>
        <v>#VALUE!</v>
      </c>
      <c r="K19" s="279" t="s"/>
      <c r="L19" s="279">
        <f>=3217.44</f>
        <v>3217.44</v>
      </c>
      <c r="M19" s="279">
        <v>471.62</v>
      </c>
      <c r="N19" s="279" t="s"/>
      <c r="O19" s="279">
        <f>=SUM(K19:N19)</f>
        <v>3689.06</v>
      </c>
      <c r="P19" s="280" t="s">
        <v>2525</v>
      </c>
      <c r="Q19" s="281">
        <v>50000</v>
      </c>
      <c r="R19" s="282">
        <f>=O19/Q19*10000</f>
        <v>737.812</v>
      </c>
      <c r="S19" s="291" t="e">
        <f>=G19-O19</f>
        <v>#VALUE!</v>
      </c>
      <c r="T19" s="569" t="e">
        <f>=-(R19-J19)/J19</f>
        <v>#VALUE!</v>
      </c>
      <c r="U19" s="574" t="s">
        <v>953</v>
      </c>
      <c r="V19" s="263" t="s"/>
      <c r="W19" s="263" t="s"/>
      <c r="X19" s="263" t="s"/>
      <c r="Y19" s="263" t="s"/>
      <c r="Z19" s="263" t="s"/>
      <c r="AA19" s="263" t="s"/>
      <c r="AB19" s="263" t="s"/>
      <c r="AC19" s="263" t="s"/>
      <c r="AD19" s="263" t="s"/>
    </row>
    <row r="20" spans="1:30" ht="32" customHeight="true">
      <c r="A20" s="201" t="s"/>
      <c r="B20" s="283" t="s"/>
      <c r="C20" s="295">
        <f>=I20*J20/10000</f>
        <v>0</v>
      </c>
      <c r="D20" s="295" t="s"/>
      <c r="E20" s="295" t="s"/>
      <c r="F20" s="295" t="s"/>
      <c r="G20" s="295">
        <f>=SUM(C20:F20)</f>
        <v>0</v>
      </c>
      <c r="H20" s="201" t="s"/>
      <c r="I20" s="296" t="s"/>
      <c r="J20" s="297" t="s"/>
      <c r="K20" s="295">
        <f>=Q20*R20/10000</f>
        <v>0</v>
      </c>
      <c r="L20" s="295" t="s"/>
      <c r="M20" s="295" t="s"/>
      <c r="N20" s="295" t="s"/>
      <c r="O20" s="295">
        <f>=SUM(K20:N20)</f>
        <v>0</v>
      </c>
      <c r="P20" s="201" t="s"/>
      <c r="Q20" s="296" t="s"/>
      <c r="R20" s="297" t="s"/>
      <c r="S20" s="297" t="s"/>
      <c r="T20" s="574" t="s"/>
      <c r="U20" s="574" t="s"/>
      <c r="V20" s="263" t="s"/>
      <c r="W20" s="263" t="s"/>
      <c r="X20" s="263" t="s"/>
      <c r="Y20" s="263" t="s"/>
      <c r="Z20" s="263" t="s"/>
      <c r="AA20" s="263" t="s"/>
      <c r="AB20" s="263" t="s"/>
      <c r="AC20" s="263" t="s"/>
      <c r="AD20" s="263" t="s"/>
    </row>
    <row r="21" spans="1:30" ht="32" customHeight="true">
      <c r="A21" s="288" t="s">
        <v>467</v>
      </c>
      <c r="B21" s="278" t="s">
        <v>468</v>
      </c>
      <c r="C21" s="279">
        <f>=估算1115修改园建!C67</f>
        <v>3034.368634</v>
      </c>
      <c r="D21" s="279">
        <f>=估算1115修改园建!D67</f>
        <v>0</v>
      </c>
      <c r="E21" s="279">
        <f>=估算1115修改园建!E67</f>
        <v>0</v>
      </c>
      <c r="F21" s="279">
        <v>0</v>
      </c>
      <c r="G21" s="279">
        <f>=SUM(C21:F21)</f>
        <v>3034.368634</v>
      </c>
      <c r="H21" s="280" t="s">
        <v>2525</v>
      </c>
      <c r="I21" s="281">
        <v>100000</v>
      </c>
      <c r="J21" s="282">
        <f>=G21/I21*10000</f>
        <v>303.4368634</v>
      </c>
      <c r="K21" s="279">
        <f>=518.31+291.63</f>
        <v>809.94</v>
      </c>
      <c r="L21" s="279">
        <v>0</v>
      </c>
      <c r="M21" s="279">
        <v>0</v>
      </c>
      <c r="N21" s="279">
        <v>0</v>
      </c>
      <c r="O21" s="279">
        <f>=SUM(K21:N21)</f>
        <v>809.94</v>
      </c>
      <c r="P21" s="280" t="s">
        <v>2525</v>
      </c>
      <c r="Q21" s="281">
        <v>100000</v>
      </c>
      <c r="R21" s="282">
        <f>=O21/Q21*10000</f>
        <v>80.994</v>
      </c>
      <c r="S21" s="291">
        <f>=G21-O21</f>
        <v>2224.428634</v>
      </c>
      <c r="T21" s="569">
        <f>=-(R21-J21)/J21</f>
        <v>0.73307791580606</v>
      </c>
      <c r="U21" s="574" t="s">
        <v>954</v>
      </c>
      <c r="V21" s="263" t="s"/>
      <c r="W21" s="263" t="s"/>
      <c r="X21" s="263" t="s"/>
      <c r="Y21" s="263" t="s"/>
      <c r="Z21" s="263" t="s"/>
      <c r="AA21" s="263" t="s"/>
      <c r="AB21" s="263" t="s"/>
      <c r="AC21" s="263" t="s"/>
      <c r="AD21" s="263" t="s"/>
    </row>
    <row r="22" spans="1:30" ht="32" customHeight="true">
      <c r="A22" s="288" t="s"/>
      <c r="B22" s="278" t="s"/>
      <c r="C22" s="279" t="s"/>
      <c r="D22" s="279" t="s"/>
      <c r="E22" s="279" t="s"/>
      <c r="F22" s="279" t="s"/>
      <c r="G22" s="279" t="s"/>
      <c r="H22" s="280" t="s"/>
      <c r="I22" s="281" t="s"/>
      <c r="J22" s="282" t="s"/>
      <c r="K22" s="279" t="s"/>
      <c r="L22" s="279" t="s"/>
      <c r="M22" s="279" t="s"/>
      <c r="N22" s="279" t="s"/>
      <c r="O22" s="279" t="s"/>
      <c r="P22" s="280" t="s"/>
      <c r="Q22" s="281" t="s"/>
      <c r="R22" s="282" t="s"/>
      <c r="S22" s="282" t="s"/>
      <c r="T22" s="570" t="s"/>
      <c r="U22" s="570" t="s"/>
      <c r="V22" s="263" t="s"/>
      <c r="W22" s="263" t="s"/>
      <c r="X22" s="263" t="s"/>
      <c r="Y22" s="263" t="s"/>
      <c r="Z22" s="263" t="s"/>
      <c r="AA22" s="263" t="s"/>
      <c r="AB22" s="263" t="s"/>
      <c r="AC22" s="263" t="s"/>
      <c r="AD22" s="263" t="s"/>
    </row>
    <row r="23" spans="1:30" ht="32" customHeight="true">
      <c r="A23" s="323" t="s">
        <v>520</v>
      </c>
      <c r="B23" s="280" t="s">
        <v>521</v>
      </c>
      <c r="C23" s="268" t="s"/>
      <c r="D23" s="268" t="s"/>
      <c r="E23" s="268" t="s"/>
      <c r="F23" s="324" t="e">
        <f>=估算1115修改园建!F97</f>
        <v>#VALUE!</v>
      </c>
      <c r="G23" s="324" t="e">
        <f>=F23</f>
        <v>#VALUE!</v>
      </c>
      <c r="H23" s="280" t="s">
        <v>2525</v>
      </c>
      <c r="I23" s="281">
        <v>100000</v>
      </c>
      <c r="J23" s="282" t="e">
        <f>=G23/I23*10000</f>
        <v>#VALUE!</v>
      </c>
      <c r="K23" s="268" t="s"/>
      <c r="L23" s="268" t="s"/>
      <c r="M23" s="268" t="s"/>
      <c r="N23" s="324">
        <v>4487.65</v>
      </c>
      <c r="O23" s="324">
        <f>=N23</f>
        <v>4487.65</v>
      </c>
      <c r="P23" s="280" t="s">
        <v>2525</v>
      </c>
      <c r="Q23" s="281">
        <v>75000</v>
      </c>
      <c r="R23" s="282">
        <f>=O23/Q23*10000</f>
        <v>598.353333333334</v>
      </c>
      <c r="S23" s="282" t="s"/>
      <c r="T23" s="268" t="s"/>
      <c r="U23" s="268" t="s"/>
      <c r="V23" s="263" t="s"/>
      <c r="W23" s="263" t="s"/>
      <c r="X23" s="263" t="s"/>
      <c r="Y23" s="263" t="s"/>
      <c r="Z23" s="263" t="s"/>
      <c r="AA23" s="263" t="s"/>
      <c r="AB23" s="263" t="s"/>
      <c r="AC23" s="263" t="s"/>
      <c r="AD23" s="263" t="s"/>
    </row>
    <row r="24" spans="1:30" ht="32" customHeight="true">
      <c r="A24" s="326" t="s"/>
      <c r="B24" s="327" t="s"/>
      <c r="C24" s="268" t="s"/>
      <c r="D24" s="268" t="s"/>
      <c r="E24" s="268" t="s"/>
      <c r="F24" s="296" t="s"/>
      <c r="G24" s="296" t="s"/>
      <c r="H24" s="270" t="s"/>
      <c r="I24" s="270" t="s"/>
      <c r="J24" s="330" t="s"/>
      <c r="K24" s="268" t="s"/>
      <c r="L24" s="268" t="s"/>
      <c r="M24" s="268" t="s"/>
      <c r="N24" s="296" t="s"/>
      <c r="O24" s="296" t="s"/>
      <c r="P24" s="270" t="s"/>
      <c r="Q24" s="270" t="s"/>
      <c r="R24" s="330" t="s"/>
      <c r="S24" s="330" t="s"/>
      <c r="T24" s="268" t="s"/>
      <c r="U24" s="268" t="s"/>
      <c r="V24" s="263" t="s"/>
      <c r="W24" s="263" t="s"/>
      <c r="X24" s="263" t="s"/>
      <c r="Y24" s="263" t="s"/>
      <c r="Z24" s="263" t="s"/>
      <c r="AA24" s="263" t="s"/>
      <c r="AB24" s="263" t="s"/>
      <c r="AC24" s="263" t="s"/>
      <c r="AD24" s="263" t="s"/>
    </row>
    <row r="25" spans="1:30" ht="32" customHeight="true">
      <c r="A25" s="323" t="s">
        <v>564</v>
      </c>
      <c r="B25" s="280" t="s">
        <v>565</v>
      </c>
      <c r="C25" s="268" t="s"/>
      <c r="D25" s="268" t="s"/>
      <c r="E25" s="268" t="s"/>
      <c r="F25" s="328" t="s"/>
      <c r="G25" s="328" t="e">
        <f>=G26</f>
        <v>#VALUE!</v>
      </c>
      <c r="H25" s="280" t="s">
        <v>2525</v>
      </c>
      <c r="I25" s="281">
        <v>100000</v>
      </c>
      <c r="J25" s="282" t="e">
        <f>=G25/I25*10000</f>
        <v>#VALUE!</v>
      </c>
      <c r="K25" s="268" t="s"/>
      <c r="L25" s="268" t="s"/>
      <c r="M25" s="268" t="s"/>
      <c r="N25" s="328" t="s"/>
      <c r="O25" s="328">
        <v>2304.94</v>
      </c>
      <c r="P25" s="280" t="s">
        <v>2525</v>
      </c>
      <c r="Q25" s="281">
        <v>75000</v>
      </c>
      <c r="R25" s="282">
        <f>=O25/Q25*10000</f>
        <v>307.325333333333</v>
      </c>
      <c r="S25" s="282" t="s"/>
      <c r="T25" s="268" t="s"/>
      <c r="U25" s="268" t="s"/>
      <c r="V25" s="263" t="s"/>
      <c r="W25" s="263" t="s"/>
      <c r="X25" s="263" t="s"/>
      <c r="Y25" s="263" t="s"/>
      <c r="Z25" s="263" t="s"/>
      <c r="AA25" s="263" t="s"/>
      <c r="AB25" s="263" t="s"/>
      <c r="AC25" s="263" t="s"/>
      <c r="AD25" s="263" t="s"/>
    </row>
    <row r="26" spans="1:30" ht="32" customHeight="true">
      <c r="A26" s="326" t="s">
        <v>522</v>
      </c>
      <c r="B26" s="327" t="s">
        <v>2535</v>
      </c>
      <c r="C26" s="268" t="s"/>
      <c r="D26" s="268" t="s"/>
      <c r="E26" s="268" t="s"/>
      <c r="F26" s="270" t="s"/>
      <c r="G26" s="270" t="e">
        <f>=(G4+G23)*0.05</f>
        <v>#VALUE!</v>
      </c>
      <c r="H26" s="270" t="s"/>
      <c r="I26" s="270" t="s"/>
      <c r="J26" s="330" t="s"/>
      <c r="K26" s="268" t="s"/>
      <c r="L26" s="268" t="s"/>
      <c r="M26" s="268" t="s"/>
      <c r="N26" s="270" t="s"/>
      <c r="O26" s="270">
        <f>=(O4+O23)*0.05</f>
        <v>2304.93575</v>
      </c>
      <c r="P26" s="270" t="s"/>
      <c r="Q26" s="270" t="s"/>
      <c r="R26" s="330" t="s"/>
      <c r="S26" s="330" t="s"/>
      <c r="T26" s="286" t="s"/>
      <c r="U26" s="286" t="s"/>
      <c r="V26" s="263" t="s"/>
      <c r="W26" s="263" t="s"/>
      <c r="X26" s="263" t="s"/>
      <c r="Y26" s="263" t="s"/>
      <c r="Z26" s="263" t="s"/>
      <c r="AA26" s="263" t="s"/>
      <c r="AB26" s="263" t="s"/>
      <c r="AC26" s="263" t="s"/>
      <c r="AD26" s="263" t="s"/>
    </row>
    <row r="27" spans="1:30" ht="32" customHeight="true">
      <c r="A27" s="326" t="s"/>
      <c r="B27" s="327" t="s"/>
      <c r="C27" s="268" t="s"/>
      <c r="D27" s="268" t="s"/>
      <c r="E27" s="268" t="s"/>
      <c r="F27" s="270" t="s"/>
      <c r="G27" s="270" t="s"/>
      <c r="H27" s="270" t="s"/>
      <c r="I27" s="270" t="s"/>
      <c r="J27" s="330" t="s"/>
      <c r="K27" s="268" t="s"/>
      <c r="L27" s="268" t="s"/>
      <c r="M27" s="268" t="s"/>
      <c r="N27" s="270" t="s"/>
      <c r="O27" s="270" t="s"/>
      <c r="P27" s="270" t="s"/>
      <c r="Q27" s="270" t="s"/>
      <c r="R27" s="330" t="s"/>
      <c r="S27" s="330" t="s"/>
      <c r="T27" s="286" t="s"/>
      <c r="U27" s="286" t="s"/>
      <c r="V27" s="263" t="s"/>
      <c r="W27" s="263" t="s"/>
      <c r="X27" s="263" t="s"/>
      <c r="Y27" s="263" t="s"/>
      <c r="Z27" s="263" t="s"/>
      <c r="AA27" s="263" t="s"/>
      <c r="AB27" s="263" t="s"/>
      <c r="AC27" s="263" t="s"/>
      <c r="AD27" s="263" t="s"/>
    </row>
    <row r="28" spans="1:30" ht="32" customHeight="true">
      <c r="A28" s="323" t="s">
        <v>566</v>
      </c>
      <c r="B28" s="280" t="s">
        <v>567</v>
      </c>
      <c r="C28" s="268" t="s"/>
      <c r="D28" s="268" t="s"/>
      <c r="E28" s="268" t="s"/>
      <c r="F28" s="328" t="s"/>
      <c r="G28" s="333" t="e">
        <f>=G4+G23+G25</f>
        <v>#VALUE!</v>
      </c>
      <c r="H28" s="280" t="s">
        <v>2525</v>
      </c>
      <c r="I28" s="281">
        <v>100000</v>
      </c>
      <c r="J28" s="282" t="e">
        <f>=G28/I28*10000</f>
        <v>#VALUE!</v>
      </c>
      <c r="K28" s="268" t="s"/>
      <c r="L28" s="268" t="s"/>
      <c r="M28" s="268" t="s"/>
      <c r="N28" s="328" t="s"/>
      <c r="O28" s="333">
        <f>=O4+O23+O25</f>
        <v>48403.655</v>
      </c>
      <c r="P28" s="280" t="s">
        <v>2525</v>
      </c>
      <c r="Q28" s="281">
        <v>75000</v>
      </c>
      <c r="R28" s="282">
        <f>=O28/Q28*10000</f>
        <v>6453.82066666667</v>
      </c>
      <c r="S28" s="291" t="e">
        <f>=G28-O28</f>
        <v>#VALUE!</v>
      </c>
      <c r="T28" s="569" t="e">
        <f>=-(R28-J28)/J28</f>
        <v>#VALUE!</v>
      </c>
      <c r="U28" s="570" t="s">
        <v>935</v>
      </c>
      <c r="V28" s="263" t="s"/>
      <c r="W28" s="263" t="s"/>
      <c r="X28" s="263" t="s"/>
      <c r="Y28" s="263" t="s"/>
      <c r="Z28" s="263" t="s"/>
      <c r="AA28" s="263" t="s"/>
      <c r="AB28" s="263" t="s"/>
      <c r="AC28" s="263" t="s"/>
      <c r="AD28" s="263" t="s"/>
    </row>
    <row r="29" spans="1:30" ht="32" customHeight="true">
      <c r="A29" s="323" t="s"/>
      <c r="B29" s="280" t="s"/>
      <c r="C29" s="268" t="s"/>
      <c r="D29" s="268" t="s"/>
      <c r="E29" s="268" t="s"/>
      <c r="F29" s="328" t="s"/>
      <c r="G29" s="328" t="s"/>
      <c r="H29" s="328" t="s"/>
      <c r="I29" s="328" t="s"/>
      <c r="J29" s="325" t="s"/>
      <c r="K29" s="268" t="s"/>
      <c r="L29" s="268" t="s"/>
      <c r="M29" s="268" t="s"/>
      <c r="N29" s="328" t="s"/>
      <c r="O29" s="328" t="s"/>
      <c r="P29" s="328" t="s"/>
      <c r="Q29" s="328" t="s"/>
      <c r="R29" s="325" t="s"/>
      <c r="S29" s="325" t="s"/>
      <c r="T29" s="268" t="s"/>
      <c r="U29" s="268" t="s"/>
      <c r="V29" s="263" t="s"/>
      <c r="W29" s="263" t="s"/>
      <c r="X29" s="263" t="s"/>
      <c r="Y29" s="263" t="s"/>
      <c r="Z29" s="263" t="s"/>
      <c r="AA29" s="263" t="s"/>
      <c r="AB29" s="263" t="s"/>
      <c r="AC29" s="263" t="s"/>
      <c r="AD29" s="263" t="s"/>
    </row>
    <row r="30" spans="1:30" ht="32" customHeight="true">
      <c r="A30" s="323" t="s">
        <v>568</v>
      </c>
      <c r="B30" s="280" t="s">
        <v>569</v>
      </c>
      <c r="C30" s="268" t="s"/>
      <c r="D30" s="268" t="s"/>
      <c r="E30" s="268" t="s"/>
      <c r="F30" s="328" t="s"/>
      <c r="G30" s="328" t="e">
        <f>=估算1115修改园建!G125</f>
        <v>#VALUE!</v>
      </c>
      <c r="H30" s="280" t="s">
        <v>2525</v>
      </c>
      <c r="I30" s="281">
        <v>100000</v>
      </c>
      <c r="J30" s="282" t="e">
        <f>=G30/I30*10000</f>
        <v>#VALUE!</v>
      </c>
      <c r="K30" s="268" t="s"/>
      <c r="L30" s="268" t="s"/>
      <c r="M30" s="268" t="s"/>
      <c r="N30" s="328" t="s"/>
      <c r="O30" s="328">
        <v>0</v>
      </c>
      <c r="P30" s="280" t="s">
        <v>2525</v>
      </c>
      <c r="Q30" s="281">
        <f>=Q28</f>
        <v>75000</v>
      </c>
      <c r="R30" s="282">
        <f>=O30/Q30*10000</f>
        <v>0</v>
      </c>
      <c r="S30" s="282" t="s"/>
      <c r="T30" s="268" t="s"/>
      <c r="U30" s="574" t="s">
        <v>950</v>
      </c>
      <c r="V30" s="263" t="s"/>
      <c r="W30" s="263" t="s"/>
      <c r="X30" s="263" t="s"/>
      <c r="Y30" s="263" t="s"/>
      <c r="Z30" s="263" t="s"/>
      <c r="AA30" s="263" t="s"/>
      <c r="AB30" s="263" t="s"/>
      <c r="AC30" s="263" t="s"/>
      <c r="AD30" s="263" t="s"/>
    </row>
    <row r="31" spans="1:30" ht="32" customHeight="true">
      <c r="A31" s="323" t="s"/>
      <c r="B31" s="280" t="s"/>
      <c r="C31" s="268" t="s"/>
      <c r="D31" s="268" t="s"/>
      <c r="E31" s="268" t="s"/>
      <c r="F31" s="328" t="s"/>
      <c r="G31" s="328" t="s"/>
      <c r="H31" s="328" t="s"/>
      <c r="I31" s="328" t="s"/>
      <c r="J31" s="325" t="s"/>
      <c r="K31" s="268" t="s"/>
      <c r="L31" s="268" t="s"/>
      <c r="M31" s="268" t="s"/>
      <c r="N31" s="328" t="s"/>
      <c r="O31" s="328" t="s"/>
      <c r="P31" s="328" t="s"/>
      <c r="Q31" s="328" t="s"/>
      <c r="R31" s="325" t="s"/>
      <c r="S31" s="325" t="s"/>
      <c r="T31" s="268" t="s"/>
      <c r="U31" s="268" t="s"/>
      <c r="V31" s="263" t="s"/>
      <c r="W31" s="263" t="s"/>
      <c r="X31" s="263" t="s"/>
      <c r="Y31" s="263" t="s"/>
      <c r="Z31" s="263" t="s"/>
      <c r="AA31" s="263" t="s"/>
      <c r="AB31" s="263" t="s"/>
      <c r="AC31" s="263" t="s"/>
      <c r="AD31" s="263" t="s"/>
    </row>
    <row r="32" spans="1:30" ht="32" customHeight="true">
      <c r="A32" s="323" t="s">
        <v>570</v>
      </c>
      <c r="B32" s="280" t="s">
        <v>571</v>
      </c>
      <c r="C32" s="268" t="s"/>
      <c r="D32" s="268" t="s"/>
      <c r="E32" s="268" t="s"/>
      <c r="F32" s="328" t="s"/>
      <c r="G32" s="328">
        <f>=估算1115修改园建!G127</f>
        <v>337.34</v>
      </c>
      <c r="H32" s="280" t="s">
        <v>2525</v>
      </c>
      <c r="I32" s="281">
        <v>100000</v>
      </c>
      <c r="J32" s="282">
        <f>=G32/I32*10000</f>
        <v>33.734</v>
      </c>
      <c r="K32" s="268" t="s"/>
      <c r="L32" s="268" t="s"/>
      <c r="M32" s="268" t="s"/>
      <c r="N32" s="328" t="s"/>
      <c r="O32" s="328">
        <v>0</v>
      </c>
      <c r="P32" s="280" t="s">
        <v>2525</v>
      </c>
      <c r="Q32" s="281">
        <f>=Q30</f>
        <v>75000</v>
      </c>
      <c r="R32" s="282">
        <f>=O32/Q32*10000</f>
        <v>0</v>
      </c>
      <c r="S32" s="282" t="s"/>
      <c r="T32" s="268" t="s"/>
      <c r="U32" s="574" t="s">
        <v>950</v>
      </c>
      <c r="V32" s="263" t="s"/>
      <c r="W32" s="263" t="s"/>
      <c r="X32" s="263" t="s"/>
      <c r="Y32" s="263" t="s"/>
      <c r="Z32" s="263" t="s"/>
      <c r="AA32" s="263" t="s"/>
      <c r="AB32" s="263" t="s"/>
      <c r="AC32" s="263" t="s"/>
      <c r="AD32" s="263" t="s"/>
    </row>
    <row r="33" spans="1:30" ht="32" customHeight="true">
      <c r="A33" s="323" t="s"/>
      <c r="B33" s="280" t="s"/>
      <c r="C33" s="268" t="s"/>
      <c r="D33" s="268" t="s"/>
      <c r="E33" s="268" t="s"/>
      <c r="F33" s="328" t="s"/>
      <c r="G33" s="328" t="s"/>
      <c r="H33" s="328" t="s"/>
      <c r="I33" s="328" t="s"/>
      <c r="J33" s="325" t="s"/>
      <c r="K33" s="268" t="s"/>
      <c r="L33" s="268" t="s"/>
      <c r="M33" s="268" t="s"/>
      <c r="N33" s="328" t="s"/>
      <c r="O33" s="328" t="s"/>
      <c r="P33" s="328" t="s"/>
      <c r="Q33" s="328" t="s"/>
      <c r="R33" s="325" t="s"/>
      <c r="S33" s="325" t="s"/>
      <c r="T33" s="268" t="s"/>
      <c r="U33" s="268" t="s"/>
      <c r="V33" s="263" t="s"/>
      <c r="W33" s="263" t="s"/>
      <c r="X33" s="263" t="s"/>
      <c r="Y33" s="263" t="s"/>
      <c r="Z33" s="263" t="s"/>
      <c r="AA33" s="263" t="s"/>
      <c r="AB33" s="263" t="s"/>
      <c r="AC33" s="263" t="s"/>
      <c r="AD33" s="263" t="s"/>
    </row>
    <row r="34" spans="1:30" ht="32" customHeight="true">
      <c r="A34" s="323" t="s">
        <v>572</v>
      </c>
      <c r="B34" s="280" t="s">
        <v>573</v>
      </c>
      <c r="C34" s="268" t="s"/>
      <c r="D34" s="268" t="s"/>
      <c r="E34" s="268" t="s"/>
      <c r="F34" s="328" t="s"/>
      <c r="G34" s="333" t="e">
        <f>=G28+G30+G32</f>
        <v>#VALUE!</v>
      </c>
      <c r="H34" s="280" t="s">
        <v>2525</v>
      </c>
      <c r="I34" s="281">
        <v>100000</v>
      </c>
      <c r="J34" s="282" t="e">
        <f>=G34/I34*10000</f>
        <v>#VALUE!</v>
      </c>
      <c r="K34" s="268" t="s"/>
      <c r="L34" s="268" t="s"/>
      <c r="M34" s="268" t="s"/>
      <c r="N34" s="328" t="s"/>
      <c r="O34" s="333">
        <f>=O28+O30+O32</f>
        <v>48403.655</v>
      </c>
      <c r="P34" s="280" t="s">
        <v>2525</v>
      </c>
      <c r="Q34" s="281">
        <f>=Q32</f>
        <v>75000</v>
      </c>
      <c r="R34" s="282">
        <f>=O34/Q34*10000</f>
        <v>6453.82066666667</v>
      </c>
      <c r="S34" s="291" t="e">
        <f>=G34-O34</f>
        <v>#VALUE!</v>
      </c>
      <c r="T34" s="569" t="e">
        <f>=-(R34-J34)/J34</f>
        <v>#VALUE!</v>
      </c>
      <c r="U34" s="268" t="s"/>
      <c r="V34" s="263" t="s"/>
      <c r="W34" s="263" t="s"/>
      <c r="X34" s="263" t="s"/>
      <c r="Y34" s="263" t="s"/>
      <c r="Z34" s="263" t="s"/>
      <c r="AA34" s="263" t="s"/>
      <c r="AB34" s="263" t="s"/>
      <c r="AC34" s="263" t="s"/>
      <c r="AD34" s="263" t="s"/>
    </row>
    <row r="35" spans="1:30" ht="32" customHeight="true">
      <c r="A35" s="335" t="s"/>
      <c r="B35" s="336" t="s"/>
      <c r="C35" s="263" t="s"/>
      <c r="D35" s="263" t="s"/>
      <c r="E35" s="263" t="s"/>
      <c r="F35" s="337" t="s"/>
      <c r="G35" s="337" t="s"/>
      <c r="H35" s="337" t="s"/>
      <c r="I35" s="337" t="s"/>
      <c r="J35" s="338" t="s"/>
      <c r="K35" s="338" t="s"/>
      <c r="L35" s="263" t="s"/>
      <c r="M35" s="263" t="s"/>
      <c r="N35" s="263" t="s"/>
      <c r="O35" s="263" t="s"/>
      <c r="P35" s="263" t="s"/>
      <c r="Q35" s="263" t="s"/>
      <c r="R35" s="263" t="s"/>
      <c r="S35" s="263" t="s"/>
      <c r="T35" s="263" t="s"/>
      <c r="U35" s="263" t="s"/>
      <c r="V35" s="263" t="s"/>
      <c r="W35" s="263" t="s"/>
      <c r="X35" s="263" t="s"/>
      <c r="Y35" s="263" t="s"/>
      <c r="Z35" s="263" t="s"/>
      <c r="AA35" s="263" t="s"/>
      <c r="AB35" s="263" t="s"/>
      <c r="AC35" s="263" t="s"/>
      <c r="AD35" s="263" t="s"/>
    </row>
    <row r="36" spans="1:30" ht="32" customHeight="true">
      <c r="A36" s="335" t="s"/>
      <c r="B36" s="336" t="s"/>
      <c r="C36" s="263" t="s"/>
      <c r="D36" s="263" t="s"/>
      <c r="E36" s="263" t="s"/>
      <c r="F36" s="337" t="s"/>
      <c r="G36" s="337" t="s"/>
      <c r="H36" s="337" t="s"/>
      <c r="I36" s="337" t="s"/>
      <c r="J36" s="338" t="s"/>
      <c r="K36" s="338" t="s"/>
      <c r="L36" s="263" t="s"/>
      <c r="M36" s="263" t="s"/>
      <c r="N36" s="263" t="s"/>
      <c r="O36" s="263" t="s"/>
      <c r="P36" s="263" t="s"/>
      <c r="Q36" s="263" t="s"/>
      <c r="R36" s="263" t="s"/>
      <c r="S36" s="263" t="s"/>
      <c r="T36" s="263" t="s"/>
      <c r="U36" s="263" t="s"/>
      <c r="V36" s="263" t="s"/>
      <c r="W36" s="263" t="s"/>
      <c r="X36" s="263" t="s"/>
      <c r="Y36" s="263" t="s"/>
      <c r="Z36" s="263" t="s"/>
      <c r="AA36" s="263" t="s"/>
      <c r="AB36" s="263" t="s"/>
      <c r="AC36" s="263" t="s"/>
      <c r="AD36" s="263" t="s"/>
    </row>
    <row r="37" spans="1:30" customHeight="false">
      <c r="A37" s="263" t="s"/>
      <c r="B37" s="339" t="s"/>
      <c r="C37" s="263" t="s"/>
      <c r="D37" s="263" t="s"/>
      <c r="E37" s="263" t="s"/>
      <c r="F37" s="263" t="s"/>
      <c r="G37" s="263" t="s"/>
      <c r="H37" s="263" t="s"/>
      <c r="I37" s="263" t="s"/>
      <c r="J37" s="340" t="s"/>
      <c r="K37" s="340" t="s"/>
      <c r="L37" s="341" t="s"/>
      <c r="M37" s="341" t="s"/>
      <c r="N37" s="341" t="s"/>
      <c r="O37" s="341" t="s"/>
      <c r="P37" s="341" t="s"/>
      <c r="Q37" s="341" t="s"/>
      <c r="R37" s="341" t="s"/>
      <c r="S37" s="341" t="s"/>
      <c r="T37" s="341" t="s"/>
      <c r="U37" s="341" t="s"/>
      <c r="V37" s="263" t="s"/>
      <c r="W37" s="263" t="s"/>
      <c r="X37" s="263" t="s"/>
      <c r="Y37" s="263" t="s"/>
      <c r="Z37" s="263" t="s"/>
      <c r="AA37" s="263" t="s"/>
      <c r="AB37" s="263" t="s"/>
      <c r="AC37" s="263" t="s"/>
      <c r="AD37" s="263" t="s"/>
    </row>
    <row r="38" spans="1:30" customHeight="false">
      <c r="A38" s="263" t="s"/>
      <c r="B38" s="339" t="s"/>
      <c r="C38" s="263" t="s"/>
      <c r="D38" s="263" t="s"/>
      <c r="E38" s="263" t="s"/>
      <c r="F38" s="263" t="s"/>
      <c r="G38" s="342">
        <v>86832.7241646242</v>
      </c>
      <c r="H38" s="263" t="s"/>
      <c r="I38" s="263" t="s"/>
      <c r="J38" s="340" t="s"/>
      <c r="K38" s="340" t="s"/>
      <c r="L38" s="263" t="s"/>
      <c r="M38" s="263" t="s"/>
      <c r="N38" s="263" t="s"/>
      <c r="O38" s="263" t="s"/>
      <c r="P38" s="263" t="s"/>
      <c r="Q38" s="263" t="s"/>
      <c r="R38" s="263" t="s"/>
      <c r="S38" s="263" t="s"/>
      <c r="T38" s="263" t="s"/>
      <c r="U38" s="263" t="s"/>
      <c r="V38" s="263" t="s"/>
      <c r="W38" s="263" t="s"/>
      <c r="X38" s="263" t="s"/>
      <c r="Y38" s="263" t="s"/>
      <c r="Z38" s="263" t="s"/>
      <c r="AA38" s="263" t="s"/>
      <c r="AB38" s="263" t="s"/>
      <c r="AC38" s="263" t="s"/>
      <c r="AD38" s="263" t="s"/>
    </row>
    <row r="39" spans="1:30" customHeight="false">
      <c r="A39" s="263" t="s"/>
      <c r="B39" s="339" t="s"/>
      <c r="C39" s="263" t="s"/>
      <c r="D39" s="263" t="s"/>
      <c r="E39" s="263" t="s"/>
      <c r="F39" s="263" t="s"/>
      <c r="G39" s="263" t="s"/>
      <c r="H39" s="263" t="s"/>
      <c r="I39" s="263" t="s"/>
      <c r="J39" s="340" t="s"/>
      <c r="K39" s="340" t="s"/>
      <c r="L39" s="263" t="s"/>
      <c r="M39" s="263" t="s"/>
      <c r="N39" s="263" t="s"/>
      <c r="O39" s="263" t="s"/>
      <c r="P39" s="263" t="s"/>
      <c r="Q39" s="263" t="s"/>
      <c r="R39" s="263" t="s"/>
      <c r="S39" s="263" t="s"/>
      <c r="T39" s="263" t="s"/>
      <c r="U39" s="263" t="s"/>
      <c r="V39" s="263" t="s"/>
      <c r="W39" s="263" t="s"/>
      <c r="X39" s="263" t="s"/>
      <c r="Y39" s="263" t="s"/>
      <c r="Z39" s="263" t="s"/>
      <c r="AA39" s="263" t="s"/>
      <c r="AB39" s="263" t="s"/>
      <c r="AC39" s="263" t="s"/>
      <c r="AD39" s="263" t="s"/>
    </row>
    <row r="40" spans="1:30" customHeight="false">
      <c r="A40" s="263" t="s"/>
      <c r="B40" s="339" t="s"/>
      <c r="C40" s="263" t="s"/>
      <c r="D40" s="263" t="s"/>
      <c r="E40" s="263" t="s"/>
      <c r="F40" s="263" t="s"/>
      <c r="G40" s="263" t="s"/>
      <c r="H40" s="263" t="s"/>
      <c r="I40" s="263" t="s"/>
      <c r="J40" s="340" t="s"/>
      <c r="K40" s="340" t="s"/>
      <c r="L40" s="263" t="s"/>
      <c r="M40" s="263" t="s"/>
      <c r="N40" s="263" t="s"/>
      <c r="O40" s="263" t="s"/>
      <c r="P40" s="263" t="s"/>
      <c r="Q40" s="263" t="s"/>
      <c r="R40" s="263" t="s"/>
      <c r="S40" s="263" t="s"/>
      <c r="T40" s="263" t="s"/>
      <c r="U40" s="263" t="s"/>
      <c r="V40" s="263" t="s"/>
      <c r="W40" s="263" t="s"/>
      <c r="X40" s="263" t="s"/>
      <c r="Y40" s="263" t="s"/>
      <c r="Z40" s="263" t="s"/>
      <c r="AA40" s="263" t="s"/>
      <c r="AB40" s="263" t="s"/>
      <c r="AC40" s="263" t="s"/>
      <c r="AD40" s="263" t="s"/>
    </row>
    <row r="41" spans="1:30" customHeight="false">
      <c r="A41" s="263" t="s"/>
      <c r="B41" s="339" t="s"/>
      <c r="C41" s="263" t="s"/>
      <c r="D41" s="263" t="s"/>
      <c r="E41" s="263" t="s"/>
      <c r="F41" s="263" t="s"/>
      <c r="G41" s="263" t="s"/>
      <c r="H41" s="263" t="s"/>
      <c r="I41" s="263" t="s"/>
      <c r="J41" s="340" t="s"/>
      <c r="K41" s="340" t="s"/>
      <c r="L41" s="263" t="s"/>
      <c r="M41" s="263" t="s"/>
      <c r="N41" s="263" t="s"/>
      <c r="O41" s="263" t="s"/>
      <c r="P41" s="263" t="s"/>
      <c r="Q41" s="263" t="s"/>
      <c r="R41" s="263" t="s"/>
      <c r="S41" s="263" t="s"/>
      <c r="T41" s="263" t="s"/>
      <c r="U41" s="263" t="s"/>
      <c r="V41" s="263" t="s"/>
      <c r="W41" s="263" t="s"/>
      <c r="X41" s="263" t="s"/>
      <c r="Y41" s="263" t="s"/>
      <c r="Z41" s="263" t="s"/>
      <c r="AA41" s="263" t="s"/>
      <c r="AB41" s="263" t="s"/>
      <c r="AC41" s="263" t="s"/>
      <c r="AD41" s="263" t="s"/>
    </row>
    <row r="42" spans="1:30" customHeight="false">
      <c r="A42" s="263" t="s"/>
      <c r="B42" s="339" t="s"/>
      <c r="C42" s="263" t="s"/>
      <c r="D42" s="263" t="s"/>
      <c r="E42" s="263" t="s"/>
      <c r="F42" s="263" t="s"/>
      <c r="G42" s="263" t="s"/>
      <c r="H42" s="263" t="s"/>
      <c r="I42" s="263" t="s"/>
      <c r="J42" s="340" t="s"/>
      <c r="K42" s="340" t="s"/>
      <c r="L42" s="263" t="s"/>
      <c r="M42" s="263" t="s"/>
      <c r="N42" s="263" t="s"/>
      <c r="O42" s="263" t="s"/>
      <c r="P42" s="263" t="s"/>
      <c r="Q42" s="263" t="s"/>
      <c r="R42" s="263" t="s"/>
      <c r="S42" s="263" t="s"/>
      <c r="T42" s="263" t="s"/>
      <c r="U42" s="263" t="s"/>
      <c r="V42" s="263" t="s"/>
      <c r="W42" s="263" t="s"/>
      <c r="X42" s="263" t="s"/>
      <c r="Y42" s="263" t="s"/>
      <c r="Z42" s="263" t="s"/>
      <c r="AA42" s="263" t="s"/>
      <c r="AB42" s="263" t="s"/>
      <c r="AC42" s="263" t="s"/>
      <c r="AD42" s="263" t="s"/>
    </row>
    <row r="43" spans="1:30" customHeight="false">
      <c r="A43" s="263" t="s"/>
      <c r="B43" s="339" t="s"/>
      <c r="C43" s="263" t="s"/>
      <c r="D43" s="263" t="s"/>
      <c r="E43" s="263" t="s"/>
      <c r="F43" s="263" t="s"/>
      <c r="G43" s="263" t="s"/>
      <c r="H43" s="263" t="s"/>
      <c r="I43" s="263" t="s"/>
      <c r="J43" s="340" t="s"/>
      <c r="K43" s="340" t="s"/>
      <c r="L43" s="263" t="s"/>
      <c r="M43" s="263" t="s"/>
      <c r="N43" s="263" t="s"/>
      <c r="O43" s="263" t="s"/>
      <c r="P43" s="263" t="s"/>
      <c r="Q43" s="263" t="s"/>
      <c r="R43" s="263" t="s"/>
      <c r="S43" s="263" t="s"/>
      <c r="T43" s="263" t="s"/>
      <c r="U43" s="263" t="s"/>
      <c r="V43" s="263" t="s"/>
      <c r="W43" s="263" t="s"/>
      <c r="X43" s="263" t="s"/>
      <c r="Y43" s="263" t="s"/>
      <c r="Z43" s="263" t="s"/>
      <c r="AA43" s="263" t="s"/>
      <c r="AB43" s="263" t="s"/>
      <c r="AC43" s="263" t="s"/>
      <c r="AD43" s="263" t="s"/>
    </row>
    <row r="44" spans="1:30" customHeight="false">
      <c r="A44" s="263" t="s"/>
      <c r="B44" s="339" t="s"/>
      <c r="C44" s="263" t="s"/>
      <c r="D44" s="263" t="s"/>
      <c r="E44" s="263" t="s"/>
      <c r="F44" s="263" t="s"/>
      <c r="G44" s="263" t="s"/>
      <c r="H44" s="263" t="s"/>
      <c r="I44" s="263" t="s"/>
      <c r="J44" s="340" t="s"/>
      <c r="K44" s="340" t="s"/>
      <c r="L44" s="263" t="s"/>
      <c r="M44" s="263" t="s"/>
      <c r="N44" s="263" t="s"/>
      <c r="O44" s="263" t="s"/>
      <c r="P44" s="263" t="s"/>
      <c r="Q44" s="263" t="s"/>
      <c r="R44" s="263" t="s"/>
      <c r="S44" s="263" t="s"/>
      <c r="T44" s="263" t="s"/>
      <c r="U44" s="263" t="s"/>
      <c r="V44" s="263" t="s"/>
      <c r="W44" s="263" t="s"/>
      <c r="X44" s="263" t="s"/>
      <c r="Y44" s="263" t="s"/>
      <c r="Z44" s="263" t="s"/>
      <c r="AA44" s="263" t="s"/>
      <c r="AB44" s="263" t="s"/>
      <c r="AC44" s="263" t="s"/>
      <c r="AD44" s="263" t="s"/>
    </row>
    <row r="45" spans="1:30" customHeight="false">
      <c r="A45" s="263" t="s"/>
      <c r="B45" s="339" t="s"/>
      <c r="C45" s="263" t="s"/>
      <c r="D45" s="263" t="s"/>
      <c r="E45" s="263" t="s"/>
      <c r="F45" s="263" t="s"/>
      <c r="G45" s="263" t="s"/>
      <c r="H45" s="263" t="s"/>
      <c r="I45" s="263" t="s"/>
      <c r="J45" s="340" t="s"/>
      <c r="K45" s="340" t="s"/>
      <c r="L45" s="263" t="s"/>
      <c r="M45" s="263" t="s"/>
      <c r="N45" s="263" t="s"/>
      <c r="O45" s="263" t="s"/>
      <c r="P45" s="263" t="s"/>
      <c r="Q45" s="263" t="s"/>
      <c r="R45" s="263" t="s"/>
      <c r="S45" s="263" t="s"/>
      <c r="T45" s="263" t="s"/>
      <c r="U45" s="263" t="s"/>
      <c r="V45" s="263" t="s"/>
      <c r="W45" s="263" t="s"/>
      <c r="X45" s="263" t="s"/>
      <c r="Y45" s="263" t="s"/>
      <c r="Z45" s="263" t="s"/>
      <c r="AA45" s="263" t="s"/>
      <c r="AB45" s="263" t="s"/>
      <c r="AC45" s="263" t="s"/>
      <c r="AD45" s="263" t="s"/>
    </row>
    <row r="46" spans="1:30" customHeight="false">
      <c r="A46" s="263" t="s"/>
      <c r="B46" s="339" t="s"/>
      <c r="C46" s="263" t="s"/>
      <c r="D46" s="263" t="s"/>
      <c r="E46" s="263" t="s"/>
      <c r="F46" s="263" t="s"/>
      <c r="G46" s="263" t="s"/>
      <c r="H46" s="263" t="s"/>
      <c r="I46" s="263" t="s"/>
      <c r="J46" s="340" t="s"/>
      <c r="K46" s="340" t="s"/>
      <c r="L46" s="263" t="s"/>
      <c r="M46" s="263" t="s"/>
      <c r="N46" s="263" t="s"/>
      <c r="O46" s="263" t="s"/>
      <c r="P46" s="263" t="s"/>
      <c r="Q46" s="263" t="s"/>
      <c r="R46" s="263" t="s"/>
      <c r="S46" s="263" t="s"/>
      <c r="T46" s="263" t="s"/>
      <c r="U46" s="263" t="s"/>
      <c r="V46" s="263" t="s"/>
      <c r="W46" s="263" t="s"/>
      <c r="X46" s="263" t="s"/>
      <c r="Y46" s="263" t="s"/>
      <c r="Z46" s="263" t="s"/>
      <c r="AA46" s="263" t="s"/>
      <c r="AB46" s="263" t="s"/>
      <c r="AC46" s="263" t="s"/>
      <c r="AD46" s="263" t="s"/>
    </row>
    <row r="47" spans="1:30" customHeight="false">
      <c r="A47" s="263" t="s"/>
      <c r="B47" s="339" t="s"/>
      <c r="C47" s="263" t="s"/>
      <c r="D47" s="263" t="s"/>
      <c r="E47" s="263" t="s"/>
      <c r="F47" s="263" t="s"/>
      <c r="G47" s="263" t="s"/>
      <c r="H47" s="263" t="s"/>
      <c r="I47" s="263" t="s"/>
      <c r="J47" s="340" t="s"/>
      <c r="K47" s="340" t="s"/>
      <c r="L47" s="263" t="s"/>
      <c r="M47" s="263" t="s"/>
      <c r="N47" s="263" t="s"/>
      <c r="O47" s="263" t="s"/>
      <c r="P47" s="263" t="s"/>
      <c r="Q47" s="263" t="s"/>
      <c r="R47" s="263" t="s"/>
      <c r="S47" s="263" t="s"/>
      <c r="T47" s="263" t="s"/>
      <c r="U47" s="263" t="s"/>
      <c r="V47" s="263" t="s"/>
      <c r="W47" s="263" t="s"/>
      <c r="X47" s="263" t="s"/>
      <c r="Y47" s="263" t="s"/>
      <c r="Z47" s="263" t="s"/>
      <c r="AA47" s="263" t="s"/>
      <c r="AB47" s="263" t="s"/>
      <c r="AC47" s="263" t="s"/>
      <c r="AD47" s="263" t="s"/>
    </row>
    <row r="48" spans="1:30" customHeight="false">
      <c r="A48" s="263" t="s"/>
      <c r="B48" s="339" t="s"/>
      <c r="C48" s="263" t="s"/>
      <c r="D48" s="263" t="s"/>
      <c r="E48" s="263" t="s"/>
      <c r="F48" s="263" t="s"/>
      <c r="G48" s="263" t="s"/>
      <c r="H48" s="263" t="s"/>
      <c r="I48" s="263" t="s"/>
      <c r="J48" s="340" t="s"/>
      <c r="K48" s="340" t="s"/>
      <c r="L48" s="263" t="s"/>
      <c r="M48" s="263" t="s"/>
      <c r="N48" s="263" t="s"/>
      <c r="O48" s="263" t="s"/>
      <c r="P48" s="263" t="s"/>
      <c r="Q48" s="263" t="s"/>
      <c r="R48" s="263" t="s"/>
      <c r="S48" s="263" t="s"/>
      <c r="T48" s="263" t="s"/>
      <c r="U48" s="263" t="s"/>
      <c r="V48" s="263" t="s"/>
      <c r="W48" s="263" t="s"/>
      <c r="X48" s="263" t="s"/>
      <c r="Y48" s="263" t="s"/>
      <c r="Z48" s="263" t="s"/>
      <c r="AA48" s="263" t="s"/>
      <c r="AB48" s="263" t="s"/>
      <c r="AC48" s="263" t="s"/>
      <c r="AD48" s="263" t="s"/>
    </row>
    <row r="49" spans="1:30" customHeight="false">
      <c r="A49" s="263" t="s"/>
      <c r="B49" s="263" t="s"/>
      <c r="C49" s="263" t="s"/>
      <c r="D49" s="263" t="s"/>
      <c r="E49" s="263" t="s"/>
      <c r="F49" s="263" t="s"/>
      <c r="G49" s="263" t="s"/>
      <c r="H49" s="263" t="s"/>
      <c r="I49" s="263" t="s"/>
      <c r="J49" s="340" t="s"/>
      <c r="K49" s="340" t="s"/>
      <c r="L49" s="263" t="s"/>
      <c r="M49" s="263" t="s"/>
      <c r="N49" s="263" t="s"/>
      <c r="O49" s="263" t="s"/>
      <c r="P49" s="263" t="s"/>
      <c r="Q49" s="263" t="s"/>
      <c r="R49" s="263" t="s"/>
      <c r="S49" s="263" t="s"/>
      <c r="T49" s="263" t="s"/>
      <c r="U49" s="263" t="s"/>
      <c r="V49" s="263" t="s"/>
      <c r="W49" s="263" t="s"/>
      <c r="X49" s="263" t="s"/>
      <c r="Y49" s="263" t="s"/>
      <c r="Z49" s="263" t="s"/>
      <c r="AA49" s="263" t="s"/>
      <c r="AB49" s="263" t="s"/>
      <c r="AC49" s="263" t="s"/>
      <c r="AD49" s="263" t="s"/>
    </row>
    <row r="50" spans="1:30" customHeight="false">
      <c r="A50" s="263" t="s"/>
      <c r="B50" s="263" t="s"/>
      <c r="C50" s="263" t="s"/>
      <c r="D50" s="263" t="s"/>
      <c r="E50" s="263" t="s"/>
      <c r="F50" s="263" t="s"/>
      <c r="G50" s="263" t="s"/>
      <c r="H50" s="263" t="s"/>
      <c r="I50" s="263" t="s"/>
      <c r="J50" s="340" t="s"/>
      <c r="K50" s="340" t="s"/>
      <c r="L50" s="263" t="s"/>
      <c r="M50" s="263" t="s"/>
      <c r="N50" s="263" t="s"/>
      <c r="O50" s="263" t="s"/>
      <c r="P50" s="263" t="s"/>
      <c r="Q50" s="263" t="s"/>
      <c r="R50" s="263" t="s"/>
      <c r="S50" s="263" t="s"/>
      <c r="T50" s="263" t="s"/>
      <c r="U50" s="263" t="s"/>
      <c r="V50" s="263" t="s"/>
      <c r="W50" s="263" t="s"/>
      <c r="X50" s="263" t="s"/>
      <c r="Y50" s="263" t="s"/>
      <c r="Z50" s="263" t="s"/>
      <c r="AA50" s="263" t="s"/>
      <c r="AB50" s="263" t="s"/>
      <c r="AC50" s="263" t="s"/>
      <c r="AD50" s="263" t="s"/>
    </row>
    <row r="51" spans="1:30" customHeight="false">
      <c r="A51" s="263" t="s"/>
      <c r="B51" s="263" t="s"/>
      <c r="C51" s="263" t="s"/>
      <c r="D51" s="263" t="s"/>
      <c r="E51" s="263" t="s"/>
      <c r="F51" s="263" t="s"/>
      <c r="G51" s="263" t="s"/>
      <c r="H51" s="263" t="s"/>
      <c r="I51" s="263" t="s"/>
      <c r="J51" s="340" t="s"/>
      <c r="K51" s="340" t="s"/>
      <c r="L51" s="263" t="s"/>
      <c r="M51" s="263" t="s"/>
      <c r="N51" s="263" t="s"/>
      <c r="O51" s="263" t="s"/>
      <c r="P51" s="263" t="s"/>
      <c r="Q51" s="263" t="s"/>
      <c r="R51" s="263" t="s"/>
      <c r="S51" s="263" t="s"/>
      <c r="T51" s="263" t="s"/>
      <c r="U51" s="263" t="s"/>
      <c r="V51" s="263" t="s"/>
      <c r="W51" s="263" t="s"/>
      <c r="X51" s="263" t="s"/>
      <c r="Y51" s="263" t="s"/>
      <c r="Z51" s="263" t="s"/>
      <c r="AA51" s="263" t="s"/>
      <c r="AB51" s="263" t="s"/>
      <c r="AC51" s="263" t="s"/>
      <c r="AD51" s="263" t="s"/>
    </row>
    <row r="52" spans="1:30" customHeight="false">
      <c r="A52" s="263" t="s"/>
      <c r="B52" s="263" t="s"/>
      <c r="C52" s="263" t="s"/>
      <c r="D52" s="263" t="s"/>
      <c r="E52" s="263" t="s"/>
      <c r="F52" s="263" t="s"/>
      <c r="G52" s="263" t="s"/>
      <c r="H52" s="263" t="s"/>
      <c r="I52" s="263" t="s"/>
      <c r="J52" s="340" t="s"/>
      <c r="K52" s="340" t="s"/>
      <c r="L52" s="263" t="s"/>
      <c r="M52" s="263" t="s"/>
      <c r="N52" s="263" t="s"/>
      <c r="O52" s="263" t="s"/>
      <c r="P52" s="263" t="s"/>
      <c r="Q52" s="263" t="s"/>
      <c r="R52" s="263" t="s"/>
      <c r="S52" s="263" t="s"/>
      <c r="T52" s="263" t="s"/>
      <c r="U52" s="263" t="s"/>
      <c r="V52" s="263" t="s"/>
      <c r="W52" s="263" t="s"/>
      <c r="X52" s="263" t="s"/>
      <c r="Y52" s="263" t="s"/>
      <c r="Z52" s="263" t="s"/>
      <c r="AA52" s="263" t="s"/>
      <c r="AB52" s="263" t="s"/>
      <c r="AC52" s="263" t="s"/>
      <c r="AD52" s="263" t="s"/>
    </row>
    <row r="53" spans="1:30" customHeight="false">
      <c r="A53" s="263" t="s"/>
      <c r="B53" s="263" t="s"/>
      <c r="C53" s="263" t="s"/>
      <c r="D53" s="263" t="s"/>
      <c r="E53" s="263" t="s"/>
      <c r="F53" s="263" t="s"/>
      <c r="G53" s="263" t="s"/>
      <c r="H53" s="263" t="s"/>
      <c r="I53" s="263" t="s"/>
      <c r="J53" s="340" t="s"/>
      <c r="K53" s="340" t="s"/>
      <c r="L53" s="263" t="s"/>
      <c r="M53" s="263" t="s"/>
      <c r="N53" s="263" t="s"/>
      <c r="O53" s="263" t="s"/>
      <c r="P53" s="263" t="s"/>
      <c r="Q53" s="263" t="s"/>
      <c r="R53" s="263" t="s"/>
      <c r="S53" s="263" t="s"/>
      <c r="T53" s="263" t="s"/>
      <c r="U53" s="263" t="s"/>
      <c r="V53" s="263" t="s"/>
      <c r="W53" s="263" t="s"/>
      <c r="X53" s="263" t="s"/>
      <c r="Y53" s="263" t="s"/>
      <c r="Z53" s="263" t="s"/>
      <c r="AA53" s="263" t="s"/>
      <c r="AB53" s="263" t="s"/>
      <c r="AC53" s="263" t="s"/>
      <c r="AD53" s="263" t="s"/>
    </row>
    <row r="54" spans="1:30" customHeight="false">
      <c r="A54" s="263" t="s"/>
      <c r="B54" s="263" t="s"/>
      <c r="C54" s="263" t="s"/>
      <c r="D54" s="263" t="s"/>
      <c r="E54" s="263" t="s"/>
      <c r="F54" s="263" t="s"/>
      <c r="G54" s="263" t="s"/>
      <c r="H54" s="263" t="s"/>
      <c r="I54" s="263" t="s"/>
      <c r="J54" s="340" t="s"/>
      <c r="K54" s="340" t="s"/>
      <c r="L54" s="263" t="s"/>
      <c r="M54" s="263" t="s"/>
      <c r="N54" s="263" t="s"/>
      <c r="O54" s="263" t="s"/>
      <c r="P54" s="263" t="s"/>
      <c r="Q54" s="263" t="s"/>
      <c r="R54" s="263" t="s"/>
      <c r="S54" s="263" t="s"/>
      <c r="T54" s="263" t="s"/>
      <c r="U54" s="263" t="s"/>
      <c r="V54" s="263" t="s"/>
      <c r="W54" s="263" t="s"/>
      <c r="X54" s="263" t="s"/>
      <c r="Y54" s="263" t="s"/>
      <c r="Z54" s="263" t="s"/>
      <c r="AA54" s="263" t="s"/>
      <c r="AB54" s="263" t="s"/>
      <c r="AC54" s="263" t="s"/>
      <c r="AD54" s="263" t="s"/>
    </row>
    <row r="55" spans="1:30" customHeight="false">
      <c r="A55" s="263" t="s"/>
      <c r="B55" s="263" t="s"/>
      <c r="C55" s="263" t="s"/>
      <c r="D55" s="263" t="s"/>
      <c r="E55" s="263" t="s"/>
      <c r="F55" s="263" t="s"/>
      <c r="G55" s="263" t="s"/>
      <c r="H55" s="263" t="s"/>
      <c r="I55" s="263" t="s"/>
      <c r="J55" s="340" t="s"/>
      <c r="K55" s="340" t="s"/>
      <c r="L55" s="263" t="s"/>
      <c r="M55" s="263" t="s"/>
      <c r="N55" s="263" t="s"/>
      <c r="O55" s="263" t="s"/>
      <c r="P55" s="263" t="s"/>
      <c r="Q55" s="263" t="s"/>
      <c r="R55" s="263" t="s"/>
      <c r="S55" s="263" t="s"/>
      <c r="T55" s="263" t="s"/>
      <c r="U55" s="263" t="s"/>
      <c r="V55" s="263" t="s"/>
      <c r="W55" s="263" t="s"/>
      <c r="X55" s="263" t="s"/>
      <c r="Y55" s="263" t="s"/>
      <c r="Z55" s="263" t="s"/>
      <c r="AA55" s="263" t="s"/>
      <c r="AB55" s="263" t="s"/>
      <c r="AC55" s="263" t="s"/>
      <c r="AD55" s="263" t="s"/>
    </row>
    <row r="56" spans="1:30" customHeight="false">
      <c r="A56" s="263" t="s"/>
      <c r="B56" s="263" t="s"/>
      <c r="C56" s="263" t="s"/>
      <c r="D56" s="263" t="s"/>
      <c r="E56" s="263" t="s"/>
      <c r="F56" s="263" t="s"/>
      <c r="G56" s="263" t="s"/>
      <c r="H56" s="263" t="s"/>
      <c r="I56" s="263" t="s"/>
      <c r="J56" s="340" t="s"/>
      <c r="K56" s="340" t="s"/>
      <c r="L56" s="263" t="s"/>
      <c r="M56" s="263" t="s"/>
      <c r="N56" s="263" t="s"/>
      <c r="O56" s="263" t="s"/>
      <c r="P56" s="263" t="s"/>
      <c r="Q56" s="263" t="s"/>
      <c r="R56" s="263" t="s"/>
      <c r="S56" s="263" t="s"/>
      <c r="T56" s="263" t="s"/>
      <c r="U56" s="263" t="s"/>
      <c r="V56" s="263" t="s"/>
      <c r="W56" s="263" t="s"/>
      <c r="X56" s="263" t="s"/>
      <c r="Y56" s="263" t="s"/>
      <c r="Z56" s="263" t="s"/>
      <c r="AA56" s="263" t="s"/>
      <c r="AB56" s="263" t="s"/>
      <c r="AC56" s="263" t="s"/>
      <c r="AD56" s="263" t="s"/>
    </row>
    <row r="57" spans="1:30" customHeight="false">
      <c r="A57" s="263" t="s"/>
      <c r="B57" s="263" t="s"/>
      <c r="C57" s="263" t="s"/>
      <c r="D57" s="263" t="s"/>
      <c r="E57" s="263" t="s"/>
      <c r="F57" s="263" t="s"/>
      <c r="G57" s="263" t="s"/>
      <c r="H57" s="263" t="s"/>
      <c r="I57" s="263" t="s"/>
      <c r="J57" s="340" t="s"/>
      <c r="K57" s="340" t="s"/>
      <c r="L57" s="263" t="s"/>
      <c r="M57" s="263" t="s"/>
      <c r="N57" s="263" t="s"/>
      <c r="O57" s="263" t="s"/>
      <c r="P57" s="263" t="s"/>
      <c r="Q57" s="263" t="s"/>
      <c r="R57" s="263" t="s"/>
      <c r="S57" s="263" t="s"/>
      <c r="T57" s="263" t="s"/>
      <c r="U57" s="263" t="s"/>
      <c r="V57" s="263" t="s"/>
      <c r="W57" s="263" t="s"/>
      <c r="X57" s="263" t="s"/>
      <c r="Y57" s="263" t="s"/>
      <c r="Z57" s="263" t="s"/>
      <c r="AA57" s="263" t="s"/>
      <c r="AB57" s="263" t="s"/>
      <c r="AC57" s="263" t="s"/>
      <c r="AD57" s="263" t="s"/>
    </row>
    <row r="58" spans="1:30" customHeight="false">
      <c r="A58" s="263" t="s"/>
      <c r="B58" s="263" t="s"/>
      <c r="C58" s="263" t="s"/>
      <c r="D58" s="263" t="s"/>
      <c r="E58" s="263" t="s"/>
      <c r="F58" s="263" t="s"/>
      <c r="G58" s="263" t="s"/>
      <c r="H58" s="263" t="s"/>
      <c r="I58" s="263" t="s"/>
      <c r="J58" s="340" t="s"/>
      <c r="K58" s="340" t="s"/>
      <c r="L58" s="263" t="s"/>
      <c r="M58" s="263" t="s"/>
      <c r="N58" s="263" t="s"/>
      <c r="O58" s="263" t="s"/>
      <c r="P58" s="263" t="s"/>
      <c r="Q58" s="263" t="s"/>
      <c r="R58" s="263" t="s"/>
      <c r="S58" s="263" t="s"/>
      <c r="T58" s="263" t="s"/>
      <c r="U58" s="263" t="s"/>
      <c r="V58" s="263" t="s"/>
      <c r="W58" s="263" t="s"/>
      <c r="X58" s="263" t="s"/>
      <c r="Y58" s="263" t="s"/>
      <c r="Z58" s="263" t="s"/>
      <c r="AA58" s="263" t="s"/>
      <c r="AB58" s="263" t="s"/>
      <c r="AC58" s="263" t="s"/>
      <c r="AD58" s="263" t="s"/>
    </row>
    <row r="59" spans="1:30" customHeight="false">
      <c r="A59" s="263" t="s"/>
      <c r="B59" s="263" t="s"/>
      <c r="C59" s="263" t="s"/>
      <c r="D59" s="263" t="s"/>
      <c r="E59" s="263" t="s"/>
      <c r="F59" s="263" t="s"/>
      <c r="G59" s="263" t="s"/>
      <c r="H59" s="263" t="s"/>
      <c r="I59" s="263" t="s"/>
      <c r="J59" s="340" t="s"/>
      <c r="K59" s="340" t="s"/>
      <c r="L59" s="263" t="s"/>
      <c r="M59" s="263" t="s"/>
      <c r="N59" s="263" t="s"/>
      <c r="O59" s="263" t="s"/>
      <c r="P59" s="263" t="s"/>
      <c r="Q59" s="263" t="s"/>
      <c r="R59" s="263" t="s"/>
      <c r="S59" s="263" t="s"/>
      <c r="T59" s="263" t="s"/>
      <c r="U59" s="263" t="s"/>
      <c r="V59" s="263" t="s"/>
      <c r="W59" s="263" t="s"/>
      <c r="X59" s="263" t="s"/>
      <c r="Y59" s="263" t="s"/>
      <c r="Z59" s="263" t="s"/>
      <c r="AA59" s="263" t="s"/>
      <c r="AB59" s="263" t="s"/>
      <c r="AC59" s="263" t="s"/>
      <c r="AD59" s="263" t="s"/>
    </row>
    <row r="60" spans="1:30" customHeight="false">
      <c r="A60" s="263" t="s"/>
      <c r="B60" s="263" t="s"/>
      <c r="C60" s="263" t="s"/>
      <c r="D60" s="263" t="s"/>
      <c r="E60" s="263" t="s"/>
      <c r="F60" s="263" t="s"/>
      <c r="G60" s="263" t="s"/>
      <c r="H60" s="263" t="s"/>
      <c r="I60" s="263" t="s"/>
      <c r="J60" s="340" t="s"/>
      <c r="K60" s="340" t="s"/>
      <c r="L60" s="263" t="s"/>
      <c r="M60" s="263" t="s"/>
      <c r="N60" s="263" t="s"/>
      <c r="O60" s="263" t="s"/>
      <c r="P60" s="263" t="s"/>
      <c r="Q60" s="263" t="s"/>
      <c r="R60" s="263" t="s"/>
      <c r="S60" s="263" t="s"/>
      <c r="T60" s="263" t="s"/>
      <c r="U60" s="263" t="s"/>
      <c r="V60" s="263" t="s"/>
      <c r="W60" s="263" t="s"/>
      <c r="X60" s="263" t="s"/>
      <c r="Y60" s="263" t="s"/>
      <c r="Z60" s="263" t="s"/>
      <c r="AA60" s="263" t="s"/>
      <c r="AB60" s="263" t="s"/>
      <c r="AC60" s="263" t="s"/>
      <c r="AD60" s="263" t="s"/>
    </row>
    <row r="61" spans="1:30" customHeight="false">
      <c r="A61" s="263" t="s"/>
      <c r="B61" s="263" t="s"/>
      <c r="C61" s="263" t="s"/>
      <c r="D61" s="263" t="s"/>
      <c r="E61" s="263" t="s"/>
      <c r="F61" s="263" t="s"/>
      <c r="G61" s="263" t="s"/>
      <c r="H61" s="263" t="s"/>
      <c r="I61" s="263" t="s"/>
      <c r="J61" s="340" t="s"/>
      <c r="K61" s="340" t="s"/>
      <c r="L61" s="263" t="s"/>
      <c r="M61" s="263" t="s"/>
      <c r="N61" s="263" t="s"/>
      <c r="O61" s="263" t="s"/>
      <c r="P61" s="263" t="s"/>
      <c r="Q61" s="263" t="s"/>
      <c r="R61" s="263" t="s"/>
      <c r="S61" s="263" t="s"/>
      <c r="T61" s="263" t="s"/>
      <c r="U61" s="263" t="s"/>
      <c r="V61" s="263" t="s"/>
      <c r="W61" s="263" t="s"/>
      <c r="X61" s="263" t="s"/>
      <c r="Y61" s="263" t="s"/>
      <c r="Z61" s="263" t="s"/>
      <c r="AA61" s="263" t="s"/>
      <c r="AB61" s="263" t="s"/>
      <c r="AC61" s="263" t="s"/>
      <c r="AD61" s="263" t="s"/>
    </row>
    <row r="62" spans="1:30" customHeight="false">
      <c r="A62" s="263" t="s"/>
      <c r="B62" s="263" t="s"/>
      <c r="C62" s="263" t="s"/>
      <c r="D62" s="263" t="s"/>
      <c r="E62" s="263" t="s"/>
      <c r="F62" s="263" t="s"/>
      <c r="G62" s="263" t="s"/>
      <c r="H62" s="263" t="s"/>
      <c r="I62" s="263" t="s"/>
      <c r="J62" s="340" t="s"/>
      <c r="K62" s="340" t="s"/>
      <c r="L62" s="263" t="s"/>
      <c r="M62" s="263" t="s"/>
      <c r="N62" s="263" t="s"/>
      <c r="O62" s="263" t="s"/>
      <c r="P62" s="263" t="s"/>
      <c r="Q62" s="263" t="s"/>
      <c r="R62" s="263" t="s"/>
      <c r="S62" s="263" t="s"/>
      <c r="T62" s="263" t="s"/>
      <c r="U62" s="263" t="s"/>
      <c r="V62" s="263" t="s"/>
      <c r="W62" s="263" t="s"/>
      <c r="X62" s="263" t="s"/>
      <c r="Y62" s="263" t="s"/>
      <c r="Z62" s="263" t="s"/>
      <c r="AA62" s="263" t="s"/>
      <c r="AB62" s="263" t="s"/>
      <c r="AC62" s="263" t="s"/>
      <c r="AD62" s="263" t="s"/>
    </row>
    <row r="63" spans="1:30" customHeight="false">
      <c r="A63" s="263" t="s"/>
      <c r="B63" s="263" t="s"/>
      <c r="C63" s="263" t="s"/>
      <c r="D63" s="263" t="s"/>
      <c r="E63" s="263" t="s"/>
      <c r="F63" s="263" t="s"/>
      <c r="G63" s="263" t="s"/>
      <c r="H63" s="263" t="s"/>
      <c r="I63" s="263" t="s"/>
      <c r="J63" s="340" t="s"/>
      <c r="K63" s="340" t="s"/>
      <c r="L63" s="263" t="s"/>
      <c r="M63" s="263" t="s"/>
      <c r="N63" s="263" t="s"/>
      <c r="O63" s="263" t="s"/>
      <c r="P63" s="263" t="s"/>
      <c r="Q63" s="263" t="s"/>
      <c r="R63" s="263" t="s"/>
      <c r="S63" s="263" t="s"/>
      <c r="T63" s="263" t="s"/>
      <c r="U63" s="263" t="s"/>
      <c r="V63" s="263" t="s"/>
      <c r="W63" s="263" t="s"/>
      <c r="X63" s="263" t="s"/>
      <c r="Y63" s="263" t="s"/>
      <c r="Z63" s="263" t="s"/>
      <c r="AA63" s="263" t="s"/>
      <c r="AB63" s="263" t="s"/>
      <c r="AC63" s="263" t="s"/>
      <c r="AD63" s="263" t="s"/>
    </row>
    <row r="64" spans="1:30" customHeight="false">
      <c r="A64" s="263" t="s"/>
      <c r="B64" s="263" t="s"/>
      <c r="C64" s="263" t="s"/>
      <c r="D64" s="263" t="s"/>
      <c r="E64" s="263" t="s"/>
      <c r="F64" s="263" t="s"/>
      <c r="G64" s="263" t="s"/>
      <c r="H64" s="263" t="s"/>
      <c r="I64" s="263" t="s"/>
      <c r="J64" s="340" t="s"/>
      <c r="K64" s="340" t="s"/>
      <c r="L64" s="263" t="s"/>
      <c r="M64" s="263" t="s"/>
      <c r="N64" s="263" t="s"/>
      <c r="O64" s="263" t="s"/>
      <c r="P64" s="263" t="s"/>
      <c r="Q64" s="263" t="s"/>
      <c r="R64" s="263" t="s"/>
      <c r="S64" s="263" t="s"/>
      <c r="T64" s="263" t="s"/>
      <c r="U64" s="263" t="s"/>
      <c r="V64" s="263" t="s"/>
      <c r="W64" s="263" t="s"/>
      <c r="X64" s="263" t="s"/>
      <c r="Y64" s="263" t="s"/>
      <c r="Z64" s="263" t="s"/>
      <c r="AA64" s="263" t="s"/>
      <c r="AB64" s="263" t="s"/>
      <c r="AC64" s="263" t="s"/>
      <c r="AD64" s="263" t="s"/>
    </row>
    <row r="65" spans="1:30" customHeight="false">
      <c r="A65" s="263" t="s"/>
      <c r="B65" s="263" t="s"/>
      <c r="C65" s="263" t="s"/>
      <c r="D65" s="263" t="s"/>
      <c r="E65" s="263" t="s"/>
      <c r="F65" s="263" t="s"/>
      <c r="G65" s="263" t="s"/>
      <c r="H65" s="263" t="s"/>
      <c r="I65" s="263" t="s"/>
      <c r="J65" s="340" t="s"/>
      <c r="K65" s="340" t="s"/>
      <c r="L65" s="263" t="s"/>
      <c r="M65" s="263" t="s"/>
      <c r="N65" s="263" t="s"/>
      <c r="O65" s="263" t="s"/>
      <c r="P65" s="263" t="s"/>
      <c r="Q65" s="263" t="s"/>
      <c r="R65" s="263" t="s"/>
      <c r="S65" s="263" t="s"/>
      <c r="T65" s="263" t="s"/>
      <c r="U65" s="263" t="s"/>
      <c r="V65" s="263" t="s"/>
      <c r="W65" s="263" t="s"/>
      <c r="X65" s="263" t="s"/>
      <c r="Y65" s="263" t="s"/>
      <c r="Z65" s="263" t="s"/>
      <c r="AA65" s="263" t="s"/>
      <c r="AB65" s="263" t="s"/>
      <c r="AC65" s="263" t="s"/>
      <c r="AD65" s="263" t="s"/>
    </row>
    <row r="66" spans="1:30" customHeight="false">
      <c r="A66" s="263" t="s"/>
      <c r="B66" s="263" t="s"/>
      <c r="C66" s="263" t="s"/>
      <c r="D66" s="263" t="s"/>
      <c r="E66" s="263" t="s"/>
      <c r="F66" s="263" t="s"/>
      <c r="G66" s="263" t="s"/>
      <c r="H66" s="263" t="s"/>
      <c r="I66" s="263" t="s"/>
      <c r="J66" s="340" t="s"/>
      <c r="K66" s="340" t="s"/>
      <c r="L66" s="263" t="s"/>
      <c r="M66" s="263" t="s"/>
      <c r="N66" s="263" t="s"/>
      <c r="O66" s="263" t="s"/>
      <c r="P66" s="263" t="s"/>
      <c r="Q66" s="263" t="s"/>
      <c r="R66" s="263" t="s"/>
      <c r="S66" s="263" t="s"/>
      <c r="T66" s="263" t="s"/>
      <c r="U66" s="263" t="s"/>
      <c r="V66" s="263" t="s"/>
      <c r="W66" s="263" t="s"/>
      <c r="X66" s="263" t="s"/>
      <c r="Y66" s="263" t="s"/>
      <c r="Z66" s="263" t="s"/>
      <c r="AA66" s="263" t="s"/>
      <c r="AB66" s="263" t="s"/>
      <c r="AC66" s="263" t="s"/>
      <c r="AD66" s="263" t="s"/>
    </row>
    <row r="67" spans="1:30" customHeight="false">
      <c r="A67" s="263" t="s"/>
      <c r="B67" s="263" t="s"/>
      <c r="C67" s="263" t="s"/>
      <c r="D67" s="263" t="s"/>
      <c r="E67" s="263" t="s"/>
      <c r="F67" s="263" t="s"/>
      <c r="G67" s="263" t="s"/>
      <c r="H67" s="263" t="s"/>
      <c r="I67" s="263" t="s"/>
      <c r="J67" s="340" t="s"/>
      <c r="K67" s="340" t="s"/>
      <c r="L67" s="263" t="s"/>
      <c r="M67" s="263" t="s"/>
      <c r="N67" s="263" t="s"/>
      <c r="O67" s="263" t="s"/>
      <c r="P67" s="263" t="s"/>
      <c r="Q67" s="263" t="s"/>
      <c r="R67" s="263" t="s"/>
      <c r="S67" s="263" t="s"/>
      <c r="T67" s="263" t="s"/>
      <c r="U67" s="263" t="s"/>
      <c r="V67" s="263" t="s"/>
      <c r="W67" s="263" t="s"/>
      <c r="X67" s="263" t="s"/>
      <c r="Y67" s="263" t="s"/>
      <c r="Z67" s="263" t="s"/>
      <c r="AA67" s="263" t="s"/>
      <c r="AB67" s="263" t="s"/>
      <c r="AC67" s="263" t="s"/>
      <c r="AD67" s="263" t="s"/>
    </row>
    <row r="68" spans="1:30" customHeight="false">
      <c r="A68" s="263" t="s"/>
      <c r="B68" s="263" t="s"/>
      <c r="C68" s="263" t="s"/>
      <c r="D68" s="263" t="s"/>
      <c r="E68" s="263" t="s"/>
      <c r="F68" s="263" t="s"/>
      <c r="G68" s="263" t="s"/>
      <c r="H68" s="263" t="s"/>
      <c r="I68" s="263" t="s"/>
      <c r="J68" s="340" t="s"/>
      <c r="K68" s="340" t="s"/>
      <c r="L68" s="263" t="s"/>
      <c r="M68" s="263" t="s"/>
      <c r="N68" s="263" t="s"/>
      <c r="O68" s="263" t="s"/>
      <c r="P68" s="263" t="s"/>
      <c r="Q68" s="263" t="s"/>
      <c r="R68" s="263" t="s"/>
      <c r="S68" s="263" t="s"/>
      <c r="T68" s="263" t="s"/>
      <c r="U68" s="263" t="s"/>
      <c r="V68" s="263" t="s"/>
      <c r="W68" s="263" t="s"/>
      <c r="X68" s="263" t="s"/>
      <c r="Y68" s="263" t="s"/>
      <c r="Z68" s="263" t="s"/>
      <c r="AA68" s="263" t="s"/>
      <c r="AB68" s="263" t="s"/>
      <c r="AC68" s="263" t="s"/>
      <c r="AD68" s="263" t="s"/>
    </row>
    <row r="69" spans="1:30" customHeight="false">
      <c r="A69" s="263" t="s"/>
      <c r="B69" s="263" t="s"/>
      <c r="C69" s="263" t="s"/>
      <c r="D69" s="263" t="s"/>
      <c r="E69" s="263" t="s"/>
      <c r="F69" s="263" t="s"/>
      <c r="G69" s="263" t="s"/>
      <c r="H69" s="263" t="s"/>
      <c r="I69" s="263" t="s"/>
      <c r="J69" s="340" t="s"/>
      <c r="K69" s="340" t="s"/>
      <c r="L69" s="263" t="s"/>
      <c r="M69" s="263" t="s"/>
      <c r="N69" s="263" t="s"/>
      <c r="O69" s="263" t="s"/>
      <c r="P69" s="263" t="s"/>
      <c r="Q69" s="263" t="s"/>
      <c r="R69" s="263" t="s"/>
      <c r="S69" s="263" t="s"/>
      <c r="T69" s="263" t="s"/>
      <c r="U69" s="263" t="s"/>
      <c r="V69" s="263" t="s"/>
      <c r="W69" s="263" t="s"/>
      <c r="X69" s="263" t="s"/>
      <c r="Y69" s="263" t="s"/>
      <c r="Z69" s="263" t="s"/>
      <c r="AA69" s="263" t="s"/>
      <c r="AB69" s="263" t="s"/>
      <c r="AC69" s="263" t="s"/>
      <c r="AD69" s="263" t="s"/>
    </row>
    <row r="70" spans="1:30" customHeight="false">
      <c r="A70" s="263" t="s"/>
      <c r="B70" s="263" t="s"/>
      <c r="C70" s="263" t="s"/>
      <c r="D70" s="263" t="s"/>
      <c r="E70" s="263" t="s"/>
      <c r="F70" s="263" t="s"/>
      <c r="G70" s="263" t="s"/>
      <c r="H70" s="263" t="s"/>
      <c r="I70" s="263" t="s"/>
      <c r="J70" s="340" t="s"/>
      <c r="K70" s="340" t="s"/>
      <c r="L70" s="263" t="s"/>
      <c r="M70" s="263" t="s"/>
      <c r="N70" s="263" t="s"/>
      <c r="O70" s="263" t="s"/>
      <c r="P70" s="263" t="s"/>
      <c r="Q70" s="263" t="s"/>
      <c r="R70" s="263" t="s"/>
      <c r="S70" s="263" t="s"/>
      <c r="T70" s="263" t="s"/>
      <c r="U70" s="263" t="s"/>
      <c r="V70" s="263" t="s"/>
      <c r="W70" s="263" t="s"/>
      <c r="X70" s="263" t="s"/>
      <c r="Y70" s="263" t="s"/>
      <c r="Z70" s="263" t="s"/>
      <c r="AA70" s="263" t="s"/>
      <c r="AB70" s="263" t="s"/>
      <c r="AC70" s="263" t="s"/>
      <c r="AD70" s="263" t="s"/>
    </row>
    <row r="71" spans="1:30" customHeight="false">
      <c r="A71" s="263" t="s"/>
      <c r="B71" s="263" t="s"/>
      <c r="C71" s="263" t="s"/>
      <c r="D71" s="263" t="s"/>
      <c r="E71" s="263" t="s"/>
      <c r="F71" s="263" t="s"/>
      <c r="G71" s="263" t="s"/>
      <c r="H71" s="263" t="s"/>
      <c r="I71" s="263" t="s"/>
      <c r="J71" s="340" t="s"/>
      <c r="K71" s="340" t="s"/>
      <c r="L71" s="263" t="s"/>
      <c r="M71" s="263" t="s"/>
      <c r="N71" s="263" t="s"/>
      <c r="O71" s="263" t="s"/>
      <c r="P71" s="263" t="s"/>
      <c r="Q71" s="263" t="s"/>
      <c r="R71" s="263" t="s"/>
      <c r="S71" s="263" t="s"/>
      <c r="T71" s="263" t="s"/>
      <c r="U71" s="263" t="s"/>
      <c r="V71" s="263" t="s"/>
      <c r="W71" s="263" t="s"/>
      <c r="X71" s="263" t="s"/>
      <c r="Y71" s="263" t="s"/>
      <c r="Z71" s="263" t="s"/>
      <c r="AA71" s="263" t="s"/>
      <c r="AB71" s="263" t="s"/>
      <c r="AC71" s="263" t="s"/>
      <c r="AD71" s="263" t="s"/>
    </row>
    <row r="72" spans="1:30" customHeight="false">
      <c r="A72" s="263" t="s"/>
      <c r="B72" s="263" t="s"/>
      <c r="C72" s="263" t="s"/>
      <c r="D72" s="263" t="s"/>
      <c r="E72" s="263" t="s"/>
      <c r="F72" s="263" t="s"/>
      <c r="G72" s="263" t="s"/>
      <c r="H72" s="263" t="s"/>
      <c r="I72" s="263" t="s"/>
      <c r="J72" s="340" t="s"/>
      <c r="K72" s="340" t="s"/>
      <c r="L72" s="263" t="s"/>
      <c r="M72" s="263" t="s"/>
      <c r="N72" s="263" t="s"/>
      <c r="O72" s="263" t="s"/>
      <c r="P72" s="263" t="s"/>
      <c r="Q72" s="263" t="s"/>
      <c r="R72" s="263" t="s"/>
      <c r="S72" s="263" t="s"/>
      <c r="T72" s="263" t="s"/>
      <c r="U72" s="263" t="s"/>
      <c r="V72" s="263" t="s"/>
      <c r="W72" s="263" t="s"/>
      <c r="X72" s="263" t="s"/>
      <c r="Y72" s="263" t="s"/>
      <c r="Z72" s="263" t="s"/>
      <c r="AA72" s="263" t="s"/>
      <c r="AB72" s="263" t="s"/>
      <c r="AC72" s="263" t="s"/>
      <c r="AD72" s="263" t="s"/>
    </row>
    <row r="73" spans="1:30" customHeight="false">
      <c r="A73" s="263" t="s"/>
      <c r="B73" s="263" t="s"/>
      <c r="C73" s="263" t="s"/>
      <c r="D73" s="263" t="s"/>
      <c r="E73" s="263" t="s"/>
      <c r="F73" s="263" t="s"/>
      <c r="G73" s="263" t="s"/>
      <c r="H73" s="263" t="s"/>
      <c r="I73" s="263" t="s"/>
      <c r="J73" s="340" t="s"/>
      <c r="K73" s="340" t="s"/>
      <c r="L73" s="263" t="s"/>
      <c r="M73" s="263" t="s"/>
      <c r="N73" s="263" t="s"/>
      <c r="O73" s="263" t="s"/>
      <c r="P73" s="263" t="s"/>
      <c r="Q73" s="263" t="s"/>
      <c r="R73" s="263" t="s"/>
      <c r="S73" s="263" t="s"/>
      <c r="T73" s="263" t="s"/>
      <c r="U73" s="263" t="s"/>
      <c r="V73" s="263" t="s"/>
      <c r="W73" s="263" t="s"/>
      <c r="X73" s="263" t="s"/>
      <c r="Y73" s="263" t="s"/>
      <c r="Z73" s="263" t="s"/>
      <c r="AA73" s="263" t="s"/>
      <c r="AB73" s="263" t="s"/>
      <c r="AC73" s="263" t="s"/>
      <c r="AD73" s="263" t="s"/>
    </row>
    <row r="74" spans="1:30" customHeight="false">
      <c r="A74" s="263" t="s"/>
      <c r="B74" s="263" t="s"/>
      <c r="C74" s="263" t="s"/>
      <c r="D74" s="263" t="s"/>
      <c r="E74" s="263" t="s"/>
      <c r="F74" s="263" t="s"/>
      <c r="G74" s="263" t="s"/>
      <c r="H74" s="263" t="s"/>
      <c r="I74" s="263" t="s"/>
      <c r="J74" s="340" t="s"/>
      <c r="K74" s="340" t="s"/>
      <c r="L74" s="263" t="s"/>
      <c r="M74" s="263" t="s"/>
      <c r="N74" s="263" t="s"/>
      <c r="O74" s="263" t="s"/>
      <c r="P74" s="263" t="s"/>
      <c r="Q74" s="263" t="s"/>
      <c r="R74" s="263" t="s"/>
      <c r="S74" s="263" t="s"/>
      <c r="T74" s="263" t="s"/>
      <c r="U74" s="263" t="s"/>
      <c r="V74" s="263" t="s"/>
      <c r="W74" s="263" t="s"/>
      <c r="X74" s="263" t="s"/>
      <c r="Y74" s="263" t="s"/>
      <c r="Z74" s="263" t="s"/>
      <c r="AA74" s="263" t="s"/>
      <c r="AB74" s="263" t="s"/>
      <c r="AC74" s="263" t="s"/>
      <c r="AD74" s="263" t="s"/>
    </row>
    <row r="75" spans="1:30" customHeight="false">
      <c r="A75" s="263" t="s"/>
      <c r="B75" s="263" t="s"/>
      <c r="C75" s="263" t="s"/>
      <c r="D75" s="263" t="s"/>
      <c r="E75" s="263" t="s"/>
      <c r="F75" s="263" t="s"/>
      <c r="G75" s="263" t="s"/>
      <c r="H75" s="263" t="s"/>
      <c r="I75" s="263" t="s"/>
      <c r="J75" s="340" t="s"/>
      <c r="K75" s="340" t="s"/>
      <c r="L75" s="263" t="s"/>
      <c r="M75" s="263" t="s"/>
      <c r="N75" s="263" t="s"/>
      <c r="O75" s="263" t="s"/>
      <c r="P75" s="263" t="s"/>
      <c r="Q75" s="263" t="s"/>
      <c r="R75" s="263" t="s"/>
      <c r="S75" s="263" t="s"/>
      <c r="T75" s="263" t="s"/>
      <c r="U75" s="263" t="s"/>
      <c r="V75" s="263" t="s"/>
      <c r="W75" s="263" t="s"/>
      <c r="X75" s="263" t="s"/>
      <c r="Y75" s="263" t="s"/>
      <c r="Z75" s="263" t="s"/>
      <c r="AA75" s="263" t="s"/>
      <c r="AB75" s="263" t="s"/>
      <c r="AC75" s="263" t="s"/>
      <c r="AD75" s="263" t="s"/>
    </row>
    <row r="76" spans="1:30" customHeight="false">
      <c r="A76" s="263" t="s"/>
      <c r="B76" s="263" t="s"/>
      <c r="C76" s="263" t="s"/>
      <c r="D76" s="263" t="s"/>
      <c r="E76" s="263" t="s"/>
      <c r="F76" s="263" t="s"/>
      <c r="G76" s="263" t="s"/>
      <c r="H76" s="263" t="s"/>
      <c r="I76" s="263" t="s"/>
      <c r="J76" s="340" t="s"/>
      <c r="K76" s="340" t="s"/>
      <c r="L76" s="263" t="s"/>
      <c r="M76" s="263" t="s"/>
      <c r="N76" s="263" t="s"/>
      <c r="O76" s="263" t="s"/>
      <c r="P76" s="263" t="s"/>
      <c r="Q76" s="263" t="s"/>
      <c r="R76" s="263" t="s"/>
      <c r="S76" s="263" t="s"/>
      <c r="T76" s="263" t="s"/>
      <c r="U76" s="263" t="s"/>
      <c r="V76" s="263" t="s"/>
      <c r="W76" s="263" t="s"/>
      <c r="X76" s="263" t="s"/>
      <c r="Y76" s="263" t="s"/>
      <c r="Z76" s="263" t="s"/>
      <c r="AA76" s="263" t="s"/>
      <c r="AB76" s="263" t="s"/>
      <c r="AC76" s="263" t="s"/>
      <c r="AD76" s="263" t="s"/>
    </row>
    <row r="77" spans="1:30" customHeight="false">
      <c r="A77" s="263" t="s"/>
      <c r="B77" s="263" t="s"/>
      <c r="C77" s="263" t="s"/>
      <c r="D77" s="263" t="s"/>
      <c r="E77" s="263" t="s"/>
      <c r="F77" s="263" t="s"/>
      <c r="G77" s="263" t="s"/>
      <c r="H77" s="263" t="s"/>
      <c r="I77" s="263" t="s"/>
      <c r="J77" s="340" t="s"/>
      <c r="K77" s="340" t="s"/>
      <c r="L77" s="263" t="s"/>
      <c r="M77" s="263" t="s"/>
      <c r="N77" s="263" t="s"/>
      <c r="O77" s="263" t="s"/>
      <c r="P77" s="263" t="s"/>
      <c r="Q77" s="263" t="s"/>
      <c r="R77" s="263" t="s"/>
      <c r="S77" s="263" t="s"/>
      <c r="T77" s="263" t="s"/>
      <c r="U77" s="263" t="s"/>
      <c r="V77" s="263" t="s"/>
      <c r="W77" s="263" t="s"/>
      <c r="X77" s="263" t="s"/>
      <c r="Y77" s="263" t="s"/>
      <c r="Z77" s="263" t="s"/>
      <c r="AA77" s="263" t="s"/>
      <c r="AB77" s="263" t="s"/>
      <c r="AC77" s="263" t="s"/>
      <c r="AD77" s="263" t="s"/>
    </row>
    <row r="78" spans="1:30" customHeight="false">
      <c r="A78" s="263" t="s"/>
      <c r="B78" s="263" t="s"/>
      <c r="C78" s="263" t="s"/>
      <c r="D78" s="263" t="s"/>
      <c r="E78" s="263" t="s"/>
      <c r="F78" s="263" t="s"/>
      <c r="G78" s="263" t="s"/>
      <c r="H78" s="263" t="s"/>
      <c r="I78" s="263" t="s"/>
      <c r="J78" s="340" t="s"/>
      <c r="K78" s="340" t="s"/>
      <c r="L78" s="263" t="s"/>
      <c r="M78" s="263" t="s"/>
      <c r="N78" s="263" t="s"/>
      <c r="O78" s="263" t="s"/>
      <c r="P78" s="263" t="s"/>
      <c r="Q78" s="263" t="s"/>
      <c r="R78" s="263" t="s"/>
      <c r="S78" s="263" t="s"/>
      <c r="T78" s="263" t="s"/>
      <c r="U78" s="263" t="s"/>
      <c r="V78" s="263" t="s"/>
      <c r="W78" s="263" t="s"/>
      <c r="X78" s="263" t="s"/>
      <c r="Y78" s="263" t="s"/>
      <c r="Z78" s="263" t="s"/>
      <c r="AA78" s="263" t="s"/>
      <c r="AB78" s="263" t="s"/>
      <c r="AC78" s="263" t="s"/>
      <c r="AD78" s="263" t="s"/>
    </row>
    <row r="79" spans="1:30" customHeight="false">
      <c r="A79" s="263" t="s"/>
      <c r="B79" s="263" t="s"/>
      <c r="C79" s="263" t="s"/>
      <c r="D79" s="263" t="s"/>
      <c r="E79" s="263" t="s"/>
      <c r="F79" s="263" t="s"/>
      <c r="G79" s="263" t="s"/>
      <c r="H79" s="263" t="s"/>
      <c r="I79" s="263" t="s"/>
      <c r="J79" s="340" t="s"/>
      <c r="K79" s="340" t="s"/>
      <c r="L79" s="263" t="s"/>
      <c r="M79" s="263" t="s"/>
      <c r="N79" s="263" t="s"/>
      <c r="O79" s="263" t="s"/>
      <c r="P79" s="263" t="s"/>
      <c r="Q79" s="263" t="s"/>
      <c r="R79" s="263" t="s"/>
      <c r="S79" s="263" t="s"/>
      <c r="T79" s="263" t="s"/>
      <c r="U79" s="263" t="s"/>
      <c r="V79" s="263" t="s"/>
      <c r="W79" s="263" t="s"/>
      <c r="X79" s="263" t="s"/>
      <c r="Y79" s="263" t="s"/>
      <c r="Z79" s="263" t="s"/>
      <c r="AA79" s="263" t="s"/>
      <c r="AB79" s="263" t="s"/>
      <c r="AC79" s="263" t="s"/>
      <c r="AD79" s="263" t="s"/>
    </row>
    <row r="80" spans="1:30" customHeight="false">
      <c r="A80" s="263" t="s"/>
      <c r="B80" s="263" t="s"/>
      <c r="C80" s="263" t="s"/>
      <c r="D80" s="263" t="s"/>
      <c r="E80" s="263" t="s"/>
      <c r="F80" s="263" t="s"/>
      <c r="G80" s="263" t="s"/>
      <c r="H80" s="263" t="s"/>
      <c r="I80" s="263" t="s"/>
      <c r="J80" s="340" t="s"/>
      <c r="K80" s="340" t="s"/>
      <c r="L80" s="263" t="s"/>
      <c r="M80" s="263" t="s"/>
      <c r="N80" s="263" t="s"/>
      <c r="O80" s="263" t="s"/>
      <c r="P80" s="263" t="s"/>
      <c r="Q80" s="263" t="s"/>
      <c r="R80" s="263" t="s"/>
      <c r="S80" s="263" t="s"/>
      <c r="T80" s="263" t="s"/>
      <c r="U80" s="263" t="s"/>
      <c r="V80" s="263" t="s"/>
      <c r="W80" s="263" t="s"/>
      <c r="X80" s="263" t="s"/>
      <c r="Y80" s="263" t="s"/>
      <c r="Z80" s="263" t="s"/>
      <c r="AA80" s="263" t="s"/>
      <c r="AB80" s="263" t="s"/>
      <c r="AC80" s="263" t="s"/>
      <c r="AD80" s="263" t="s"/>
    </row>
    <row r="81" spans="1:30" customHeight="false">
      <c r="A81" s="263" t="s"/>
      <c r="B81" s="263" t="s"/>
      <c r="C81" s="263" t="s"/>
      <c r="D81" s="263" t="s"/>
      <c r="E81" s="263" t="s"/>
      <c r="F81" s="263" t="s"/>
      <c r="G81" s="263" t="s"/>
      <c r="H81" s="263" t="s"/>
      <c r="I81" s="263" t="s"/>
      <c r="J81" s="340" t="s"/>
      <c r="K81" s="340" t="s"/>
      <c r="L81" s="263" t="s"/>
      <c r="M81" s="263" t="s"/>
      <c r="N81" s="263" t="s"/>
      <c r="O81" s="263" t="s"/>
      <c r="P81" s="263" t="s"/>
      <c r="Q81" s="263" t="s"/>
      <c r="R81" s="263" t="s"/>
      <c r="S81" s="263" t="s"/>
      <c r="T81" s="263" t="s"/>
      <c r="U81" s="263" t="s"/>
      <c r="V81" s="263" t="s"/>
      <c r="W81" s="263" t="s"/>
      <c r="X81" s="263" t="s"/>
      <c r="Y81" s="263" t="s"/>
      <c r="Z81" s="263" t="s"/>
      <c r="AA81" s="263" t="s"/>
      <c r="AB81" s="263" t="s"/>
      <c r="AC81" s="263" t="s"/>
      <c r="AD81" s="263" t="s"/>
    </row>
    <row r="82" spans="1:30" customHeight="false">
      <c r="A82" s="263" t="s"/>
      <c r="B82" s="263" t="s"/>
      <c r="C82" s="263" t="s"/>
      <c r="D82" s="263" t="s"/>
      <c r="E82" s="263" t="s"/>
      <c r="F82" s="263" t="s"/>
      <c r="G82" s="263" t="s"/>
      <c r="H82" s="263" t="s"/>
      <c r="I82" s="263" t="s"/>
      <c r="J82" s="340" t="s"/>
      <c r="K82" s="340" t="s"/>
      <c r="L82" s="263" t="s"/>
      <c r="M82" s="263" t="s"/>
      <c r="N82" s="263" t="s"/>
      <c r="O82" s="263" t="s"/>
      <c r="P82" s="263" t="s"/>
      <c r="Q82" s="263" t="s"/>
      <c r="R82" s="263" t="s"/>
      <c r="S82" s="263" t="s"/>
      <c r="T82" s="263" t="s"/>
      <c r="U82" s="263" t="s"/>
      <c r="V82" s="263" t="s"/>
      <c r="W82" s="263" t="s"/>
      <c r="X82" s="263" t="s"/>
      <c r="Y82" s="263" t="s"/>
      <c r="Z82" s="263" t="s"/>
      <c r="AA82" s="263" t="s"/>
      <c r="AB82" s="263" t="s"/>
      <c r="AC82" s="263" t="s"/>
      <c r="AD82" s="263" t="s"/>
    </row>
    <row r="83" spans="1:30" customHeight="false">
      <c r="A83" s="263" t="s"/>
      <c r="B83" s="263" t="s"/>
      <c r="C83" s="263" t="s"/>
      <c r="D83" s="263" t="s"/>
      <c r="E83" s="263" t="s"/>
      <c r="F83" s="263" t="s"/>
      <c r="G83" s="263" t="s"/>
      <c r="H83" s="263" t="s"/>
      <c r="I83" s="263" t="s"/>
      <c r="J83" s="340" t="s"/>
      <c r="K83" s="340" t="s"/>
      <c r="L83" s="263" t="s"/>
      <c r="M83" s="263" t="s"/>
      <c r="N83" s="263" t="s"/>
      <c r="O83" s="263" t="s"/>
      <c r="P83" s="263" t="s"/>
      <c r="Q83" s="263" t="s"/>
      <c r="R83" s="263" t="s"/>
      <c r="S83" s="263" t="s"/>
      <c r="T83" s="263" t="s"/>
      <c r="U83" s="263" t="s"/>
      <c r="V83" s="263" t="s"/>
      <c r="W83" s="263" t="s"/>
      <c r="X83" s="263" t="s"/>
      <c r="Y83" s="263" t="s"/>
      <c r="Z83" s="263" t="s"/>
      <c r="AA83" s="263" t="s"/>
      <c r="AB83" s="263" t="s"/>
      <c r="AC83" s="263" t="s"/>
      <c r="AD83" s="263" t="s"/>
    </row>
    <row r="84" spans="1:30" customHeight="false">
      <c r="A84" s="263" t="s"/>
      <c r="B84" s="263" t="s"/>
      <c r="C84" s="263" t="s"/>
      <c r="D84" s="263" t="s"/>
      <c r="E84" s="263" t="s"/>
      <c r="F84" s="263" t="s"/>
      <c r="G84" s="263" t="s"/>
      <c r="H84" s="263" t="s"/>
      <c r="I84" s="263" t="s"/>
      <c r="J84" s="340" t="s"/>
      <c r="K84" s="340" t="s"/>
      <c r="L84" s="263" t="s"/>
      <c r="M84" s="263" t="s"/>
      <c r="N84" s="263" t="s"/>
      <c r="O84" s="263" t="s"/>
      <c r="P84" s="263" t="s"/>
      <c r="Q84" s="263" t="s"/>
      <c r="R84" s="263" t="s"/>
      <c r="S84" s="263" t="s"/>
      <c r="T84" s="263" t="s"/>
      <c r="U84" s="263" t="s"/>
      <c r="V84" s="263" t="s"/>
      <c r="W84" s="263" t="s"/>
      <c r="X84" s="263" t="s"/>
      <c r="Y84" s="263" t="s"/>
      <c r="Z84" s="263" t="s"/>
      <c r="AA84" s="263" t="s"/>
      <c r="AB84" s="263" t="s"/>
      <c r="AC84" s="263" t="s"/>
      <c r="AD84" s="263" t="s"/>
    </row>
    <row r="85" spans="1:30" customHeight="false">
      <c r="A85" s="263" t="s"/>
      <c r="B85" s="263" t="s"/>
      <c r="C85" s="263" t="s"/>
      <c r="D85" s="263" t="s"/>
      <c r="E85" s="263" t="s"/>
      <c r="F85" s="263" t="s"/>
      <c r="G85" s="263" t="s"/>
      <c r="H85" s="263" t="s"/>
      <c r="I85" s="263" t="s"/>
      <c r="J85" s="340" t="s"/>
      <c r="K85" s="340" t="s"/>
      <c r="L85" s="263" t="s"/>
      <c r="M85" s="263" t="s"/>
      <c r="N85" s="263" t="s"/>
      <c r="O85" s="263" t="s"/>
      <c r="P85" s="263" t="s"/>
      <c r="Q85" s="263" t="s"/>
      <c r="R85" s="263" t="s"/>
      <c r="S85" s="263" t="s"/>
      <c r="T85" s="263" t="s"/>
      <c r="U85" s="263" t="s"/>
      <c r="V85" s="263" t="s"/>
      <c r="W85" s="263" t="s"/>
      <c r="X85" s="263" t="s"/>
      <c r="Y85" s="263" t="s"/>
      <c r="Z85" s="263" t="s"/>
      <c r="AA85" s="263" t="s"/>
      <c r="AB85" s="263" t="s"/>
      <c r="AC85" s="263" t="s"/>
      <c r="AD85" s="263" t="s"/>
    </row>
    <row r="86" spans="1:30" customHeight="false">
      <c r="A86" s="263" t="s"/>
      <c r="B86" s="263" t="s"/>
      <c r="C86" s="263" t="s"/>
      <c r="D86" s="263" t="s"/>
      <c r="E86" s="263" t="s"/>
      <c r="F86" s="263" t="s"/>
      <c r="G86" s="263" t="s"/>
      <c r="H86" s="263" t="s"/>
      <c r="I86" s="263" t="s"/>
      <c r="J86" s="340" t="s"/>
      <c r="K86" s="340" t="s"/>
      <c r="L86" s="263" t="s"/>
      <c r="M86" s="263" t="s"/>
      <c r="N86" s="263" t="s"/>
      <c r="O86" s="263" t="s"/>
      <c r="P86" s="263" t="s"/>
      <c r="Q86" s="263" t="s"/>
      <c r="R86" s="263" t="s"/>
      <c r="S86" s="263" t="s"/>
      <c r="T86" s="263" t="s"/>
      <c r="U86" s="263" t="s"/>
      <c r="V86" s="263" t="s"/>
      <c r="W86" s="263" t="s"/>
      <c r="X86" s="263" t="s"/>
      <c r="Y86" s="263" t="s"/>
      <c r="Z86" s="263" t="s"/>
      <c r="AA86" s="263" t="s"/>
      <c r="AB86" s="263" t="s"/>
      <c r="AC86" s="263" t="s"/>
      <c r="AD86" s="263" t="s"/>
    </row>
    <row r="87" spans="1:30" customHeight="false">
      <c r="A87" s="263" t="s"/>
      <c r="B87" s="263" t="s"/>
      <c r="C87" s="263" t="s"/>
      <c r="D87" s="263" t="s"/>
      <c r="E87" s="263" t="s"/>
      <c r="F87" s="263" t="s"/>
      <c r="G87" s="263" t="s"/>
      <c r="H87" s="263" t="s"/>
      <c r="I87" s="263" t="s"/>
      <c r="J87" s="340" t="s"/>
      <c r="K87" s="340" t="s"/>
      <c r="L87" s="263" t="s"/>
      <c r="M87" s="263" t="s"/>
      <c r="N87" s="263" t="s"/>
      <c r="O87" s="263" t="s"/>
      <c r="P87" s="263" t="s"/>
      <c r="Q87" s="263" t="s"/>
      <c r="R87" s="263" t="s"/>
      <c r="S87" s="263" t="s"/>
      <c r="T87" s="263" t="s"/>
      <c r="U87" s="263" t="s"/>
      <c r="V87" s="263" t="s"/>
      <c r="W87" s="263" t="s"/>
      <c r="X87" s="263" t="s"/>
      <c r="Y87" s="263" t="s"/>
      <c r="Z87" s="263" t="s"/>
      <c r="AA87" s="263" t="s"/>
      <c r="AB87" s="263" t="s"/>
      <c r="AC87" s="263" t="s"/>
      <c r="AD87" s="263" t="s"/>
    </row>
    <row r="88" spans="1:30" customHeight="false">
      <c r="A88" s="263" t="s"/>
      <c r="B88" s="263" t="s"/>
      <c r="C88" s="263" t="s"/>
      <c r="D88" s="263" t="s"/>
      <c r="E88" s="263" t="s"/>
      <c r="F88" s="263" t="s"/>
      <c r="G88" s="263" t="s"/>
      <c r="H88" s="263" t="s"/>
      <c r="I88" s="263" t="s"/>
      <c r="J88" s="340" t="s"/>
      <c r="K88" s="340" t="s"/>
      <c r="L88" s="263" t="s"/>
      <c r="M88" s="263" t="s"/>
      <c r="N88" s="263" t="s"/>
      <c r="O88" s="263" t="s"/>
      <c r="P88" s="263" t="s"/>
      <c r="Q88" s="263" t="s"/>
      <c r="R88" s="263" t="s"/>
      <c r="S88" s="263" t="s"/>
      <c r="T88" s="263" t="s"/>
      <c r="U88" s="263" t="s"/>
      <c r="V88" s="263" t="s"/>
      <c r="W88" s="263" t="s"/>
      <c r="X88" s="263" t="s"/>
      <c r="Y88" s="263" t="s"/>
      <c r="Z88" s="263" t="s"/>
      <c r="AA88" s="263" t="s"/>
      <c r="AB88" s="263" t="s"/>
      <c r="AC88" s="263" t="s"/>
      <c r="AD88" s="263" t="s"/>
    </row>
    <row r="89" spans="1:30" customHeight="false">
      <c r="A89" s="263" t="s"/>
      <c r="B89" s="263" t="s"/>
      <c r="C89" s="263" t="s"/>
      <c r="D89" s="263" t="s"/>
      <c r="E89" s="263" t="s"/>
      <c r="F89" s="263" t="s"/>
      <c r="G89" s="263" t="s"/>
      <c r="H89" s="263" t="s"/>
      <c r="I89" s="263" t="s"/>
      <c r="J89" s="340" t="s"/>
      <c r="K89" s="340" t="s"/>
      <c r="L89" s="263" t="s"/>
      <c r="M89" s="263" t="s"/>
      <c r="N89" s="263" t="s"/>
      <c r="O89" s="263" t="s"/>
      <c r="P89" s="263" t="s"/>
      <c r="Q89" s="263" t="s"/>
      <c r="R89" s="263" t="s"/>
      <c r="S89" s="263" t="s"/>
      <c r="T89" s="263" t="s"/>
      <c r="U89" s="263" t="s"/>
      <c r="V89" s="263" t="s"/>
      <c r="W89" s="263" t="s"/>
      <c r="X89" s="263" t="s"/>
      <c r="Y89" s="263" t="s"/>
      <c r="Z89" s="263" t="s"/>
      <c r="AA89" s="263" t="s"/>
      <c r="AB89" s="263" t="s"/>
      <c r="AC89" s="263" t="s"/>
      <c r="AD89" s="263" t="s"/>
    </row>
    <row r="90" spans="1:30" customHeight="false">
      <c r="A90" s="263" t="s"/>
      <c r="B90" s="263" t="s"/>
      <c r="C90" s="263" t="s"/>
      <c r="D90" s="263" t="s"/>
      <c r="E90" s="263" t="s"/>
      <c r="F90" s="263" t="s"/>
      <c r="G90" s="263" t="s"/>
      <c r="H90" s="263" t="s"/>
      <c r="I90" s="263" t="s"/>
      <c r="J90" s="340" t="s"/>
      <c r="K90" s="340" t="s"/>
      <c r="L90" s="263" t="s"/>
      <c r="M90" s="263" t="s"/>
      <c r="N90" s="263" t="s"/>
      <c r="O90" s="263" t="s"/>
      <c r="P90" s="263" t="s"/>
      <c r="Q90" s="263" t="s"/>
      <c r="R90" s="263" t="s"/>
      <c r="S90" s="263" t="s"/>
      <c r="T90" s="263" t="s"/>
      <c r="U90" s="263" t="s"/>
      <c r="V90" s="263" t="s"/>
      <c r="W90" s="263" t="s"/>
      <c r="X90" s="263" t="s"/>
      <c r="Y90" s="263" t="s"/>
      <c r="Z90" s="263" t="s"/>
      <c r="AA90" s="263" t="s"/>
      <c r="AB90" s="263" t="s"/>
      <c r="AC90" s="263" t="s"/>
      <c r="AD90" s="263" t="s"/>
    </row>
    <row r="91" spans="1:30" customHeight="false">
      <c r="A91" s="263" t="s"/>
      <c r="B91" s="263" t="s"/>
      <c r="C91" s="263" t="s"/>
      <c r="D91" s="263" t="s"/>
      <c r="E91" s="263" t="s"/>
      <c r="F91" s="263" t="s"/>
      <c r="G91" s="263" t="s"/>
      <c r="H91" s="263" t="s"/>
      <c r="I91" s="263" t="s"/>
      <c r="J91" s="340" t="s"/>
      <c r="K91" s="340" t="s"/>
      <c r="L91" s="263" t="s"/>
      <c r="M91" s="263" t="s"/>
      <c r="N91" s="263" t="s"/>
      <c r="O91" s="263" t="s"/>
      <c r="P91" s="263" t="s"/>
      <c r="Q91" s="263" t="s"/>
      <c r="R91" s="263" t="s"/>
      <c r="S91" s="263" t="s"/>
      <c r="T91" s="263" t="s"/>
      <c r="U91" s="263" t="s"/>
      <c r="V91" s="263" t="s"/>
      <c r="W91" s="263" t="s"/>
      <c r="X91" s="263" t="s"/>
      <c r="Y91" s="263" t="s"/>
      <c r="Z91" s="263" t="s"/>
      <c r="AA91" s="263" t="s"/>
      <c r="AB91" s="263" t="s"/>
      <c r="AC91" s="263" t="s"/>
      <c r="AD91" s="263" t="s"/>
    </row>
    <row r="92" spans="1:30" customHeight="false">
      <c r="A92" s="263" t="s"/>
      <c r="B92" s="263" t="s"/>
      <c r="C92" s="263" t="s"/>
      <c r="D92" s="263" t="s"/>
      <c r="E92" s="263" t="s"/>
      <c r="F92" s="263" t="s"/>
      <c r="G92" s="263" t="s"/>
      <c r="H92" s="263" t="s"/>
      <c r="I92" s="263" t="s"/>
      <c r="J92" s="340" t="s"/>
      <c r="K92" s="340" t="s"/>
      <c r="L92" s="263" t="s"/>
      <c r="M92" s="263" t="s"/>
      <c r="N92" s="263" t="s"/>
      <c r="O92" s="263" t="s"/>
      <c r="P92" s="263" t="s"/>
      <c r="Q92" s="263" t="s"/>
      <c r="R92" s="263" t="s"/>
      <c r="S92" s="263" t="s"/>
      <c r="T92" s="263" t="s"/>
      <c r="U92" s="263" t="s"/>
      <c r="V92" s="263" t="s"/>
      <c r="W92" s="263" t="s"/>
      <c r="X92" s="263" t="s"/>
      <c r="Y92" s="263" t="s"/>
      <c r="Z92" s="263" t="s"/>
      <c r="AA92" s="263" t="s"/>
      <c r="AB92" s="263" t="s"/>
      <c r="AC92" s="263" t="s"/>
      <c r="AD92" s="263" t="s"/>
    </row>
    <row r="93" spans="1:30" customHeight="false">
      <c r="A93" s="263" t="s"/>
      <c r="B93" s="263" t="s"/>
      <c r="C93" s="263" t="s"/>
      <c r="D93" s="263" t="s"/>
      <c r="E93" s="263" t="s"/>
      <c r="F93" s="263" t="s"/>
      <c r="G93" s="263" t="s"/>
      <c r="H93" s="263" t="s"/>
      <c r="I93" s="263" t="s"/>
      <c r="J93" s="340" t="s"/>
      <c r="K93" s="340" t="s"/>
      <c r="L93" s="263" t="s"/>
      <c r="M93" s="263" t="s"/>
      <c r="N93" s="263" t="s"/>
      <c r="O93" s="263" t="s"/>
      <c r="P93" s="263" t="s"/>
      <c r="Q93" s="263" t="s"/>
      <c r="R93" s="263" t="s"/>
      <c r="S93" s="263" t="s"/>
      <c r="T93" s="263" t="s"/>
      <c r="U93" s="263" t="s"/>
      <c r="V93" s="263" t="s"/>
      <c r="W93" s="263" t="s"/>
      <c r="X93" s="263" t="s"/>
      <c r="Y93" s="263" t="s"/>
      <c r="Z93" s="263" t="s"/>
      <c r="AA93" s="263" t="s"/>
      <c r="AB93" s="263" t="s"/>
      <c r="AC93" s="263" t="s"/>
      <c r="AD93" s="263" t="s"/>
    </row>
    <row r="94" spans="1:30" customHeight="false">
      <c r="A94" s="263" t="s"/>
      <c r="B94" s="263" t="s"/>
      <c r="C94" s="263" t="s"/>
      <c r="D94" s="263" t="s"/>
      <c r="E94" s="263" t="s"/>
      <c r="F94" s="263" t="s"/>
      <c r="G94" s="263" t="s"/>
      <c r="H94" s="263" t="s"/>
      <c r="I94" s="263" t="s"/>
      <c r="J94" s="340" t="s"/>
      <c r="K94" s="340" t="s"/>
      <c r="L94" s="263" t="s"/>
      <c r="M94" s="263" t="s"/>
      <c r="N94" s="263" t="s"/>
      <c r="O94" s="263" t="s"/>
      <c r="P94" s="263" t="s"/>
      <c r="Q94" s="263" t="s"/>
      <c r="R94" s="263" t="s"/>
      <c r="S94" s="263" t="s"/>
      <c r="T94" s="263" t="s"/>
      <c r="U94" s="263" t="s"/>
      <c r="V94" s="263" t="s"/>
      <c r="W94" s="263" t="s"/>
      <c r="X94" s="263" t="s"/>
      <c r="Y94" s="263" t="s"/>
      <c r="Z94" s="263" t="s"/>
      <c r="AA94" s="263" t="s"/>
      <c r="AB94" s="263" t="s"/>
      <c r="AC94" s="263" t="s"/>
      <c r="AD94" s="263" t="s"/>
    </row>
    <row r="95" spans="1:30" customHeight="false">
      <c r="A95" s="263" t="s"/>
      <c r="B95" s="263" t="s"/>
      <c r="C95" s="263" t="s"/>
      <c r="D95" s="263" t="s"/>
      <c r="E95" s="263" t="s"/>
      <c r="F95" s="263" t="s"/>
      <c r="G95" s="263" t="s"/>
      <c r="H95" s="263" t="s"/>
      <c r="I95" s="263" t="s"/>
      <c r="J95" s="340" t="s"/>
      <c r="K95" s="340" t="s"/>
      <c r="L95" s="263" t="s"/>
      <c r="M95" s="263" t="s"/>
      <c r="N95" s="263" t="s"/>
      <c r="O95" s="263" t="s"/>
      <c r="P95" s="263" t="s"/>
      <c r="Q95" s="263" t="s"/>
      <c r="R95" s="263" t="s"/>
      <c r="S95" s="263" t="s"/>
      <c r="T95" s="263" t="s"/>
      <c r="U95" s="263" t="s"/>
      <c r="V95" s="263" t="s"/>
      <c r="W95" s="263" t="s"/>
      <c r="X95" s="263" t="s"/>
      <c r="Y95" s="263" t="s"/>
      <c r="Z95" s="263" t="s"/>
      <c r="AA95" s="263" t="s"/>
      <c r="AB95" s="263" t="s"/>
      <c r="AC95" s="263" t="s"/>
      <c r="AD95" s="263" t="s"/>
    </row>
    <row r="96" spans="1:30" customHeight="false">
      <c r="A96" s="263" t="s"/>
      <c r="B96" s="263" t="s"/>
      <c r="C96" s="263" t="s"/>
      <c r="D96" s="263" t="s"/>
      <c r="E96" s="263" t="s"/>
      <c r="F96" s="263" t="s"/>
      <c r="G96" s="263" t="s"/>
      <c r="H96" s="263" t="s"/>
      <c r="I96" s="263" t="s"/>
      <c r="J96" s="340" t="s"/>
      <c r="K96" s="340" t="s"/>
      <c r="L96" s="263" t="s"/>
      <c r="M96" s="263" t="s"/>
      <c r="N96" s="263" t="s"/>
      <c r="O96" s="263" t="s"/>
      <c r="P96" s="263" t="s"/>
      <c r="Q96" s="263" t="s"/>
      <c r="R96" s="263" t="s"/>
      <c r="S96" s="263" t="s"/>
      <c r="T96" s="263" t="s"/>
      <c r="U96" s="263" t="s"/>
      <c r="V96" s="263" t="s"/>
      <c r="W96" s="263" t="s"/>
      <c r="X96" s="263" t="s"/>
      <c r="Y96" s="263" t="s"/>
      <c r="Z96" s="263" t="s"/>
      <c r="AA96" s="263" t="s"/>
      <c r="AB96" s="263" t="s"/>
      <c r="AC96" s="263" t="s"/>
      <c r="AD96" s="263" t="s"/>
    </row>
    <row r="97" spans="1:30" customHeight="false">
      <c r="A97" s="263" t="s"/>
      <c r="B97" s="263" t="s"/>
      <c r="C97" s="263" t="s"/>
      <c r="D97" s="263" t="s"/>
      <c r="E97" s="263" t="s"/>
      <c r="F97" s="263" t="s"/>
      <c r="G97" s="263" t="s"/>
      <c r="H97" s="263" t="s"/>
      <c r="I97" s="263" t="s"/>
      <c r="J97" s="340" t="s"/>
      <c r="K97" s="340" t="s"/>
      <c r="L97" s="263" t="s"/>
      <c r="M97" s="263" t="s"/>
      <c r="N97" s="263" t="s"/>
      <c r="O97" s="263" t="s"/>
      <c r="P97" s="263" t="s"/>
      <c r="Q97" s="263" t="s"/>
      <c r="R97" s="263" t="s"/>
      <c r="S97" s="263" t="s"/>
      <c r="T97" s="263" t="s"/>
      <c r="U97" s="263" t="s"/>
      <c r="V97" s="263" t="s"/>
      <c r="W97" s="263" t="s"/>
      <c r="X97" s="263" t="s"/>
      <c r="Y97" s="263" t="s"/>
      <c r="Z97" s="263" t="s"/>
      <c r="AA97" s="263" t="s"/>
      <c r="AB97" s="263" t="s"/>
      <c r="AC97" s="263" t="s"/>
      <c r="AD97" s="263" t="s"/>
    </row>
    <row r="98" spans="1:30" customHeight="false">
      <c r="A98" s="263" t="s"/>
      <c r="B98" s="263" t="s"/>
      <c r="C98" s="263" t="s"/>
      <c r="D98" s="263" t="s"/>
      <c r="E98" s="263" t="s"/>
      <c r="F98" s="263" t="s"/>
      <c r="G98" s="263" t="s"/>
      <c r="H98" s="263" t="s"/>
      <c r="I98" s="263" t="s"/>
      <c r="J98" s="340" t="s"/>
      <c r="K98" s="340" t="s"/>
      <c r="L98" s="263" t="s"/>
      <c r="M98" s="263" t="s"/>
      <c r="N98" s="263" t="s"/>
      <c r="O98" s="263" t="s"/>
      <c r="P98" s="263" t="s"/>
      <c r="Q98" s="263" t="s"/>
      <c r="R98" s="263" t="s"/>
      <c r="S98" s="263" t="s"/>
      <c r="T98" s="263" t="s"/>
      <c r="U98" s="263" t="s"/>
      <c r="V98" s="263" t="s"/>
      <c r="W98" s="263" t="s"/>
      <c r="X98" s="263" t="s"/>
      <c r="Y98" s="263" t="s"/>
      <c r="Z98" s="263" t="s"/>
      <c r="AA98" s="263" t="s"/>
      <c r="AB98" s="263" t="s"/>
      <c r="AC98" s="263" t="s"/>
      <c r="AD98" s="263" t="s"/>
    </row>
    <row r="99" spans="1:30" customHeight="false">
      <c r="A99" s="263" t="s"/>
      <c r="B99" s="263" t="s"/>
      <c r="C99" s="263" t="s"/>
      <c r="D99" s="263" t="s"/>
      <c r="E99" s="263" t="s"/>
      <c r="F99" s="263" t="s"/>
      <c r="G99" s="263" t="s"/>
      <c r="H99" s="263" t="s"/>
      <c r="I99" s="263" t="s"/>
      <c r="J99" s="340" t="s"/>
      <c r="K99" s="340" t="s"/>
      <c r="L99" s="263" t="s"/>
      <c r="M99" s="263" t="s"/>
      <c r="N99" s="263" t="s"/>
      <c r="O99" s="263" t="s"/>
      <c r="P99" s="263" t="s"/>
      <c r="Q99" s="263" t="s"/>
      <c r="R99" s="263" t="s"/>
      <c r="S99" s="263" t="s"/>
      <c r="T99" s="263" t="s"/>
      <c r="U99" s="263" t="s"/>
      <c r="V99" s="263" t="s"/>
      <c r="W99" s="263" t="s"/>
      <c r="X99" s="263" t="s"/>
      <c r="Y99" s="263" t="s"/>
      <c r="Z99" s="263" t="s"/>
      <c r="AA99" s="263" t="s"/>
      <c r="AB99" s="263" t="s"/>
      <c r="AC99" s="263" t="s"/>
      <c r="AD99" s="263" t="s"/>
    </row>
    <row r="100" spans="1:30" customHeight="false">
      <c r="A100" s="263" t="s"/>
      <c r="B100" s="263" t="s"/>
      <c r="C100" s="263" t="s"/>
      <c r="D100" s="263" t="s"/>
      <c r="E100" s="263" t="s"/>
      <c r="F100" s="263" t="s"/>
      <c r="G100" s="263" t="s"/>
      <c r="H100" s="263" t="s"/>
      <c r="I100" s="263" t="s"/>
      <c r="J100" s="340" t="s"/>
      <c r="K100" s="340" t="s"/>
      <c r="L100" s="263" t="s"/>
      <c r="M100" s="263" t="s"/>
      <c r="N100" s="263" t="s"/>
      <c r="O100" s="263" t="s"/>
      <c r="P100" s="263" t="s"/>
      <c r="Q100" s="263" t="s"/>
      <c r="R100" s="263" t="s"/>
      <c r="S100" s="263" t="s"/>
      <c r="T100" s="263" t="s"/>
      <c r="U100" s="263" t="s"/>
      <c r="V100" s="263" t="s"/>
      <c r="W100" s="263" t="s"/>
      <c r="X100" s="263" t="s"/>
      <c r="Y100" s="263" t="s"/>
      <c r="Z100" s="263" t="s"/>
      <c r="AA100" s="263" t="s"/>
      <c r="AB100" s="263" t="s"/>
      <c r="AC100" s="263" t="s"/>
      <c r="AD100" s="263" t="s"/>
    </row>
    <row r="101" spans="1:30" customHeight="false">
      <c r="A101" s="263" t="s"/>
      <c r="B101" s="263" t="s"/>
      <c r="C101" s="263" t="s"/>
      <c r="D101" s="263" t="s"/>
      <c r="E101" s="263" t="s"/>
      <c r="F101" s="263" t="s"/>
      <c r="G101" s="263" t="s"/>
      <c r="H101" s="263" t="s"/>
      <c r="I101" s="263" t="s"/>
      <c r="J101" s="340" t="s"/>
      <c r="K101" s="340" t="s"/>
      <c r="L101" s="263" t="s"/>
      <c r="M101" s="263" t="s"/>
      <c r="N101" s="263" t="s"/>
      <c r="O101" s="263" t="s"/>
      <c r="P101" s="263" t="s"/>
      <c r="Q101" s="263" t="s"/>
      <c r="R101" s="263" t="s"/>
      <c r="S101" s="263" t="s"/>
      <c r="T101" s="263" t="s"/>
      <c r="U101" s="263" t="s"/>
      <c r="V101" s="263" t="s"/>
      <c r="W101" s="263" t="s"/>
      <c r="X101" s="263" t="s"/>
      <c r="Y101" s="263" t="s"/>
      <c r="Z101" s="263" t="s"/>
      <c r="AA101" s="263" t="s"/>
      <c r="AB101" s="263" t="s"/>
      <c r="AC101" s="263" t="s"/>
      <c r="AD101" s="263" t="s"/>
    </row>
    <row r="102" spans="1:30" customHeight="false">
      <c r="A102" s="263" t="s"/>
      <c r="B102" s="263" t="s"/>
      <c r="C102" s="263" t="s"/>
      <c r="D102" s="263" t="s"/>
      <c r="E102" s="263" t="s"/>
      <c r="F102" s="263" t="s"/>
      <c r="G102" s="263" t="s"/>
      <c r="H102" s="263" t="s"/>
      <c r="I102" s="263" t="s"/>
      <c r="J102" s="340" t="s"/>
      <c r="K102" s="340" t="s"/>
      <c r="L102" s="263" t="s"/>
      <c r="M102" s="263" t="s"/>
      <c r="N102" s="263" t="s"/>
      <c r="O102" s="263" t="s"/>
      <c r="P102" s="263" t="s"/>
      <c r="Q102" s="263" t="s"/>
      <c r="R102" s="263" t="s"/>
      <c r="S102" s="263" t="s"/>
      <c r="T102" s="263" t="s"/>
      <c r="U102" s="263" t="s"/>
      <c r="V102" s="263" t="s"/>
      <c r="W102" s="263" t="s"/>
      <c r="X102" s="263" t="s"/>
      <c r="Y102" s="263" t="s"/>
      <c r="Z102" s="263" t="s"/>
      <c r="AA102" s="263" t="s"/>
      <c r="AB102" s="263" t="s"/>
      <c r="AC102" s="263" t="s"/>
      <c r="AD102" s="263" t="s"/>
    </row>
    <row r="103" spans="1:30" customHeight="false">
      <c r="A103" s="263" t="s"/>
      <c r="B103" s="263" t="s"/>
      <c r="C103" s="263" t="s"/>
      <c r="D103" s="263" t="s"/>
      <c r="E103" s="263" t="s"/>
      <c r="F103" s="263" t="s"/>
      <c r="G103" s="263" t="s"/>
      <c r="H103" s="263" t="s"/>
      <c r="I103" s="263" t="s"/>
      <c r="J103" s="340" t="s"/>
      <c r="K103" s="340" t="s"/>
      <c r="L103" s="263" t="s"/>
      <c r="M103" s="263" t="s"/>
      <c r="N103" s="263" t="s"/>
      <c r="O103" s="263" t="s"/>
      <c r="P103" s="263" t="s"/>
      <c r="Q103" s="263" t="s"/>
      <c r="R103" s="263" t="s"/>
      <c r="S103" s="263" t="s"/>
      <c r="T103" s="263" t="s"/>
      <c r="U103" s="263" t="s"/>
      <c r="V103" s="263" t="s"/>
      <c r="W103" s="263" t="s"/>
      <c r="X103" s="263" t="s"/>
      <c r="Y103" s="263" t="s"/>
      <c r="Z103" s="263" t="s"/>
      <c r="AA103" s="263" t="s"/>
      <c r="AB103" s="263" t="s"/>
      <c r="AC103" s="263" t="s"/>
      <c r="AD103" s="263" t="s"/>
    </row>
    <row r="104" spans="1:30" customHeight="false">
      <c r="A104" s="263" t="s"/>
      <c r="B104" s="263" t="s"/>
      <c r="C104" s="263" t="s"/>
      <c r="D104" s="263" t="s"/>
      <c r="E104" s="263" t="s"/>
      <c r="F104" s="263" t="s"/>
      <c r="G104" s="263" t="s"/>
      <c r="H104" s="263" t="s"/>
      <c r="I104" s="263" t="s"/>
      <c r="J104" s="340" t="s"/>
      <c r="K104" s="340" t="s"/>
      <c r="L104" s="263" t="s"/>
      <c r="M104" s="263" t="s"/>
      <c r="N104" s="263" t="s"/>
      <c r="O104" s="263" t="s"/>
      <c r="P104" s="263" t="s"/>
      <c r="Q104" s="263" t="s"/>
      <c r="R104" s="263" t="s"/>
      <c r="S104" s="263" t="s"/>
      <c r="T104" s="263" t="s"/>
      <c r="U104" s="263" t="s"/>
      <c r="V104" s="263" t="s"/>
      <c r="W104" s="263" t="s"/>
      <c r="X104" s="263" t="s"/>
      <c r="Y104" s="263" t="s"/>
      <c r="Z104" s="263" t="s"/>
      <c r="AA104" s="263" t="s"/>
      <c r="AB104" s="263" t="s"/>
      <c r="AC104" s="263" t="s"/>
      <c r="AD104" s="263" t="s"/>
    </row>
    <row r="105" spans="1:30" customHeight="false">
      <c r="A105" s="263" t="s"/>
      <c r="B105" s="263" t="s"/>
      <c r="C105" s="263" t="s"/>
      <c r="D105" s="263" t="s"/>
      <c r="E105" s="263" t="s"/>
      <c r="F105" s="263" t="s"/>
      <c r="G105" s="263" t="s"/>
      <c r="H105" s="263" t="s"/>
      <c r="I105" s="263" t="s"/>
      <c r="J105" s="340" t="s"/>
      <c r="K105" s="340" t="s"/>
      <c r="L105" s="263" t="s"/>
      <c r="M105" s="263" t="s"/>
      <c r="N105" s="263" t="s"/>
      <c r="O105" s="263" t="s"/>
      <c r="P105" s="263" t="s"/>
      <c r="Q105" s="263" t="s"/>
      <c r="R105" s="263" t="s"/>
      <c r="S105" s="263" t="s"/>
      <c r="T105" s="263" t="s"/>
      <c r="U105" s="263" t="s"/>
      <c r="V105" s="263" t="s"/>
      <c r="W105" s="263" t="s"/>
      <c r="X105" s="263" t="s"/>
      <c r="Y105" s="263" t="s"/>
      <c r="Z105" s="263" t="s"/>
      <c r="AA105" s="263" t="s"/>
      <c r="AB105" s="263" t="s"/>
      <c r="AC105" s="263" t="s"/>
      <c r="AD105" s="263" t="s"/>
    </row>
    <row r="106" spans="1:30" customHeight="false">
      <c r="A106" s="263" t="s"/>
      <c r="B106" s="263" t="s"/>
      <c r="C106" s="263" t="s"/>
      <c r="D106" s="263" t="s"/>
      <c r="E106" s="263" t="s"/>
      <c r="F106" s="263" t="s"/>
      <c r="G106" s="263" t="s"/>
      <c r="H106" s="263" t="s"/>
      <c r="I106" s="263" t="s"/>
      <c r="J106" s="340" t="s"/>
      <c r="K106" s="340" t="s"/>
      <c r="L106" s="263" t="s"/>
      <c r="M106" s="263" t="s"/>
      <c r="N106" s="263" t="s"/>
      <c r="O106" s="263" t="s"/>
      <c r="P106" s="263" t="s"/>
      <c r="Q106" s="263" t="s"/>
      <c r="R106" s="263" t="s"/>
      <c r="S106" s="263" t="s"/>
      <c r="T106" s="263" t="s"/>
      <c r="U106" s="263" t="s"/>
      <c r="V106" s="263" t="s"/>
      <c r="W106" s="263" t="s"/>
      <c r="X106" s="263" t="s"/>
      <c r="Y106" s="263" t="s"/>
      <c r="Z106" s="263" t="s"/>
      <c r="AA106" s="263" t="s"/>
      <c r="AB106" s="263" t="s"/>
      <c r="AC106" s="263" t="s"/>
      <c r="AD106" s="263" t="s"/>
    </row>
    <row r="107" spans="1:30" customHeight="false">
      <c r="A107" s="263" t="s"/>
      <c r="B107" s="263" t="s"/>
      <c r="C107" s="263" t="s"/>
      <c r="D107" s="263" t="s"/>
      <c r="E107" s="263" t="s"/>
      <c r="F107" s="263" t="s"/>
      <c r="G107" s="263" t="s"/>
      <c r="H107" s="263" t="s"/>
      <c r="I107" s="263" t="s"/>
      <c r="J107" s="340" t="s"/>
      <c r="K107" s="340" t="s"/>
      <c r="L107" s="263" t="s"/>
      <c r="M107" s="263" t="s"/>
      <c r="N107" s="263" t="s"/>
      <c r="O107" s="263" t="s"/>
      <c r="P107" s="263" t="s"/>
      <c r="Q107" s="263" t="s"/>
      <c r="R107" s="263" t="s"/>
      <c r="S107" s="263" t="s"/>
      <c r="T107" s="263" t="s"/>
      <c r="U107" s="263" t="s"/>
      <c r="V107" s="263" t="s"/>
      <c r="W107" s="263" t="s"/>
      <c r="X107" s="263" t="s"/>
      <c r="Y107" s="263" t="s"/>
      <c r="Z107" s="263" t="s"/>
      <c r="AA107" s="263" t="s"/>
      <c r="AB107" s="263" t="s"/>
      <c r="AC107" s="263" t="s"/>
      <c r="AD107" s="263" t="s"/>
    </row>
    <row r="108" spans="1:30" customHeight="false">
      <c r="A108" s="263" t="s"/>
      <c r="B108" s="263" t="s"/>
      <c r="C108" s="263" t="s"/>
      <c r="D108" s="263" t="s"/>
      <c r="E108" s="263" t="s"/>
      <c r="F108" s="263" t="s"/>
      <c r="G108" s="263" t="s"/>
      <c r="H108" s="263" t="s"/>
      <c r="I108" s="263" t="s"/>
      <c r="J108" s="340" t="s"/>
      <c r="K108" s="340" t="s"/>
      <c r="L108" s="263" t="s"/>
      <c r="M108" s="263" t="s"/>
      <c r="N108" s="263" t="s"/>
      <c r="O108" s="263" t="s"/>
      <c r="P108" s="263" t="s"/>
      <c r="Q108" s="263" t="s"/>
      <c r="R108" s="263" t="s"/>
      <c r="S108" s="263" t="s"/>
      <c r="T108" s="263" t="s"/>
      <c r="U108" s="263" t="s"/>
      <c r="V108" s="263" t="s"/>
      <c r="W108" s="263" t="s"/>
      <c r="X108" s="263" t="s"/>
      <c r="Y108" s="263" t="s"/>
      <c r="Z108" s="263" t="s"/>
      <c r="AA108" s="263" t="s"/>
      <c r="AB108" s="263" t="s"/>
      <c r="AC108" s="263" t="s"/>
      <c r="AD108" s="263" t="s"/>
    </row>
    <row r="109" spans="1:30" customHeight="false">
      <c r="A109" s="263" t="s"/>
      <c r="B109" s="263" t="s"/>
      <c r="C109" s="263" t="s"/>
      <c r="D109" s="263" t="s"/>
      <c r="E109" s="263" t="s"/>
      <c r="F109" s="263" t="s"/>
      <c r="G109" s="263" t="s"/>
      <c r="H109" s="263" t="s"/>
      <c r="I109" s="263" t="s"/>
      <c r="J109" s="340" t="s"/>
      <c r="K109" s="340" t="s"/>
      <c r="L109" s="263" t="s"/>
      <c r="M109" s="263" t="s"/>
      <c r="N109" s="263" t="s"/>
      <c r="O109" s="263" t="s"/>
      <c r="P109" s="263" t="s"/>
      <c r="Q109" s="263" t="s"/>
      <c r="R109" s="263" t="s"/>
      <c r="S109" s="263" t="s"/>
      <c r="T109" s="263" t="s"/>
      <c r="U109" s="263" t="s"/>
      <c r="V109" s="263" t="s"/>
      <c r="W109" s="263" t="s"/>
      <c r="X109" s="263" t="s"/>
      <c r="Y109" s="263" t="s"/>
      <c r="Z109" s="263" t="s"/>
      <c r="AA109" s="263" t="s"/>
      <c r="AB109" s="263" t="s"/>
      <c r="AC109" s="263" t="s"/>
      <c r="AD109" s="263" t="s"/>
    </row>
    <row r="110" spans="1:30" customHeight="false">
      <c r="A110" s="263" t="s"/>
      <c r="B110" s="263" t="s"/>
      <c r="C110" s="263" t="s"/>
      <c r="D110" s="263" t="s"/>
      <c r="E110" s="263" t="s"/>
      <c r="F110" s="263" t="s"/>
      <c r="G110" s="263" t="s"/>
      <c r="H110" s="263" t="s"/>
      <c r="I110" s="263" t="s"/>
      <c r="J110" s="340" t="s"/>
      <c r="K110" s="340" t="s"/>
      <c r="L110" s="263" t="s"/>
      <c r="M110" s="263" t="s"/>
      <c r="N110" s="263" t="s"/>
      <c r="O110" s="263" t="s"/>
      <c r="P110" s="263" t="s"/>
      <c r="Q110" s="263" t="s"/>
      <c r="R110" s="263" t="s"/>
      <c r="S110" s="263" t="s"/>
      <c r="T110" s="263" t="s"/>
      <c r="U110" s="263" t="s"/>
      <c r="V110" s="263" t="s"/>
      <c r="W110" s="263" t="s"/>
      <c r="X110" s="263" t="s"/>
      <c r="Y110" s="263" t="s"/>
      <c r="Z110" s="263" t="s"/>
      <c r="AA110" s="263" t="s"/>
      <c r="AB110" s="263" t="s"/>
      <c r="AC110" s="263" t="s"/>
      <c r="AD110" s="263" t="s"/>
    </row>
    <row r="111" spans="1:30" customHeight="false">
      <c r="A111" s="263" t="s"/>
      <c r="B111" s="263" t="s"/>
      <c r="C111" s="263" t="s"/>
      <c r="D111" s="263" t="s"/>
      <c r="E111" s="263" t="s"/>
      <c r="F111" s="263" t="s"/>
      <c r="G111" s="263" t="s"/>
      <c r="H111" s="263" t="s"/>
      <c r="I111" s="263" t="s"/>
      <c r="J111" s="340" t="s"/>
      <c r="K111" s="340" t="s"/>
      <c r="L111" s="263" t="s"/>
      <c r="M111" s="263" t="s"/>
      <c r="N111" s="263" t="s"/>
      <c r="O111" s="263" t="s"/>
      <c r="P111" s="263" t="s"/>
      <c r="Q111" s="263" t="s"/>
      <c r="R111" s="263" t="s"/>
      <c r="S111" s="263" t="s"/>
      <c r="T111" s="263" t="s"/>
      <c r="U111" s="263" t="s"/>
      <c r="V111" s="263" t="s"/>
      <c r="W111" s="263" t="s"/>
      <c r="X111" s="263" t="s"/>
      <c r="Y111" s="263" t="s"/>
      <c r="Z111" s="263" t="s"/>
      <c r="AA111" s="263" t="s"/>
      <c r="AB111" s="263" t="s"/>
      <c r="AC111" s="263" t="s"/>
      <c r="AD111" s="263" t="s"/>
    </row>
    <row r="112" spans="1:30" customHeight="false">
      <c r="A112" s="263" t="s"/>
      <c r="B112" s="263" t="s"/>
      <c r="C112" s="263" t="s"/>
      <c r="D112" s="263" t="s"/>
      <c r="E112" s="263" t="s"/>
      <c r="F112" s="263" t="s"/>
      <c r="G112" s="263" t="s"/>
      <c r="H112" s="263" t="s"/>
      <c r="I112" s="263" t="s"/>
      <c r="J112" s="340" t="s"/>
      <c r="K112" s="340" t="s"/>
      <c r="L112" s="263" t="s"/>
      <c r="M112" s="263" t="s"/>
      <c r="N112" s="263" t="s"/>
      <c r="O112" s="263" t="s"/>
      <c r="P112" s="263" t="s"/>
      <c r="Q112" s="263" t="s"/>
      <c r="R112" s="263" t="s"/>
      <c r="S112" s="263" t="s"/>
      <c r="T112" s="263" t="s"/>
      <c r="U112" s="263" t="s"/>
      <c r="V112" s="263" t="s"/>
      <c r="W112" s="263" t="s"/>
      <c r="X112" s="263" t="s"/>
      <c r="Y112" s="263" t="s"/>
      <c r="Z112" s="263" t="s"/>
      <c r="AA112" s="263" t="s"/>
      <c r="AB112" s="263" t="s"/>
      <c r="AC112" s="263" t="s"/>
      <c r="AD112" s="263" t="s"/>
    </row>
    <row r="113" spans="1:30" customHeight="false">
      <c r="A113" s="263" t="s"/>
      <c r="B113" s="263" t="s"/>
      <c r="C113" s="263" t="s"/>
      <c r="D113" s="263" t="s"/>
      <c r="E113" s="263" t="s"/>
      <c r="F113" s="263" t="s"/>
      <c r="G113" s="263" t="s"/>
      <c r="H113" s="263" t="s"/>
      <c r="I113" s="263" t="s"/>
      <c r="J113" s="340" t="s"/>
      <c r="K113" s="340" t="s"/>
      <c r="L113" s="263" t="s"/>
      <c r="M113" s="263" t="s"/>
      <c r="N113" s="263" t="s"/>
      <c r="O113" s="263" t="s"/>
      <c r="P113" s="263" t="s"/>
      <c r="Q113" s="263" t="s"/>
      <c r="R113" s="263" t="s"/>
      <c r="S113" s="263" t="s"/>
      <c r="T113" s="263" t="s"/>
      <c r="U113" s="263" t="s"/>
      <c r="V113" s="263" t="s"/>
      <c r="W113" s="263" t="s"/>
      <c r="X113" s="263" t="s"/>
      <c r="Y113" s="263" t="s"/>
      <c r="Z113" s="263" t="s"/>
      <c r="AA113" s="263" t="s"/>
      <c r="AB113" s="263" t="s"/>
      <c r="AC113" s="263" t="s"/>
      <c r="AD113" s="263" t="s"/>
    </row>
    <row r="114" spans="1:30" customHeight="false">
      <c r="A114" s="263" t="s"/>
      <c r="B114" s="263" t="s"/>
      <c r="C114" s="263" t="s"/>
      <c r="D114" s="263" t="s"/>
      <c r="E114" s="263" t="s"/>
      <c r="F114" s="263" t="s"/>
      <c r="G114" s="263" t="s"/>
      <c r="H114" s="263" t="s"/>
      <c r="I114" s="263" t="s"/>
      <c r="J114" s="340" t="s"/>
      <c r="K114" s="340" t="s"/>
      <c r="L114" s="263" t="s"/>
      <c r="M114" s="263" t="s"/>
      <c r="N114" s="263" t="s"/>
      <c r="O114" s="263" t="s"/>
      <c r="P114" s="263" t="s"/>
      <c r="Q114" s="263" t="s"/>
      <c r="R114" s="263" t="s"/>
      <c r="S114" s="263" t="s"/>
      <c r="T114" s="263" t="s"/>
      <c r="U114" s="263" t="s"/>
      <c r="V114" s="263" t="s"/>
      <c r="W114" s="263" t="s"/>
      <c r="X114" s="263" t="s"/>
      <c r="Y114" s="263" t="s"/>
      <c r="Z114" s="263" t="s"/>
      <c r="AA114" s="263" t="s"/>
      <c r="AB114" s="263" t="s"/>
      <c r="AC114" s="263" t="s"/>
      <c r="AD114" s="263" t="s"/>
    </row>
    <row r="115" spans="1:30" customHeight="false">
      <c r="A115" s="263" t="s"/>
      <c r="B115" s="263" t="s"/>
      <c r="C115" s="263" t="s"/>
      <c r="D115" s="263" t="s"/>
      <c r="E115" s="263" t="s"/>
      <c r="F115" s="263" t="s"/>
      <c r="G115" s="263" t="s"/>
      <c r="H115" s="263" t="s"/>
      <c r="I115" s="263" t="s"/>
      <c r="J115" s="340" t="s"/>
      <c r="K115" s="340" t="s"/>
      <c r="L115" s="263" t="s"/>
      <c r="M115" s="263" t="s"/>
      <c r="N115" s="263" t="s"/>
      <c r="O115" s="263" t="s"/>
      <c r="P115" s="263" t="s"/>
      <c r="Q115" s="263" t="s"/>
      <c r="R115" s="263" t="s"/>
      <c r="S115" s="263" t="s"/>
      <c r="T115" s="263" t="s"/>
      <c r="U115" s="263" t="s"/>
      <c r="V115" s="263" t="s"/>
      <c r="W115" s="263" t="s"/>
      <c r="X115" s="263" t="s"/>
      <c r="Y115" s="263" t="s"/>
      <c r="Z115" s="263" t="s"/>
      <c r="AA115" s="263" t="s"/>
      <c r="AB115" s="263" t="s"/>
      <c r="AC115" s="263" t="s"/>
      <c r="AD115" s="263" t="s"/>
    </row>
    <row r="116" spans="1:30" customHeight="false">
      <c r="A116" s="263" t="s"/>
      <c r="B116" s="263" t="s"/>
      <c r="C116" s="263" t="s"/>
      <c r="D116" s="263" t="s"/>
      <c r="E116" s="263" t="s"/>
      <c r="F116" s="263" t="s"/>
      <c r="G116" s="263" t="s"/>
      <c r="H116" s="263" t="s"/>
      <c r="I116" s="263" t="s"/>
      <c r="J116" s="340" t="s"/>
      <c r="K116" s="340" t="s"/>
      <c r="L116" s="263" t="s"/>
      <c r="M116" s="263" t="s"/>
      <c r="N116" s="263" t="s"/>
      <c r="O116" s="263" t="s"/>
      <c r="P116" s="263" t="s"/>
      <c r="Q116" s="263" t="s"/>
      <c r="R116" s="263" t="s"/>
      <c r="S116" s="263" t="s"/>
      <c r="T116" s="263" t="s"/>
      <c r="U116" s="263" t="s"/>
      <c r="V116" s="263" t="s"/>
      <c r="W116" s="263" t="s"/>
      <c r="X116" s="263" t="s"/>
      <c r="Y116" s="263" t="s"/>
      <c r="Z116" s="263" t="s"/>
      <c r="AA116" s="263" t="s"/>
      <c r="AB116" s="263" t="s"/>
      <c r="AC116" s="263" t="s"/>
      <c r="AD116" s="263" t="s"/>
    </row>
    <row r="117" spans="1:30" customHeight="false">
      <c r="A117" s="263" t="s"/>
      <c r="B117" s="263" t="s"/>
      <c r="C117" s="263" t="s"/>
      <c r="D117" s="263" t="s"/>
      <c r="E117" s="263" t="s"/>
      <c r="F117" s="263" t="s"/>
      <c r="G117" s="263" t="s"/>
      <c r="H117" s="263" t="s"/>
      <c r="I117" s="263" t="s"/>
      <c r="J117" s="340" t="s"/>
      <c r="K117" s="340" t="s"/>
      <c r="L117" s="263" t="s"/>
      <c r="M117" s="263" t="s"/>
      <c r="N117" s="263" t="s"/>
      <c r="O117" s="263" t="s"/>
      <c r="P117" s="263" t="s"/>
      <c r="Q117" s="263" t="s"/>
      <c r="R117" s="263" t="s"/>
      <c r="S117" s="263" t="s"/>
      <c r="T117" s="263" t="s"/>
      <c r="U117" s="263" t="s"/>
      <c r="V117" s="263" t="s"/>
      <c r="W117" s="263" t="s"/>
      <c r="X117" s="263" t="s"/>
      <c r="Y117" s="263" t="s"/>
      <c r="Z117" s="263" t="s"/>
      <c r="AA117" s="263" t="s"/>
      <c r="AB117" s="263" t="s"/>
      <c r="AC117" s="263" t="s"/>
      <c r="AD117" s="263" t="s"/>
    </row>
    <row r="118" spans="1:30" customHeight="false">
      <c r="A118" s="263" t="s"/>
      <c r="B118" s="263" t="s"/>
      <c r="C118" s="263" t="s"/>
      <c r="D118" s="263" t="s"/>
      <c r="E118" s="263" t="s"/>
      <c r="F118" s="263" t="s"/>
      <c r="G118" s="263" t="s"/>
      <c r="H118" s="263" t="s"/>
      <c r="I118" s="263" t="s"/>
      <c r="J118" s="340" t="s"/>
      <c r="K118" s="340" t="s"/>
      <c r="L118" s="263" t="s"/>
      <c r="M118" s="263" t="s"/>
      <c r="N118" s="263" t="s"/>
      <c r="O118" s="263" t="s"/>
      <c r="P118" s="263" t="s"/>
      <c r="Q118" s="263" t="s"/>
      <c r="R118" s="263" t="s"/>
      <c r="S118" s="263" t="s"/>
      <c r="T118" s="263" t="s"/>
      <c r="U118" s="263" t="s"/>
      <c r="V118" s="263" t="s"/>
      <c r="W118" s="263" t="s"/>
      <c r="X118" s="263" t="s"/>
      <c r="Y118" s="263" t="s"/>
      <c r="Z118" s="263" t="s"/>
      <c r="AA118" s="263" t="s"/>
      <c r="AB118" s="263" t="s"/>
      <c r="AC118" s="263" t="s"/>
      <c r="AD118" s="263" t="s"/>
    </row>
    <row r="119" spans="1:30" customHeight="false">
      <c r="A119" s="263" t="s"/>
      <c r="B119" s="263" t="s"/>
      <c r="C119" s="263" t="s"/>
      <c r="D119" s="263" t="s"/>
      <c r="E119" s="263" t="s"/>
      <c r="F119" s="263" t="s"/>
      <c r="G119" s="263" t="s"/>
      <c r="H119" s="263" t="s"/>
      <c r="I119" s="263" t="s"/>
      <c r="J119" s="340" t="s"/>
      <c r="K119" s="340" t="s"/>
      <c r="L119" s="263" t="s"/>
      <c r="M119" s="263" t="s"/>
      <c r="N119" s="263" t="s"/>
      <c r="O119" s="263" t="s"/>
      <c r="P119" s="263" t="s"/>
      <c r="Q119" s="263" t="s"/>
      <c r="R119" s="263" t="s"/>
      <c r="S119" s="263" t="s"/>
      <c r="T119" s="263" t="s"/>
      <c r="U119" s="263" t="s"/>
      <c r="V119" s="263" t="s"/>
      <c r="W119" s="263" t="s"/>
      <c r="X119" s="263" t="s"/>
      <c r="Y119" s="263" t="s"/>
      <c r="Z119" s="263" t="s"/>
      <c r="AA119" s="263" t="s"/>
      <c r="AB119" s="263" t="s"/>
      <c r="AC119" s="263" t="s"/>
      <c r="AD119" s="263" t="s"/>
    </row>
    <row r="120" spans="1:30" customHeight="false">
      <c r="A120" s="263" t="s"/>
      <c r="B120" s="263" t="s"/>
      <c r="C120" s="263" t="s"/>
      <c r="D120" s="263" t="s"/>
      <c r="E120" s="263" t="s"/>
      <c r="F120" s="263" t="s"/>
      <c r="G120" s="263" t="s"/>
      <c r="H120" s="263" t="s"/>
      <c r="I120" s="263" t="s"/>
      <c r="J120" s="340" t="s"/>
      <c r="K120" s="340" t="s"/>
      <c r="L120" s="263" t="s"/>
      <c r="M120" s="263" t="s"/>
      <c r="N120" s="263" t="s"/>
      <c r="O120" s="263" t="s"/>
      <c r="P120" s="263" t="s"/>
      <c r="Q120" s="263" t="s"/>
      <c r="R120" s="263" t="s"/>
      <c r="S120" s="263" t="s"/>
      <c r="T120" s="263" t="s"/>
      <c r="U120" s="263" t="s"/>
      <c r="V120" s="263" t="s"/>
      <c r="W120" s="263" t="s"/>
      <c r="X120" s="263" t="s"/>
      <c r="Y120" s="263" t="s"/>
      <c r="Z120" s="263" t="s"/>
      <c r="AA120" s="263" t="s"/>
      <c r="AB120" s="263" t="s"/>
      <c r="AC120" s="263" t="s"/>
      <c r="AD120" s="263" t="s"/>
    </row>
    <row r="121" spans="1:30" customHeight="false">
      <c r="A121" s="263" t="s"/>
      <c r="B121" s="263" t="s"/>
      <c r="C121" s="263" t="s"/>
      <c r="D121" s="263" t="s"/>
      <c r="E121" s="263" t="s"/>
      <c r="F121" s="263" t="s"/>
      <c r="G121" s="263" t="s"/>
      <c r="H121" s="263" t="s"/>
      <c r="I121" s="263" t="s"/>
      <c r="J121" s="340" t="s"/>
      <c r="K121" s="340" t="s"/>
      <c r="L121" s="263" t="s"/>
      <c r="M121" s="263" t="s"/>
      <c r="N121" s="263" t="s"/>
      <c r="O121" s="263" t="s"/>
      <c r="P121" s="263" t="s"/>
      <c r="Q121" s="263" t="s"/>
      <c r="R121" s="263" t="s"/>
      <c r="S121" s="263" t="s"/>
      <c r="T121" s="263" t="s"/>
      <c r="U121" s="263" t="s"/>
      <c r="V121" s="263" t="s"/>
      <c r="W121" s="263" t="s"/>
      <c r="X121" s="263" t="s"/>
      <c r="Y121" s="263" t="s"/>
      <c r="Z121" s="263" t="s"/>
      <c r="AA121" s="263" t="s"/>
      <c r="AB121" s="263" t="s"/>
      <c r="AC121" s="263" t="s"/>
      <c r="AD121" s="263" t="s"/>
    </row>
    <row r="122" spans="1:30" customHeight="false">
      <c r="A122" s="263" t="s"/>
      <c r="B122" s="263" t="s"/>
      <c r="C122" s="263" t="s"/>
      <c r="D122" s="263" t="s"/>
      <c r="E122" s="263" t="s"/>
      <c r="F122" s="263" t="s"/>
      <c r="G122" s="263" t="s"/>
      <c r="H122" s="263" t="s"/>
      <c r="I122" s="263" t="s"/>
      <c r="J122" s="340" t="s"/>
      <c r="K122" s="340" t="s"/>
      <c r="L122" s="263" t="s"/>
      <c r="M122" s="263" t="s"/>
      <c r="N122" s="263" t="s"/>
      <c r="O122" s="263" t="s"/>
      <c r="P122" s="263" t="s"/>
      <c r="Q122" s="263" t="s"/>
      <c r="R122" s="263" t="s"/>
      <c r="S122" s="263" t="s"/>
      <c r="T122" s="263" t="s"/>
      <c r="U122" s="263" t="s"/>
      <c r="V122" s="263" t="s"/>
      <c r="W122" s="263" t="s"/>
      <c r="X122" s="263" t="s"/>
      <c r="Y122" s="263" t="s"/>
      <c r="Z122" s="263" t="s"/>
      <c r="AA122" s="263" t="s"/>
      <c r="AB122" s="263" t="s"/>
      <c r="AC122" s="263" t="s"/>
      <c r="AD122" s="263" t="s"/>
    </row>
    <row r="123" spans="1:30" customHeight="false">
      <c r="A123" s="263" t="s"/>
      <c r="B123" s="263" t="s"/>
      <c r="C123" s="263" t="s"/>
      <c r="D123" s="263" t="s"/>
      <c r="E123" s="263" t="s"/>
      <c r="F123" s="263" t="s"/>
      <c r="G123" s="263" t="s"/>
      <c r="H123" s="263" t="s"/>
      <c r="I123" s="263" t="s"/>
      <c r="J123" s="340" t="s"/>
      <c r="K123" s="340" t="s"/>
      <c r="L123" s="263" t="s"/>
      <c r="M123" s="263" t="s"/>
      <c r="N123" s="263" t="s"/>
      <c r="O123" s="263" t="s"/>
      <c r="P123" s="263" t="s"/>
      <c r="Q123" s="263" t="s"/>
      <c r="R123" s="263" t="s"/>
      <c r="S123" s="263" t="s"/>
      <c r="T123" s="263" t="s"/>
      <c r="U123" s="263" t="s"/>
      <c r="V123" s="263" t="s"/>
      <c r="W123" s="263" t="s"/>
      <c r="X123" s="263" t="s"/>
      <c r="Y123" s="263" t="s"/>
      <c r="Z123" s="263" t="s"/>
      <c r="AA123" s="263" t="s"/>
      <c r="AB123" s="263" t="s"/>
      <c r="AC123" s="263" t="s"/>
      <c r="AD123" s="263" t="s"/>
    </row>
    <row r="124" spans="1:30" customHeight="false">
      <c r="A124" s="263" t="s"/>
      <c r="B124" s="263" t="s"/>
      <c r="C124" s="263" t="s"/>
      <c r="D124" s="263" t="s"/>
      <c r="E124" s="263" t="s"/>
      <c r="F124" s="263" t="s"/>
      <c r="G124" s="263" t="s"/>
      <c r="H124" s="263" t="s"/>
      <c r="I124" s="263" t="s"/>
      <c r="J124" s="340" t="s"/>
      <c r="K124" s="340" t="s"/>
      <c r="L124" s="263" t="s"/>
      <c r="M124" s="263" t="s"/>
      <c r="N124" s="263" t="s"/>
      <c r="O124" s="263" t="s"/>
      <c r="P124" s="263" t="s"/>
      <c r="Q124" s="263" t="s"/>
      <c r="R124" s="263" t="s"/>
      <c r="S124" s="263" t="s"/>
      <c r="T124" s="263" t="s"/>
      <c r="U124" s="263" t="s"/>
      <c r="V124" s="263" t="s"/>
      <c r="W124" s="263" t="s"/>
      <c r="X124" s="263" t="s"/>
      <c r="Y124" s="263" t="s"/>
      <c r="Z124" s="263" t="s"/>
      <c r="AA124" s="263" t="s"/>
      <c r="AB124" s="263" t="s"/>
      <c r="AC124" s="263" t="s"/>
      <c r="AD124" s="263" t="s"/>
    </row>
    <row r="125" spans="1:30" customHeight="false">
      <c r="A125" s="263" t="s"/>
      <c r="B125" s="263" t="s"/>
      <c r="C125" s="263" t="s"/>
      <c r="D125" s="263" t="s"/>
      <c r="E125" s="263" t="s"/>
      <c r="F125" s="263" t="s"/>
      <c r="G125" s="263" t="s"/>
      <c r="H125" s="263" t="s"/>
      <c r="I125" s="263" t="s"/>
      <c r="J125" s="340" t="s"/>
      <c r="K125" s="340" t="s"/>
      <c r="L125" s="263" t="s"/>
      <c r="M125" s="263" t="s"/>
      <c r="N125" s="263" t="s"/>
      <c r="O125" s="263" t="s"/>
      <c r="P125" s="263" t="s"/>
      <c r="Q125" s="263" t="s"/>
      <c r="R125" s="263" t="s"/>
      <c r="S125" s="263" t="s"/>
      <c r="T125" s="263" t="s"/>
      <c r="U125" s="263" t="s"/>
      <c r="V125" s="263" t="s"/>
      <c r="W125" s="263" t="s"/>
      <c r="X125" s="263" t="s"/>
      <c r="Y125" s="263" t="s"/>
      <c r="Z125" s="263" t="s"/>
      <c r="AA125" s="263" t="s"/>
      <c r="AB125" s="263" t="s"/>
      <c r="AC125" s="263" t="s"/>
      <c r="AD125" s="263" t="s"/>
    </row>
    <row r="126" spans="1:30" customHeight="false">
      <c r="A126" s="263" t="s"/>
      <c r="B126" s="263" t="s"/>
      <c r="C126" s="263" t="s"/>
      <c r="D126" s="263" t="s"/>
      <c r="E126" s="263" t="s"/>
      <c r="F126" s="263" t="s"/>
      <c r="G126" s="263" t="s"/>
      <c r="H126" s="263" t="s"/>
      <c r="I126" s="263" t="s"/>
      <c r="J126" s="340" t="s"/>
      <c r="K126" s="340" t="s"/>
      <c r="L126" s="263" t="s"/>
      <c r="M126" s="263" t="s"/>
      <c r="N126" s="263" t="s"/>
      <c r="O126" s="263" t="s"/>
      <c r="P126" s="263" t="s"/>
      <c r="Q126" s="263" t="s"/>
      <c r="R126" s="263" t="s"/>
      <c r="S126" s="263" t="s"/>
      <c r="T126" s="263" t="s"/>
      <c r="U126" s="263" t="s"/>
      <c r="V126" s="263" t="s"/>
      <c r="W126" s="263" t="s"/>
      <c r="X126" s="263" t="s"/>
      <c r="Y126" s="263" t="s"/>
      <c r="Z126" s="263" t="s"/>
      <c r="AA126" s="263" t="s"/>
      <c r="AB126" s="263" t="s"/>
      <c r="AC126" s="263" t="s"/>
      <c r="AD126" s="263" t="s"/>
    </row>
    <row r="127" spans="1:30" customHeight="false">
      <c r="A127" s="263" t="s"/>
      <c r="B127" s="263" t="s"/>
      <c r="C127" s="263" t="s"/>
      <c r="D127" s="263" t="s"/>
      <c r="E127" s="263" t="s"/>
      <c r="F127" s="263" t="s"/>
      <c r="G127" s="263" t="s"/>
      <c r="H127" s="263" t="s"/>
      <c r="I127" s="263" t="s"/>
      <c r="J127" s="340" t="s"/>
      <c r="K127" s="340" t="s"/>
      <c r="L127" s="263" t="s"/>
      <c r="M127" s="263" t="s"/>
      <c r="N127" s="263" t="s"/>
      <c r="O127" s="263" t="s"/>
      <c r="P127" s="263" t="s"/>
      <c r="Q127" s="263" t="s"/>
      <c r="R127" s="263" t="s"/>
      <c r="S127" s="263" t="s"/>
      <c r="T127" s="263" t="s"/>
      <c r="U127" s="263" t="s"/>
      <c r="V127" s="263" t="s"/>
      <c r="W127" s="263" t="s"/>
      <c r="X127" s="263" t="s"/>
      <c r="Y127" s="263" t="s"/>
      <c r="Z127" s="263" t="s"/>
      <c r="AA127" s="263" t="s"/>
      <c r="AB127" s="263" t="s"/>
      <c r="AC127" s="263" t="s"/>
      <c r="AD127" s="263" t="s"/>
    </row>
    <row r="128" spans="1:30" customHeight="false">
      <c r="A128" s="263" t="s"/>
      <c r="B128" s="263" t="s"/>
      <c r="C128" s="263" t="s"/>
      <c r="D128" s="263" t="s"/>
      <c r="E128" s="263" t="s"/>
      <c r="F128" s="263" t="s"/>
      <c r="G128" s="263" t="s"/>
      <c r="H128" s="263" t="s"/>
      <c r="I128" s="263" t="s"/>
      <c r="J128" s="340" t="s"/>
      <c r="K128" s="340" t="s"/>
      <c r="L128" s="263" t="s"/>
      <c r="M128" s="263" t="s"/>
      <c r="N128" s="263" t="s"/>
      <c r="O128" s="263" t="s"/>
      <c r="P128" s="263" t="s"/>
      <c r="Q128" s="263" t="s"/>
      <c r="R128" s="263" t="s"/>
      <c r="S128" s="263" t="s"/>
      <c r="T128" s="263" t="s"/>
      <c r="U128" s="263" t="s"/>
      <c r="V128" s="263" t="s"/>
      <c r="W128" s="263" t="s"/>
      <c r="X128" s="263" t="s"/>
      <c r="Y128" s="263" t="s"/>
      <c r="Z128" s="263" t="s"/>
      <c r="AA128" s="263" t="s"/>
      <c r="AB128" s="263" t="s"/>
      <c r="AC128" s="263" t="s"/>
      <c r="AD128" s="263" t="s"/>
    </row>
    <row r="129" spans="1:30" customHeight="false">
      <c r="A129" s="263" t="s"/>
      <c r="B129" s="263" t="s"/>
      <c r="C129" s="263" t="s"/>
      <c r="D129" s="263" t="s"/>
      <c r="E129" s="263" t="s"/>
      <c r="F129" s="263" t="s"/>
      <c r="G129" s="263" t="s"/>
      <c r="H129" s="263" t="s"/>
      <c r="I129" s="263" t="s"/>
      <c r="J129" s="340" t="s"/>
      <c r="K129" s="340" t="s"/>
      <c r="L129" s="263" t="s"/>
      <c r="M129" s="263" t="s"/>
      <c r="N129" s="263" t="s"/>
      <c r="O129" s="263" t="s"/>
      <c r="P129" s="263" t="s"/>
      <c r="Q129" s="263" t="s"/>
      <c r="R129" s="263" t="s"/>
      <c r="S129" s="263" t="s"/>
      <c r="T129" s="263" t="s"/>
      <c r="U129" s="263" t="s"/>
      <c r="V129" s="263" t="s"/>
      <c r="W129" s="263" t="s"/>
      <c r="X129" s="263" t="s"/>
      <c r="Y129" s="263" t="s"/>
      <c r="Z129" s="263" t="s"/>
      <c r="AA129" s="263" t="s"/>
      <c r="AB129" s="263" t="s"/>
      <c r="AC129" s="263" t="s"/>
      <c r="AD129" s="263" t="s"/>
    </row>
    <row r="130" spans="1:30" customHeight="false">
      <c r="A130" s="263" t="s"/>
      <c r="B130" s="263" t="s"/>
      <c r="C130" s="263" t="s"/>
      <c r="D130" s="263" t="s"/>
      <c r="E130" s="263" t="s"/>
      <c r="F130" s="263" t="s"/>
      <c r="G130" s="263" t="s"/>
      <c r="H130" s="263" t="s"/>
      <c r="I130" s="263" t="s"/>
      <c r="J130" s="340" t="s"/>
      <c r="K130" s="340" t="s"/>
      <c r="L130" s="263" t="s"/>
      <c r="M130" s="263" t="s"/>
      <c r="N130" s="263" t="s"/>
      <c r="O130" s="263" t="s"/>
      <c r="P130" s="263" t="s"/>
      <c r="Q130" s="263" t="s"/>
      <c r="R130" s="263" t="s"/>
      <c r="S130" s="263" t="s"/>
      <c r="T130" s="263" t="s"/>
      <c r="U130" s="263" t="s"/>
      <c r="V130" s="263" t="s"/>
      <c r="W130" s="263" t="s"/>
      <c r="X130" s="263" t="s"/>
      <c r="Y130" s="263" t="s"/>
      <c r="Z130" s="263" t="s"/>
      <c r="AA130" s="263" t="s"/>
      <c r="AB130" s="263" t="s"/>
      <c r="AC130" s="263" t="s"/>
      <c r="AD130" s="263" t="s"/>
    </row>
    <row r="131" spans="1:30" customHeight="false">
      <c r="A131" s="263" t="s"/>
      <c r="B131" s="263" t="s"/>
      <c r="C131" s="263" t="s"/>
      <c r="D131" s="263" t="s"/>
      <c r="E131" s="263" t="s"/>
      <c r="F131" s="263" t="s"/>
      <c r="G131" s="263" t="s"/>
      <c r="H131" s="263" t="s"/>
      <c r="I131" s="263" t="s"/>
      <c r="J131" s="340" t="s"/>
      <c r="K131" s="340" t="s"/>
      <c r="L131" s="263" t="s"/>
      <c r="M131" s="263" t="s"/>
      <c r="N131" s="263" t="s"/>
      <c r="O131" s="263" t="s"/>
      <c r="P131" s="263" t="s"/>
      <c r="Q131" s="263" t="s"/>
      <c r="R131" s="263" t="s"/>
      <c r="S131" s="263" t="s"/>
      <c r="T131" s="263" t="s"/>
      <c r="U131" s="263" t="s"/>
      <c r="V131" s="263" t="s"/>
      <c r="W131" s="263" t="s"/>
      <c r="X131" s="263" t="s"/>
      <c r="Y131" s="263" t="s"/>
      <c r="Z131" s="263" t="s"/>
      <c r="AA131" s="263" t="s"/>
      <c r="AB131" s="263" t="s"/>
      <c r="AC131" s="263" t="s"/>
      <c r="AD131" s="263" t="s"/>
    </row>
    <row r="132" spans="1:30" customHeight="false">
      <c r="A132" s="263" t="s"/>
      <c r="B132" s="263" t="s"/>
      <c r="C132" s="263" t="s"/>
      <c r="D132" s="263" t="s"/>
      <c r="E132" s="263" t="s"/>
      <c r="F132" s="263" t="s"/>
      <c r="G132" s="263" t="s"/>
      <c r="H132" s="263" t="s"/>
      <c r="I132" s="263" t="s"/>
      <c r="J132" s="340" t="s"/>
      <c r="K132" s="340" t="s"/>
      <c r="L132" s="263" t="s"/>
      <c r="M132" s="263" t="s"/>
      <c r="N132" s="263" t="s"/>
      <c r="O132" s="263" t="s"/>
      <c r="P132" s="263" t="s"/>
      <c r="Q132" s="263" t="s"/>
      <c r="R132" s="263" t="s"/>
      <c r="S132" s="263" t="s"/>
      <c r="T132" s="263" t="s"/>
      <c r="U132" s="263" t="s"/>
      <c r="V132" s="263" t="s"/>
      <c r="W132" s="263" t="s"/>
      <c r="X132" s="263" t="s"/>
      <c r="Y132" s="263" t="s"/>
      <c r="Z132" s="263" t="s"/>
      <c r="AA132" s="263" t="s"/>
      <c r="AB132" s="263" t="s"/>
      <c r="AC132" s="263" t="s"/>
      <c r="AD132" s="263" t="s"/>
    </row>
    <row r="133" spans="1:30" customHeight="false">
      <c r="A133" s="263" t="s"/>
      <c r="B133" s="263" t="s"/>
      <c r="C133" s="263" t="s"/>
      <c r="D133" s="263" t="s"/>
      <c r="E133" s="263" t="s"/>
      <c r="F133" s="263" t="s"/>
      <c r="G133" s="263" t="s"/>
      <c r="H133" s="263" t="s"/>
      <c r="I133" s="263" t="s"/>
      <c r="J133" s="340" t="s"/>
      <c r="K133" s="340" t="s"/>
      <c r="L133" s="263" t="s"/>
      <c r="M133" s="263" t="s"/>
      <c r="N133" s="263" t="s"/>
      <c r="O133" s="263" t="s"/>
      <c r="P133" s="263" t="s"/>
      <c r="Q133" s="263" t="s"/>
      <c r="R133" s="263" t="s"/>
      <c r="S133" s="263" t="s"/>
      <c r="T133" s="263" t="s"/>
      <c r="U133" s="263" t="s"/>
      <c r="V133" s="263" t="s"/>
      <c r="W133" s="263" t="s"/>
      <c r="X133" s="263" t="s"/>
      <c r="Y133" s="263" t="s"/>
      <c r="Z133" s="263" t="s"/>
      <c r="AA133" s="263" t="s"/>
      <c r="AB133" s="263" t="s"/>
      <c r="AC133" s="263" t="s"/>
      <c r="AD133" s="263" t="s"/>
    </row>
    <row r="134" spans="1:30" customHeight="false">
      <c r="A134" s="263" t="s"/>
      <c r="B134" s="263" t="s"/>
      <c r="C134" s="263" t="s"/>
      <c r="D134" s="263" t="s"/>
      <c r="E134" s="263" t="s"/>
      <c r="F134" s="263" t="s"/>
      <c r="G134" s="263" t="s"/>
      <c r="H134" s="263" t="s"/>
      <c r="I134" s="263" t="s"/>
      <c r="J134" s="340" t="s"/>
      <c r="K134" s="340" t="s"/>
      <c r="L134" s="263" t="s"/>
      <c r="M134" s="263" t="s"/>
      <c r="N134" s="263" t="s"/>
      <c r="O134" s="263" t="s"/>
      <c r="P134" s="263" t="s"/>
      <c r="Q134" s="263" t="s"/>
      <c r="R134" s="263" t="s"/>
      <c r="S134" s="263" t="s"/>
      <c r="T134" s="263" t="s"/>
      <c r="U134" s="263" t="s"/>
      <c r="V134" s="263" t="s"/>
      <c r="W134" s="263" t="s"/>
      <c r="X134" s="263" t="s"/>
      <c r="Y134" s="263" t="s"/>
      <c r="Z134" s="263" t="s"/>
      <c r="AA134" s="263" t="s"/>
      <c r="AB134" s="263" t="s"/>
      <c r="AC134" s="263" t="s"/>
      <c r="AD134" s="263" t="s"/>
    </row>
    <row r="135" spans="1:30" customHeight="false">
      <c r="A135" s="263" t="s"/>
      <c r="B135" s="263" t="s"/>
      <c r="C135" s="263" t="s"/>
      <c r="D135" s="263" t="s"/>
      <c r="E135" s="263" t="s"/>
      <c r="F135" s="263" t="s"/>
      <c r="G135" s="263" t="s"/>
      <c r="H135" s="263" t="s"/>
      <c r="I135" s="263" t="s"/>
      <c r="J135" s="340" t="s"/>
      <c r="K135" s="340" t="s"/>
      <c r="L135" s="263" t="s"/>
      <c r="M135" s="263" t="s"/>
      <c r="N135" s="263" t="s"/>
      <c r="O135" s="263" t="s"/>
      <c r="P135" s="263" t="s"/>
      <c r="Q135" s="263" t="s"/>
      <c r="R135" s="263" t="s"/>
      <c r="S135" s="263" t="s"/>
      <c r="T135" s="263" t="s"/>
      <c r="U135" s="263" t="s"/>
      <c r="V135" s="263" t="s"/>
      <c r="W135" s="263" t="s"/>
      <c r="X135" s="263" t="s"/>
      <c r="Y135" s="263" t="s"/>
      <c r="Z135" s="263" t="s"/>
      <c r="AA135" s="263" t="s"/>
      <c r="AB135" s="263" t="s"/>
      <c r="AC135" s="263" t="s"/>
      <c r="AD135" s="263" t="s"/>
    </row>
    <row r="136" spans="1:30" customHeight="false">
      <c r="A136" s="263" t="s"/>
      <c r="B136" s="263" t="s"/>
      <c r="C136" s="263" t="s"/>
      <c r="D136" s="263" t="s"/>
      <c r="E136" s="263" t="s"/>
      <c r="F136" s="263" t="s"/>
      <c r="G136" s="263" t="s"/>
      <c r="H136" s="263" t="s"/>
      <c r="I136" s="263" t="s"/>
      <c r="J136" s="340" t="s"/>
      <c r="K136" s="340" t="s"/>
      <c r="L136" s="263" t="s"/>
      <c r="M136" s="263" t="s"/>
      <c r="N136" s="263" t="s"/>
      <c r="O136" s="263" t="s"/>
      <c r="P136" s="263" t="s"/>
      <c r="Q136" s="263" t="s"/>
      <c r="R136" s="263" t="s"/>
      <c r="S136" s="263" t="s"/>
      <c r="T136" s="263" t="s"/>
      <c r="U136" s="263" t="s"/>
      <c r="V136" s="263" t="s"/>
      <c r="W136" s="263" t="s"/>
      <c r="X136" s="263" t="s"/>
      <c r="Y136" s="263" t="s"/>
      <c r="Z136" s="263" t="s"/>
      <c r="AA136" s="263" t="s"/>
      <c r="AB136" s="263" t="s"/>
      <c r="AC136" s="263" t="s"/>
      <c r="AD136" s="263" t="s"/>
    </row>
    <row r="137" spans="1:30" customHeight="false">
      <c r="A137" s="263" t="s"/>
      <c r="B137" s="263" t="s"/>
      <c r="C137" s="263" t="s"/>
      <c r="D137" s="263" t="s"/>
      <c r="E137" s="263" t="s"/>
      <c r="F137" s="263" t="s"/>
      <c r="G137" s="263" t="s"/>
      <c r="H137" s="263" t="s"/>
      <c r="I137" s="263" t="s"/>
      <c r="J137" s="340" t="s"/>
      <c r="K137" s="340" t="s"/>
      <c r="L137" s="263" t="s"/>
      <c r="M137" s="263" t="s"/>
      <c r="N137" s="263" t="s"/>
      <c r="O137" s="263" t="s"/>
      <c r="P137" s="263" t="s"/>
      <c r="Q137" s="263" t="s"/>
      <c r="R137" s="263" t="s"/>
      <c r="S137" s="263" t="s"/>
      <c r="T137" s="263" t="s"/>
      <c r="U137" s="263" t="s"/>
      <c r="V137" s="263" t="s"/>
      <c r="W137" s="263" t="s"/>
      <c r="X137" s="263" t="s"/>
      <c r="Y137" s="263" t="s"/>
      <c r="Z137" s="263" t="s"/>
      <c r="AA137" s="263" t="s"/>
      <c r="AB137" s="263" t="s"/>
      <c r="AC137" s="263" t="s"/>
      <c r="AD137" s="263" t="s"/>
    </row>
    <row r="138" spans="1:30" customHeight="false">
      <c r="A138" s="263" t="s"/>
      <c r="B138" s="263" t="s"/>
      <c r="C138" s="263" t="s"/>
      <c r="D138" s="263" t="s"/>
      <c r="E138" s="263" t="s"/>
      <c r="F138" s="263" t="s"/>
      <c r="G138" s="263" t="s"/>
      <c r="H138" s="263" t="s"/>
      <c r="I138" s="263" t="s"/>
      <c r="J138" s="340" t="s"/>
      <c r="K138" s="340" t="s"/>
      <c r="L138" s="263" t="s"/>
      <c r="M138" s="263" t="s"/>
      <c r="N138" s="263" t="s"/>
      <c r="O138" s="263" t="s"/>
      <c r="P138" s="263" t="s"/>
      <c r="Q138" s="263" t="s"/>
      <c r="R138" s="263" t="s"/>
      <c r="S138" s="263" t="s"/>
      <c r="T138" s="263" t="s"/>
      <c r="U138" s="263" t="s"/>
      <c r="V138" s="263" t="s"/>
      <c r="W138" s="263" t="s"/>
      <c r="X138" s="263" t="s"/>
      <c r="Y138" s="263" t="s"/>
      <c r="Z138" s="263" t="s"/>
      <c r="AA138" s="263" t="s"/>
      <c r="AB138" s="263" t="s"/>
      <c r="AC138" s="263" t="s"/>
      <c r="AD138" s="263" t="s"/>
    </row>
    <row r="139" spans="1:30" customHeight="false">
      <c r="A139" s="263" t="s"/>
      <c r="B139" s="263" t="s"/>
      <c r="C139" s="263" t="s"/>
      <c r="D139" s="263" t="s"/>
      <c r="E139" s="263" t="s"/>
      <c r="F139" s="263" t="s"/>
      <c r="G139" s="263" t="s"/>
      <c r="H139" s="263" t="s"/>
      <c r="I139" s="263" t="s"/>
      <c r="J139" s="340" t="s"/>
      <c r="K139" s="340" t="s"/>
      <c r="L139" s="263" t="s"/>
      <c r="M139" s="263" t="s"/>
      <c r="N139" s="263" t="s"/>
      <c r="O139" s="263" t="s"/>
      <c r="P139" s="263" t="s"/>
      <c r="Q139" s="263" t="s"/>
      <c r="R139" s="263" t="s"/>
      <c r="S139" s="263" t="s"/>
      <c r="T139" s="263" t="s"/>
      <c r="U139" s="263" t="s"/>
      <c r="V139" s="263" t="s"/>
      <c r="W139" s="263" t="s"/>
      <c r="X139" s="263" t="s"/>
      <c r="Y139" s="263" t="s"/>
      <c r="Z139" s="263" t="s"/>
      <c r="AA139" s="263" t="s"/>
      <c r="AB139" s="263" t="s"/>
      <c r="AC139" s="263" t="s"/>
      <c r="AD139" s="263" t="s"/>
    </row>
    <row r="140" spans="1:30" customHeight="false">
      <c r="A140" s="263" t="s"/>
      <c r="B140" s="263" t="s"/>
      <c r="C140" s="263" t="s"/>
      <c r="D140" s="263" t="s"/>
      <c r="E140" s="263" t="s"/>
      <c r="F140" s="263" t="s"/>
      <c r="G140" s="263" t="s"/>
      <c r="H140" s="263" t="s"/>
      <c r="I140" s="263" t="s"/>
      <c r="J140" s="340" t="s"/>
      <c r="K140" s="340" t="s"/>
      <c r="L140" s="263" t="s"/>
      <c r="M140" s="263" t="s"/>
      <c r="N140" s="263" t="s"/>
      <c r="O140" s="263" t="s"/>
      <c r="P140" s="263" t="s"/>
      <c r="Q140" s="263" t="s"/>
      <c r="R140" s="263" t="s"/>
      <c r="S140" s="263" t="s"/>
      <c r="T140" s="263" t="s"/>
      <c r="U140" s="263" t="s"/>
      <c r="V140" s="263" t="s"/>
      <c r="W140" s="263" t="s"/>
      <c r="X140" s="263" t="s"/>
      <c r="Y140" s="263" t="s"/>
      <c r="Z140" s="263" t="s"/>
      <c r="AA140" s="263" t="s"/>
      <c r="AB140" s="263" t="s"/>
      <c r="AC140" s="263" t="s"/>
      <c r="AD140" s="263" t="s"/>
    </row>
    <row r="141" spans="1:30" customHeight="false">
      <c r="A141" s="263" t="s"/>
      <c r="B141" s="263" t="s"/>
      <c r="C141" s="263" t="s"/>
      <c r="D141" s="263" t="s"/>
      <c r="E141" s="263" t="s"/>
      <c r="F141" s="263" t="s"/>
      <c r="G141" s="263" t="s"/>
      <c r="H141" s="263" t="s"/>
      <c r="I141" s="263" t="s"/>
      <c r="J141" s="340" t="s"/>
      <c r="K141" s="340" t="s"/>
      <c r="L141" s="263" t="s"/>
      <c r="M141" s="263" t="s"/>
      <c r="N141" s="263" t="s"/>
      <c r="O141" s="263" t="s"/>
      <c r="P141" s="263" t="s"/>
      <c r="Q141" s="263" t="s"/>
      <c r="R141" s="263" t="s"/>
      <c r="S141" s="263" t="s"/>
      <c r="T141" s="263" t="s"/>
      <c r="U141" s="263" t="s"/>
      <c r="V141" s="263" t="s"/>
      <c r="W141" s="263" t="s"/>
      <c r="X141" s="263" t="s"/>
      <c r="Y141" s="263" t="s"/>
      <c r="Z141" s="263" t="s"/>
      <c r="AA141" s="263" t="s"/>
      <c r="AB141" s="263" t="s"/>
      <c r="AC141" s="263" t="s"/>
      <c r="AD141" s="263" t="s"/>
    </row>
    <row r="142" spans="1:30" customHeight="false">
      <c r="A142" s="263" t="s"/>
      <c r="B142" s="263" t="s"/>
      <c r="C142" s="263" t="s"/>
      <c r="D142" s="263" t="s"/>
      <c r="E142" s="263" t="s"/>
      <c r="F142" s="263" t="s"/>
      <c r="G142" s="263" t="s"/>
      <c r="H142" s="263" t="s"/>
      <c r="I142" s="263" t="s"/>
      <c r="J142" s="340" t="s"/>
      <c r="K142" s="340" t="s"/>
      <c r="L142" s="263" t="s"/>
      <c r="M142" s="263" t="s"/>
      <c r="N142" s="263" t="s"/>
      <c r="O142" s="263" t="s"/>
      <c r="P142" s="263" t="s"/>
      <c r="Q142" s="263" t="s"/>
      <c r="R142" s="263" t="s"/>
      <c r="S142" s="263" t="s"/>
      <c r="T142" s="263" t="s"/>
      <c r="U142" s="263" t="s"/>
      <c r="V142" s="263" t="s"/>
      <c r="W142" s="263" t="s"/>
      <c r="X142" s="263" t="s"/>
      <c r="Y142" s="263" t="s"/>
      <c r="Z142" s="263" t="s"/>
      <c r="AA142" s="263" t="s"/>
      <c r="AB142" s="263" t="s"/>
      <c r="AC142" s="263" t="s"/>
      <c r="AD142" s="263" t="s"/>
    </row>
    <row r="143" spans="1:30" customHeight="false">
      <c r="A143" s="263" t="s"/>
      <c r="B143" s="263" t="s"/>
      <c r="C143" s="263" t="s"/>
      <c r="D143" s="263" t="s"/>
      <c r="E143" s="263" t="s"/>
      <c r="F143" s="263" t="s"/>
      <c r="G143" s="263" t="s"/>
      <c r="H143" s="263" t="s"/>
      <c r="I143" s="263" t="s"/>
      <c r="J143" s="340" t="s"/>
      <c r="K143" s="340" t="s"/>
      <c r="L143" s="263" t="s"/>
      <c r="M143" s="263" t="s"/>
      <c r="N143" s="263" t="s"/>
      <c r="O143" s="263" t="s"/>
      <c r="P143" s="263" t="s"/>
      <c r="Q143" s="263" t="s"/>
      <c r="R143" s="263" t="s"/>
      <c r="S143" s="263" t="s"/>
      <c r="T143" s="263" t="s"/>
      <c r="U143" s="263" t="s"/>
      <c r="V143" s="263" t="s"/>
      <c r="W143" s="263" t="s"/>
      <c r="X143" s="263" t="s"/>
      <c r="Y143" s="263" t="s"/>
      <c r="Z143" s="263" t="s"/>
      <c r="AA143" s="263" t="s"/>
      <c r="AB143" s="263" t="s"/>
      <c r="AC143" s="263" t="s"/>
      <c r="AD143" s="263" t="s"/>
    </row>
    <row r="144" spans="1:30" customHeight="false">
      <c r="A144" s="263" t="s"/>
      <c r="B144" s="263" t="s"/>
      <c r="C144" s="263" t="s"/>
      <c r="D144" s="263" t="s"/>
      <c r="E144" s="263" t="s"/>
      <c r="F144" s="263" t="s"/>
      <c r="G144" s="263" t="s"/>
      <c r="H144" s="263" t="s"/>
      <c r="I144" s="263" t="s"/>
      <c r="J144" s="340" t="s"/>
      <c r="K144" s="340" t="s"/>
      <c r="L144" s="263" t="s"/>
      <c r="M144" s="263" t="s"/>
      <c r="N144" s="263" t="s"/>
      <c r="O144" s="263" t="s"/>
      <c r="P144" s="263" t="s"/>
      <c r="Q144" s="263" t="s"/>
      <c r="R144" s="263" t="s"/>
      <c r="S144" s="263" t="s"/>
      <c r="T144" s="263" t="s"/>
      <c r="U144" s="263" t="s"/>
      <c r="V144" s="263" t="s"/>
      <c r="W144" s="263" t="s"/>
      <c r="X144" s="263" t="s"/>
      <c r="Y144" s="263" t="s"/>
      <c r="Z144" s="263" t="s"/>
      <c r="AA144" s="263" t="s"/>
      <c r="AB144" s="263" t="s"/>
      <c r="AC144" s="263" t="s"/>
      <c r="AD144" s="263" t="s"/>
    </row>
    <row r="145" spans="1:30" customHeight="false">
      <c r="A145" s="263" t="s"/>
      <c r="B145" s="263" t="s"/>
      <c r="C145" s="263" t="s"/>
      <c r="D145" s="263" t="s"/>
      <c r="E145" s="263" t="s"/>
      <c r="F145" s="263" t="s"/>
      <c r="G145" s="263" t="s"/>
      <c r="H145" s="263" t="s"/>
      <c r="I145" s="263" t="s"/>
      <c r="J145" s="340" t="s"/>
      <c r="K145" s="340" t="s"/>
      <c r="L145" s="263" t="s"/>
      <c r="M145" s="263" t="s"/>
      <c r="N145" s="263" t="s"/>
      <c r="O145" s="263" t="s"/>
      <c r="P145" s="263" t="s"/>
      <c r="Q145" s="263" t="s"/>
      <c r="R145" s="263" t="s"/>
      <c r="S145" s="263" t="s"/>
      <c r="T145" s="263" t="s"/>
      <c r="U145" s="263" t="s"/>
      <c r="V145" s="263" t="s"/>
      <c r="W145" s="263" t="s"/>
      <c r="X145" s="263" t="s"/>
      <c r="Y145" s="263" t="s"/>
      <c r="Z145" s="263" t="s"/>
      <c r="AA145" s="263" t="s"/>
      <c r="AB145" s="263" t="s"/>
      <c r="AC145" s="263" t="s"/>
      <c r="AD145" s="263" t="s"/>
    </row>
    <row r="146" spans="1:30" customHeight="false">
      <c r="A146" s="263" t="s"/>
      <c r="B146" s="263" t="s"/>
      <c r="C146" s="263" t="s"/>
      <c r="D146" s="263" t="s"/>
      <c r="E146" s="263" t="s"/>
      <c r="F146" s="263" t="s"/>
      <c r="G146" s="263" t="s"/>
      <c r="H146" s="263" t="s"/>
      <c r="I146" s="263" t="s"/>
      <c r="J146" s="340" t="s"/>
      <c r="K146" s="340" t="s"/>
      <c r="L146" s="263" t="s"/>
      <c r="M146" s="263" t="s"/>
      <c r="N146" s="263" t="s"/>
      <c r="O146" s="263" t="s"/>
      <c r="P146" s="263" t="s"/>
      <c r="Q146" s="263" t="s"/>
      <c r="R146" s="263" t="s"/>
      <c r="S146" s="263" t="s"/>
      <c r="T146" s="263" t="s"/>
      <c r="U146" s="263" t="s"/>
      <c r="V146" s="263" t="s"/>
      <c r="W146" s="263" t="s"/>
      <c r="X146" s="263" t="s"/>
      <c r="Y146" s="263" t="s"/>
      <c r="Z146" s="263" t="s"/>
      <c r="AA146" s="263" t="s"/>
      <c r="AB146" s="263" t="s"/>
      <c r="AC146" s="263" t="s"/>
      <c r="AD146" s="263" t="s"/>
    </row>
    <row r="147" spans="1:30" customHeight="false">
      <c r="A147" s="263" t="s"/>
      <c r="B147" s="263" t="s"/>
      <c r="C147" s="263" t="s"/>
      <c r="D147" s="263" t="s"/>
      <c r="E147" s="263" t="s"/>
      <c r="F147" s="263" t="s"/>
      <c r="G147" s="263" t="s"/>
      <c r="H147" s="263" t="s"/>
      <c r="I147" s="263" t="s"/>
      <c r="J147" s="340" t="s"/>
      <c r="K147" s="340" t="s"/>
      <c r="L147" s="263" t="s"/>
      <c r="M147" s="263" t="s"/>
      <c r="N147" s="263" t="s"/>
      <c r="O147" s="263" t="s"/>
      <c r="P147" s="263" t="s"/>
      <c r="Q147" s="263" t="s"/>
      <c r="R147" s="263" t="s"/>
      <c r="S147" s="263" t="s"/>
      <c r="T147" s="263" t="s"/>
      <c r="U147" s="263" t="s"/>
      <c r="V147" s="263" t="s"/>
      <c r="W147" s="263" t="s"/>
      <c r="X147" s="263" t="s"/>
      <c r="Y147" s="263" t="s"/>
      <c r="Z147" s="263" t="s"/>
      <c r="AA147" s="263" t="s"/>
      <c r="AB147" s="263" t="s"/>
      <c r="AC147" s="263" t="s"/>
      <c r="AD147" s="263" t="s"/>
    </row>
    <row r="148" spans="1:30" customHeight="false">
      <c r="A148" s="263" t="s"/>
      <c r="B148" s="263" t="s"/>
      <c r="C148" s="263" t="s"/>
      <c r="D148" s="263" t="s"/>
      <c r="E148" s="263" t="s"/>
      <c r="F148" s="263" t="s"/>
      <c r="G148" s="263" t="s"/>
      <c r="H148" s="263" t="s"/>
      <c r="I148" s="263" t="s"/>
      <c r="J148" s="340" t="s"/>
      <c r="K148" s="340" t="s"/>
      <c r="L148" s="263" t="s"/>
      <c r="M148" s="263" t="s"/>
      <c r="N148" s="263" t="s"/>
      <c r="O148" s="263" t="s"/>
      <c r="P148" s="263" t="s"/>
      <c r="Q148" s="263" t="s"/>
      <c r="R148" s="263" t="s"/>
      <c r="S148" s="263" t="s"/>
      <c r="T148" s="263" t="s"/>
      <c r="U148" s="263" t="s"/>
      <c r="V148" s="263" t="s"/>
      <c r="W148" s="263" t="s"/>
      <c r="X148" s="263" t="s"/>
      <c r="Y148" s="263" t="s"/>
      <c r="Z148" s="263" t="s"/>
      <c r="AA148" s="263" t="s"/>
      <c r="AB148" s="263" t="s"/>
      <c r="AC148" s="263" t="s"/>
      <c r="AD148" s="263" t="s"/>
    </row>
    <row r="149" spans="1:30" customHeight="false">
      <c r="A149" s="263" t="s"/>
      <c r="B149" s="263" t="s"/>
      <c r="C149" s="263" t="s"/>
      <c r="D149" s="263" t="s"/>
      <c r="E149" s="263" t="s"/>
      <c r="F149" s="263" t="s"/>
      <c r="G149" s="263" t="s"/>
      <c r="H149" s="263" t="s"/>
      <c r="I149" s="263" t="s"/>
      <c r="J149" s="340" t="s"/>
      <c r="K149" s="340" t="s"/>
      <c r="L149" s="263" t="s"/>
      <c r="M149" s="263" t="s"/>
      <c r="N149" s="263" t="s"/>
      <c r="O149" s="263" t="s"/>
      <c r="P149" s="263" t="s"/>
      <c r="Q149" s="263" t="s"/>
      <c r="R149" s="263" t="s"/>
      <c r="S149" s="263" t="s"/>
      <c r="T149" s="263" t="s"/>
      <c r="U149" s="263" t="s"/>
      <c r="V149" s="263" t="s"/>
      <c r="W149" s="263" t="s"/>
      <c r="X149" s="263" t="s"/>
      <c r="Y149" s="263" t="s"/>
      <c r="Z149" s="263" t="s"/>
      <c r="AA149" s="263" t="s"/>
      <c r="AB149" s="263" t="s"/>
      <c r="AC149" s="263" t="s"/>
      <c r="AD149" s="263" t="s"/>
    </row>
    <row r="150" spans="1:30" customHeight="false">
      <c r="A150" s="263" t="s"/>
      <c r="B150" s="263" t="s"/>
      <c r="C150" s="263" t="s"/>
      <c r="D150" s="263" t="s"/>
      <c r="E150" s="263" t="s"/>
      <c r="F150" s="263" t="s"/>
      <c r="G150" s="263" t="s"/>
      <c r="H150" s="263" t="s"/>
      <c r="I150" s="263" t="s"/>
      <c r="J150" s="340" t="s"/>
      <c r="K150" s="340" t="s"/>
      <c r="L150" s="263" t="s"/>
      <c r="M150" s="263" t="s"/>
      <c r="N150" s="263" t="s"/>
      <c r="O150" s="263" t="s"/>
      <c r="P150" s="263" t="s"/>
      <c r="Q150" s="263" t="s"/>
      <c r="R150" s="263" t="s"/>
      <c r="S150" s="263" t="s"/>
      <c r="T150" s="263" t="s"/>
      <c r="U150" s="263" t="s"/>
      <c r="V150" s="263" t="s"/>
      <c r="W150" s="263" t="s"/>
      <c r="X150" s="263" t="s"/>
      <c r="Y150" s="263" t="s"/>
      <c r="Z150" s="263" t="s"/>
      <c r="AA150" s="263" t="s"/>
      <c r="AB150" s="263" t="s"/>
      <c r="AC150" s="263" t="s"/>
      <c r="AD150" s="263" t="s"/>
    </row>
    <row r="151" spans="1:30" customHeight="false">
      <c r="A151" s="263" t="s"/>
      <c r="B151" s="263" t="s"/>
      <c r="C151" s="263" t="s"/>
      <c r="D151" s="263" t="s"/>
      <c r="E151" s="263" t="s"/>
      <c r="F151" s="263" t="s"/>
      <c r="G151" s="263" t="s"/>
      <c r="H151" s="263" t="s"/>
      <c r="I151" s="263" t="s"/>
      <c r="J151" s="340" t="s"/>
      <c r="K151" s="340" t="s"/>
      <c r="L151" s="263" t="s"/>
      <c r="M151" s="263" t="s"/>
      <c r="N151" s="263" t="s"/>
      <c r="O151" s="263" t="s"/>
      <c r="P151" s="263" t="s"/>
      <c r="Q151" s="263" t="s"/>
      <c r="R151" s="263" t="s"/>
      <c r="S151" s="263" t="s"/>
      <c r="T151" s="263" t="s"/>
      <c r="U151" s="263" t="s"/>
      <c r="V151" s="263" t="s"/>
      <c r="W151" s="263" t="s"/>
      <c r="X151" s="263" t="s"/>
      <c r="Y151" s="263" t="s"/>
      <c r="Z151" s="263" t="s"/>
      <c r="AA151" s="263" t="s"/>
      <c r="AB151" s="263" t="s"/>
      <c r="AC151" s="263" t="s"/>
      <c r="AD151" s="263" t="s"/>
    </row>
    <row r="152" spans="1:30" customHeight="false">
      <c r="A152" s="263" t="s"/>
      <c r="B152" s="263" t="s"/>
      <c r="C152" s="263" t="s"/>
      <c r="D152" s="263" t="s"/>
      <c r="E152" s="263" t="s"/>
      <c r="F152" s="263" t="s"/>
      <c r="G152" s="263" t="s"/>
      <c r="H152" s="263" t="s"/>
      <c r="I152" s="263" t="s"/>
      <c r="J152" s="340" t="s"/>
      <c r="K152" s="340" t="s"/>
      <c r="L152" s="263" t="s"/>
      <c r="M152" s="263" t="s"/>
      <c r="N152" s="263" t="s"/>
      <c r="O152" s="263" t="s"/>
      <c r="P152" s="263" t="s"/>
      <c r="Q152" s="263" t="s"/>
      <c r="R152" s="263" t="s"/>
      <c r="S152" s="263" t="s"/>
      <c r="T152" s="263" t="s"/>
      <c r="U152" s="263" t="s"/>
      <c r="V152" s="263" t="s"/>
      <c r="W152" s="263" t="s"/>
      <c r="X152" s="263" t="s"/>
      <c r="Y152" s="263" t="s"/>
      <c r="Z152" s="263" t="s"/>
      <c r="AA152" s="263" t="s"/>
      <c r="AB152" s="263" t="s"/>
      <c r="AC152" s="263" t="s"/>
      <c r="AD152" s="263" t="s"/>
    </row>
    <row r="153" spans="1:30" customHeight="false">
      <c r="A153" s="263" t="s"/>
      <c r="B153" s="263" t="s"/>
      <c r="C153" s="263" t="s"/>
      <c r="D153" s="263" t="s"/>
      <c r="E153" s="263" t="s"/>
      <c r="F153" s="263" t="s"/>
      <c r="G153" s="263" t="s"/>
      <c r="H153" s="263" t="s"/>
      <c r="I153" s="263" t="s"/>
      <c r="J153" s="340" t="s"/>
      <c r="K153" s="340" t="s"/>
      <c r="L153" s="263" t="s"/>
      <c r="M153" s="263" t="s"/>
      <c r="N153" s="263" t="s"/>
      <c r="O153" s="263" t="s"/>
      <c r="P153" s="263" t="s"/>
      <c r="Q153" s="263" t="s"/>
      <c r="R153" s="263" t="s"/>
      <c r="S153" s="263" t="s"/>
      <c r="T153" s="263" t="s"/>
      <c r="U153" s="263" t="s"/>
      <c r="V153" s="263" t="s"/>
      <c r="W153" s="263" t="s"/>
      <c r="X153" s="263" t="s"/>
      <c r="Y153" s="263" t="s"/>
      <c r="Z153" s="263" t="s"/>
      <c r="AA153" s="263" t="s"/>
      <c r="AB153" s="263" t="s"/>
      <c r="AC153" s="263" t="s"/>
      <c r="AD153" s="263" t="s"/>
    </row>
    <row r="154" spans="1:30" customHeight="false">
      <c r="A154" s="263" t="s"/>
      <c r="B154" s="263" t="s"/>
      <c r="C154" s="263" t="s"/>
      <c r="D154" s="263" t="s"/>
      <c r="E154" s="263" t="s"/>
      <c r="F154" s="263" t="s"/>
      <c r="G154" s="263" t="s"/>
      <c r="H154" s="263" t="s"/>
      <c r="I154" s="263" t="s"/>
      <c r="J154" s="340" t="s"/>
      <c r="K154" s="340" t="s"/>
      <c r="L154" s="263" t="s"/>
      <c r="M154" s="263" t="s"/>
      <c r="N154" s="263" t="s"/>
      <c r="O154" s="263" t="s"/>
      <c r="P154" s="263" t="s"/>
      <c r="Q154" s="263" t="s"/>
      <c r="R154" s="263" t="s"/>
      <c r="S154" s="263" t="s"/>
      <c r="T154" s="263" t="s"/>
      <c r="U154" s="263" t="s"/>
      <c r="V154" s="263" t="s"/>
      <c r="W154" s="263" t="s"/>
      <c r="X154" s="263" t="s"/>
      <c r="Y154" s="263" t="s"/>
      <c r="Z154" s="263" t="s"/>
      <c r="AA154" s="263" t="s"/>
      <c r="AB154" s="263" t="s"/>
      <c r="AC154" s="263" t="s"/>
      <c r="AD154" s="263" t="s"/>
    </row>
    <row r="155" spans="1:30" customHeight="false">
      <c r="A155" s="263" t="s"/>
      <c r="B155" s="263" t="s"/>
      <c r="C155" s="263" t="s"/>
      <c r="D155" s="263" t="s"/>
      <c r="E155" s="263" t="s"/>
      <c r="F155" s="263" t="s"/>
      <c r="G155" s="263" t="s"/>
      <c r="H155" s="263" t="s"/>
      <c r="I155" s="263" t="s"/>
      <c r="J155" s="340" t="s"/>
      <c r="K155" s="340" t="s"/>
      <c r="L155" s="263" t="s"/>
      <c r="M155" s="263" t="s"/>
      <c r="N155" s="263" t="s"/>
      <c r="O155" s="263" t="s"/>
      <c r="P155" s="263" t="s"/>
      <c r="Q155" s="263" t="s"/>
      <c r="R155" s="263" t="s"/>
      <c r="S155" s="263" t="s"/>
      <c r="T155" s="263" t="s"/>
      <c r="U155" s="263" t="s"/>
      <c r="V155" s="263" t="s"/>
      <c r="W155" s="263" t="s"/>
      <c r="X155" s="263" t="s"/>
      <c r="Y155" s="263" t="s"/>
      <c r="Z155" s="263" t="s"/>
      <c r="AA155" s="263" t="s"/>
      <c r="AB155" s="263" t="s"/>
      <c r="AC155" s="263" t="s"/>
      <c r="AD155" s="263" t="s"/>
    </row>
    <row r="156" spans="1:30" customHeight="false">
      <c r="A156" s="263" t="s"/>
      <c r="B156" s="263" t="s"/>
      <c r="C156" s="263" t="s"/>
      <c r="D156" s="263" t="s"/>
      <c r="E156" s="263" t="s"/>
      <c r="F156" s="263" t="s"/>
      <c r="G156" s="263" t="s"/>
      <c r="H156" s="263" t="s"/>
      <c r="I156" s="263" t="s"/>
      <c r="J156" s="340" t="s"/>
      <c r="K156" s="340" t="s"/>
      <c r="L156" s="263" t="s"/>
      <c r="M156" s="263" t="s"/>
      <c r="N156" s="263" t="s"/>
      <c r="O156" s="263" t="s"/>
      <c r="P156" s="263" t="s"/>
      <c r="Q156" s="263" t="s"/>
      <c r="R156" s="263" t="s"/>
      <c r="S156" s="263" t="s"/>
      <c r="T156" s="263" t="s"/>
      <c r="U156" s="263" t="s"/>
      <c r="V156" s="263" t="s"/>
      <c r="W156" s="263" t="s"/>
      <c r="X156" s="263" t="s"/>
      <c r="Y156" s="263" t="s"/>
      <c r="Z156" s="263" t="s"/>
      <c r="AA156" s="263" t="s"/>
      <c r="AB156" s="263" t="s"/>
      <c r="AC156" s="263" t="s"/>
      <c r="AD156" s="263" t="s"/>
    </row>
    <row r="157" spans="1:30" customHeight="false">
      <c r="A157" s="263" t="s"/>
      <c r="B157" s="263" t="s"/>
      <c r="C157" s="263" t="s"/>
      <c r="D157" s="263" t="s"/>
      <c r="E157" s="263" t="s"/>
      <c r="F157" s="263" t="s"/>
      <c r="G157" s="263" t="s"/>
      <c r="H157" s="263" t="s"/>
      <c r="I157" s="263" t="s"/>
      <c r="J157" s="340" t="s"/>
      <c r="K157" s="340" t="s"/>
      <c r="L157" s="263" t="s"/>
      <c r="M157" s="263" t="s"/>
      <c r="N157" s="263" t="s"/>
      <c r="O157" s="263" t="s"/>
      <c r="P157" s="263" t="s"/>
      <c r="Q157" s="263" t="s"/>
      <c r="R157" s="263" t="s"/>
      <c r="S157" s="263" t="s"/>
      <c r="T157" s="263" t="s"/>
      <c r="U157" s="263" t="s"/>
      <c r="V157" s="263" t="s"/>
      <c r="W157" s="263" t="s"/>
      <c r="X157" s="263" t="s"/>
      <c r="Y157" s="263" t="s"/>
      <c r="Z157" s="263" t="s"/>
      <c r="AA157" s="263" t="s"/>
      <c r="AB157" s="263" t="s"/>
      <c r="AC157" s="263" t="s"/>
      <c r="AD157" s="263" t="s"/>
    </row>
    <row r="158" spans="1:30" customHeight="false">
      <c r="A158" s="263" t="s"/>
      <c r="B158" s="263" t="s"/>
      <c r="C158" s="263" t="s"/>
      <c r="D158" s="263" t="s"/>
      <c r="E158" s="263" t="s"/>
      <c r="F158" s="263" t="s"/>
      <c r="G158" s="263" t="s"/>
      <c r="H158" s="263" t="s"/>
      <c r="I158" s="263" t="s"/>
      <c r="J158" s="340" t="s"/>
      <c r="K158" s="340" t="s"/>
      <c r="L158" s="263" t="s"/>
      <c r="M158" s="263" t="s"/>
      <c r="N158" s="263" t="s"/>
      <c r="O158" s="263" t="s"/>
      <c r="P158" s="263" t="s"/>
      <c r="Q158" s="263" t="s"/>
      <c r="R158" s="263" t="s"/>
      <c r="S158" s="263" t="s"/>
      <c r="T158" s="263" t="s"/>
      <c r="U158" s="263" t="s"/>
      <c r="V158" s="263" t="s"/>
      <c r="W158" s="263" t="s"/>
      <c r="X158" s="263" t="s"/>
      <c r="Y158" s="263" t="s"/>
      <c r="Z158" s="263" t="s"/>
      <c r="AA158" s="263" t="s"/>
      <c r="AB158" s="263" t="s"/>
      <c r="AC158" s="263" t="s"/>
      <c r="AD158" s="263" t="s"/>
    </row>
    <row r="159" spans="1:30" customHeight="false">
      <c r="A159" s="263" t="s"/>
      <c r="B159" s="263" t="s"/>
      <c r="C159" s="263" t="s"/>
      <c r="D159" s="263" t="s"/>
      <c r="E159" s="263" t="s"/>
      <c r="F159" s="263" t="s"/>
      <c r="G159" s="263" t="s"/>
      <c r="H159" s="263" t="s"/>
      <c r="I159" s="263" t="s"/>
      <c r="J159" s="340" t="s"/>
      <c r="K159" s="340" t="s"/>
      <c r="L159" s="263" t="s"/>
      <c r="M159" s="263" t="s"/>
      <c r="N159" s="263" t="s"/>
      <c r="O159" s="263" t="s"/>
      <c r="P159" s="263" t="s"/>
      <c r="Q159" s="263" t="s"/>
      <c r="R159" s="263" t="s"/>
      <c r="S159" s="263" t="s"/>
      <c r="T159" s="263" t="s"/>
      <c r="U159" s="263" t="s"/>
      <c r="V159" s="263" t="s"/>
      <c r="W159" s="263" t="s"/>
      <c r="X159" s="263" t="s"/>
      <c r="Y159" s="263" t="s"/>
      <c r="Z159" s="263" t="s"/>
      <c r="AA159" s="263" t="s"/>
      <c r="AB159" s="263" t="s"/>
      <c r="AC159" s="263" t="s"/>
      <c r="AD159" s="263" t="s"/>
    </row>
    <row r="160" spans="1:30" customHeight="false">
      <c r="A160" s="263" t="s"/>
      <c r="B160" s="263" t="s"/>
      <c r="C160" s="263" t="s"/>
      <c r="D160" s="263" t="s"/>
      <c r="E160" s="263" t="s"/>
      <c r="F160" s="263" t="s"/>
      <c r="G160" s="263" t="s"/>
      <c r="H160" s="263" t="s"/>
      <c r="I160" s="263" t="s"/>
      <c r="J160" s="340" t="s"/>
      <c r="K160" s="340" t="s"/>
      <c r="L160" s="263" t="s"/>
      <c r="M160" s="263" t="s"/>
      <c r="N160" s="263" t="s"/>
      <c r="O160" s="263" t="s"/>
      <c r="P160" s="263" t="s"/>
      <c r="Q160" s="263" t="s"/>
      <c r="R160" s="263" t="s"/>
      <c r="S160" s="263" t="s"/>
      <c r="T160" s="263" t="s"/>
      <c r="U160" s="263" t="s"/>
      <c r="V160" s="263" t="s"/>
      <c r="W160" s="263" t="s"/>
      <c r="X160" s="263" t="s"/>
      <c r="Y160" s="263" t="s"/>
      <c r="Z160" s="263" t="s"/>
      <c r="AA160" s="263" t="s"/>
      <c r="AB160" s="263" t="s"/>
      <c r="AC160" s="263" t="s"/>
      <c r="AD160" s="263" t="s"/>
    </row>
    <row r="161" spans="1:30" customHeight="false">
      <c r="A161" s="263" t="s"/>
      <c r="B161" s="263" t="s"/>
      <c r="C161" s="263" t="s"/>
      <c r="D161" s="263" t="s"/>
      <c r="E161" s="263" t="s"/>
      <c r="F161" s="263" t="s"/>
      <c r="G161" s="263" t="s"/>
      <c r="H161" s="263" t="s"/>
      <c r="I161" s="263" t="s"/>
      <c r="J161" s="340" t="s"/>
      <c r="K161" s="340" t="s"/>
      <c r="L161" s="263" t="s"/>
      <c r="M161" s="263" t="s"/>
      <c r="N161" s="263" t="s"/>
      <c r="O161" s="263" t="s"/>
      <c r="P161" s="263" t="s"/>
      <c r="Q161" s="263" t="s"/>
      <c r="R161" s="263" t="s"/>
      <c r="S161" s="263" t="s"/>
      <c r="T161" s="263" t="s"/>
      <c r="U161" s="263" t="s"/>
      <c r="V161" s="263" t="s"/>
      <c r="W161" s="263" t="s"/>
      <c r="X161" s="263" t="s"/>
      <c r="Y161" s="263" t="s"/>
      <c r="Z161" s="263" t="s"/>
      <c r="AA161" s="263" t="s"/>
      <c r="AB161" s="263" t="s"/>
      <c r="AC161" s="263" t="s"/>
      <c r="AD161" s="263" t="s"/>
    </row>
    <row r="162" spans="1:30" customHeight="false">
      <c r="A162" s="263" t="s"/>
      <c r="B162" s="263" t="s"/>
      <c r="C162" s="263" t="s"/>
      <c r="D162" s="263" t="s"/>
      <c r="E162" s="263" t="s"/>
      <c r="F162" s="263" t="s"/>
      <c r="G162" s="263" t="s"/>
      <c r="H162" s="263" t="s"/>
      <c r="I162" s="263" t="s"/>
      <c r="J162" s="340" t="s"/>
      <c r="K162" s="340" t="s"/>
      <c r="L162" s="263" t="s"/>
      <c r="M162" s="263" t="s"/>
      <c r="N162" s="263" t="s"/>
      <c r="O162" s="263" t="s"/>
      <c r="P162" s="263" t="s"/>
      <c r="Q162" s="263" t="s"/>
      <c r="R162" s="263" t="s"/>
      <c r="S162" s="263" t="s"/>
      <c r="T162" s="263" t="s"/>
      <c r="U162" s="263" t="s"/>
      <c r="V162" s="263" t="s"/>
      <c r="W162" s="263" t="s"/>
      <c r="X162" s="263" t="s"/>
      <c r="Y162" s="263" t="s"/>
      <c r="Z162" s="263" t="s"/>
      <c r="AA162" s="263" t="s"/>
      <c r="AB162" s="263" t="s"/>
      <c r="AC162" s="263" t="s"/>
      <c r="AD162" s="263" t="s"/>
    </row>
    <row r="163" spans="1:30" customHeight="false">
      <c r="A163" s="263" t="s"/>
      <c r="B163" s="263" t="s"/>
      <c r="C163" s="263" t="s"/>
      <c r="D163" s="263" t="s"/>
      <c r="E163" s="263" t="s"/>
      <c r="F163" s="263" t="s"/>
      <c r="G163" s="263" t="s"/>
      <c r="H163" s="263" t="s"/>
      <c r="I163" s="263" t="s"/>
      <c r="J163" s="340" t="s"/>
      <c r="K163" s="340" t="s"/>
      <c r="L163" s="263" t="s"/>
      <c r="M163" s="263" t="s"/>
      <c r="N163" s="263" t="s"/>
      <c r="O163" s="263" t="s"/>
      <c r="P163" s="263" t="s"/>
      <c r="Q163" s="263" t="s"/>
      <c r="R163" s="263" t="s"/>
      <c r="S163" s="263" t="s"/>
      <c r="T163" s="263" t="s"/>
      <c r="U163" s="263" t="s"/>
      <c r="V163" s="263" t="s"/>
      <c r="W163" s="263" t="s"/>
      <c r="X163" s="263" t="s"/>
      <c r="Y163" s="263" t="s"/>
      <c r="Z163" s="263" t="s"/>
      <c r="AA163" s="263" t="s"/>
      <c r="AB163" s="263" t="s"/>
      <c r="AC163" s="263" t="s"/>
      <c r="AD163" s="263" t="s"/>
    </row>
    <row r="164" spans="1:30" customHeight="false">
      <c r="A164" s="263" t="s"/>
      <c r="B164" s="263" t="s"/>
      <c r="C164" s="263" t="s"/>
      <c r="D164" s="263" t="s"/>
      <c r="E164" s="263" t="s"/>
      <c r="F164" s="263" t="s"/>
      <c r="G164" s="263" t="s"/>
      <c r="H164" s="263" t="s"/>
      <c r="I164" s="263" t="s"/>
      <c r="J164" s="340" t="s"/>
      <c r="K164" s="340" t="s"/>
      <c r="L164" s="263" t="s"/>
      <c r="M164" s="263" t="s"/>
      <c r="N164" s="263" t="s"/>
      <c r="O164" s="263" t="s"/>
      <c r="P164" s="263" t="s"/>
      <c r="Q164" s="263" t="s"/>
      <c r="R164" s="263" t="s"/>
      <c r="S164" s="263" t="s"/>
      <c r="T164" s="263" t="s"/>
      <c r="U164" s="263" t="s"/>
      <c r="V164" s="263" t="s"/>
      <c r="W164" s="263" t="s"/>
      <c r="X164" s="263" t="s"/>
      <c r="Y164" s="263" t="s"/>
      <c r="Z164" s="263" t="s"/>
      <c r="AA164" s="263" t="s"/>
      <c r="AB164" s="263" t="s"/>
      <c r="AC164" s="263" t="s"/>
      <c r="AD164" s="263" t="s"/>
    </row>
    <row r="165" spans="1:30" customHeight="false">
      <c r="A165" s="263" t="s"/>
      <c r="B165" s="263" t="s"/>
      <c r="C165" s="263" t="s"/>
      <c r="D165" s="263" t="s"/>
      <c r="E165" s="263" t="s"/>
      <c r="F165" s="263" t="s"/>
      <c r="G165" s="263" t="s"/>
      <c r="H165" s="263" t="s"/>
      <c r="I165" s="263" t="s"/>
      <c r="J165" s="340" t="s"/>
      <c r="K165" s="340" t="s"/>
      <c r="L165" s="263" t="s"/>
      <c r="M165" s="263" t="s"/>
      <c r="N165" s="263" t="s"/>
      <c r="O165" s="263" t="s"/>
      <c r="P165" s="263" t="s"/>
      <c r="Q165" s="263" t="s"/>
      <c r="R165" s="263" t="s"/>
      <c r="S165" s="263" t="s"/>
      <c r="T165" s="263" t="s"/>
      <c r="U165" s="263" t="s"/>
      <c r="V165" s="263" t="s"/>
      <c r="W165" s="263" t="s"/>
      <c r="X165" s="263" t="s"/>
      <c r="Y165" s="263" t="s"/>
      <c r="Z165" s="263" t="s"/>
      <c r="AA165" s="263" t="s"/>
      <c r="AB165" s="263" t="s"/>
      <c r="AC165" s="263" t="s"/>
      <c r="AD165" s="263" t="s"/>
    </row>
    <row r="166" spans="1:30" customHeight="false">
      <c r="A166" s="263" t="s"/>
      <c r="B166" s="263" t="s"/>
      <c r="C166" s="263" t="s"/>
      <c r="D166" s="263" t="s"/>
      <c r="E166" s="263" t="s"/>
      <c r="F166" s="263" t="s"/>
      <c r="G166" s="263" t="s"/>
      <c r="H166" s="263" t="s"/>
      <c r="I166" s="263" t="s"/>
      <c r="J166" s="340" t="s"/>
      <c r="K166" s="340" t="s"/>
      <c r="L166" s="263" t="s"/>
      <c r="M166" s="263" t="s"/>
      <c r="N166" s="263" t="s"/>
      <c r="O166" s="263" t="s"/>
      <c r="P166" s="263" t="s"/>
      <c r="Q166" s="263" t="s"/>
      <c r="R166" s="263" t="s"/>
      <c r="S166" s="263" t="s"/>
      <c r="T166" s="263" t="s"/>
      <c r="U166" s="263" t="s"/>
      <c r="V166" s="263" t="s"/>
      <c r="W166" s="263" t="s"/>
      <c r="X166" s="263" t="s"/>
      <c r="Y166" s="263" t="s"/>
      <c r="Z166" s="263" t="s"/>
      <c r="AA166" s="263" t="s"/>
      <c r="AB166" s="263" t="s"/>
      <c r="AC166" s="263" t="s"/>
      <c r="AD166" s="263" t="s"/>
    </row>
    <row r="167" spans="1:30" customHeight="false">
      <c r="A167" s="263" t="s"/>
      <c r="B167" s="263" t="s"/>
      <c r="C167" s="263" t="s"/>
      <c r="D167" s="263" t="s"/>
      <c r="E167" s="263" t="s"/>
      <c r="F167" s="263" t="s"/>
      <c r="G167" s="263" t="s"/>
      <c r="H167" s="263" t="s"/>
      <c r="I167" s="263" t="s"/>
      <c r="J167" s="340" t="s"/>
      <c r="K167" s="340" t="s"/>
      <c r="L167" s="263" t="s"/>
      <c r="M167" s="263" t="s"/>
      <c r="N167" s="263" t="s"/>
      <c r="O167" s="263" t="s"/>
      <c r="P167" s="263" t="s"/>
      <c r="Q167" s="263" t="s"/>
      <c r="R167" s="263" t="s"/>
      <c r="S167" s="263" t="s"/>
      <c r="T167" s="263" t="s"/>
      <c r="U167" s="263" t="s"/>
      <c r="V167" s="263" t="s"/>
      <c r="W167" s="263" t="s"/>
      <c r="X167" s="263" t="s"/>
      <c r="Y167" s="263" t="s"/>
      <c r="Z167" s="263" t="s"/>
      <c r="AA167" s="263" t="s"/>
      <c r="AB167" s="263" t="s"/>
      <c r="AC167" s="263" t="s"/>
      <c r="AD167" s="263" t="s"/>
    </row>
    <row r="168" spans="1:30" customHeight="false">
      <c r="A168" s="263" t="s"/>
      <c r="B168" s="263" t="s"/>
      <c r="C168" s="263" t="s"/>
      <c r="D168" s="263" t="s"/>
      <c r="E168" s="263" t="s"/>
      <c r="F168" s="263" t="s"/>
      <c r="G168" s="263" t="s"/>
      <c r="H168" s="263" t="s"/>
      <c r="I168" s="263" t="s"/>
      <c r="J168" s="340" t="s"/>
      <c r="K168" s="340" t="s"/>
      <c r="L168" s="263" t="s"/>
      <c r="M168" s="263" t="s"/>
      <c r="N168" s="263" t="s"/>
      <c r="O168" s="263" t="s"/>
      <c r="P168" s="263" t="s"/>
      <c r="Q168" s="263" t="s"/>
      <c r="R168" s="263" t="s"/>
      <c r="S168" s="263" t="s"/>
      <c r="T168" s="263" t="s"/>
      <c r="U168" s="263" t="s"/>
      <c r="V168" s="263" t="s"/>
      <c r="W168" s="263" t="s"/>
      <c r="X168" s="263" t="s"/>
      <c r="Y168" s="263" t="s"/>
      <c r="Z168" s="263" t="s"/>
      <c r="AA168" s="263" t="s"/>
      <c r="AB168" s="263" t="s"/>
      <c r="AC168" s="263" t="s"/>
      <c r="AD168" s="263" t="s"/>
    </row>
    <row r="169" spans="1:30" customHeight="false">
      <c r="A169" s="263" t="s"/>
      <c r="B169" s="263" t="s"/>
      <c r="C169" s="263" t="s"/>
      <c r="D169" s="263" t="s"/>
      <c r="E169" s="263" t="s"/>
      <c r="F169" s="263" t="s"/>
      <c r="G169" s="263" t="s"/>
      <c r="H169" s="263" t="s"/>
      <c r="I169" s="263" t="s"/>
      <c r="J169" s="340" t="s"/>
      <c r="K169" s="340" t="s"/>
      <c r="L169" s="263" t="s"/>
      <c r="M169" s="263" t="s"/>
      <c r="N169" s="263" t="s"/>
      <c r="O169" s="263" t="s"/>
      <c r="P169" s="263" t="s"/>
      <c r="Q169" s="263" t="s"/>
      <c r="R169" s="263" t="s"/>
      <c r="S169" s="263" t="s"/>
      <c r="T169" s="263" t="s"/>
      <c r="U169" s="263" t="s"/>
      <c r="V169" s="263" t="s"/>
      <c r="W169" s="263" t="s"/>
      <c r="X169" s="263" t="s"/>
      <c r="Y169" s="263" t="s"/>
      <c r="Z169" s="263" t="s"/>
      <c r="AA169" s="263" t="s"/>
      <c r="AB169" s="263" t="s"/>
      <c r="AC169" s="263" t="s"/>
      <c r="AD169" s="263" t="s"/>
    </row>
    <row r="170" spans="1:30" customHeight="false">
      <c r="A170" s="263" t="s"/>
      <c r="B170" s="263" t="s"/>
      <c r="C170" s="263" t="s"/>
      <c r="D170" s="263" t="s"/>
      <c r="E170" s="263" t="s"/>
      <c r="F170" s="263" t="s"/>
      <c r="G170" s="263" t="s"/>
      <c r="H170" s="263" t="s"/>
      <c r="I170" s="263" t="s"/>
      <c r="J170" s="340" t="s"/>
      <c r="K170" s="340" t="s"/>
      <c r="L170" s="263" t="s"/>
      <c r="M170" s="263" t="s"/>
      <c r="N170" s="263" t="s"/>
      <c r="O170" s="263" t="s"/>
      <c r="P170" s="263" t="s"/>
      <c r="Q170" s="263" t="s"/>
      <c r="R170" s="263" t="s"/>
      <c r="S170" s="263" t="s"/>
      <c r="T170" s="263" t="s"/>
      <c r="U170" s="263" t="s"/>
      <c r="V170" s="263" t="s"/>
      <c r="W170" s="263" t="s"/>
      <c r="X170" s="263" t="s"/>
      <c r="Y170" s="263" t="s"/>
      <c r="Z170" s="263" t="s"/>
      <c r="AA170" s="263" t="s"/>
      <c r="AB170" s="263" t="s"/>
      <c r="AC170" s="263" t="s"/>
      <c r="AD170" s="263" t="s"/>
    </row>
    <row r="171" spans="1:30" customHeight="false">
      <c r="A171" s="263" t="s"/>
      <c r="B171" s="263" t="s"/>
      <c r="C171" s="263" t="s"/>
      <c r="D171" s="263" t="s"/>
      <c r="E171" s="263" t="s"/>
      <c r="F171" s="263" t="s"/>
      <c r="G171" s="263" t="s"/>
      <c r="H171" s="263" t="s"/>
      <c r="I171" s="263" t="s"/>
      <c r="J171" s="340" t="s"/>
      <c r="K171" s="340" t="s"/>
      <c r="L171" s="263" t="s"/>
      <c r="M171" s="263" t="s"/>
      <c r="N171" s="263" t="s"/>
      <c r="O171" s="263" t="s"/>
      <c r="P171" s="263" t="s"/>
      <c r="Q171" s="263" t="s"/>
      <c r="R171" s="263" t="s"/>
      <c r="S171" s="263" t="s"/>
      <c r="T171" s="263" t="s"/>
      <c r="U171" s="263" t="s"/>
      <c r="V171" s="263" t="s"/>
      <c r="W171" s="263" t="s"/>
      <c r="X171" s="263" t="s"/>
      <c r="Y171" s="263" t="s"/>
      <c r="Z171" s="263" t="s"/>
      <c r="AA171" s="263" t="s"/>
      <c r="AB171" s="263" t="s"/>
      <c r="AC171" s="263" t="s"/>
      <c r="AD171" s="263" t="s"/>
    </row>
    <row r="172" spans="1:30" customHeight="false">
      <c r="A172" s="263" t="s"/>
      <c r="B172" s="263" t="s"/>
      <c r="C172" s="263" t="s"/>
      <c r="D172" s="263" t="s"/>
      <c r="E172" s="263" t="s"/>
      <c r="F172" s="263" t="s"/>
      <c r="G172" s="263" t="s"/>
      <c r="H172" s="263" t="s"/>
      <c r="I172" s="263" t="s"/>
      <c r="J172" s="340" t="s"/>
      <c r="K172" s="340" t="s"/>
      <c r="L172" s="263" t="s"/>
      <c r="M172" s="263" t="s"/>
      <c r="N172" s="263" t="s"/>
      <c r="O172" s="263" t="s"/>
      <c r="P172" s="263" t="s"/>
      <c r="Q172" s="263" t="s"/>
      <c r="R172" s="263" t="s"/>
      <c r="S172" s="263" t="s"/>
      <c r="T172" s="263" t="s"/>
      <c r="U172" s="263" t="s"/>
      <c r="V172" s="263" t="s"/>
      <c r="W172" s="263" t="s"/>
      <c r="X172" s="263" t="s"/>
      <c r="Y172" s="263" t="s"/>
      <c r="Z172" s="263" t="s"/>
      <c r="AA172" s="263" t="s"/>
      <c r="AB172" s="263" t="s"/>
      <c r="AC172" s="263" t="s"/>
      <c r="AD172" s="263" t="s"/>
    </row>
    <row r="173" spans="1:30" customHeight="false">
      <c r="A173" s="263" t="s"/>
      <c r="B173" s="263" t="s"/>
      <c r="C173" s="263" t="s"/>
      <c r="D173" s="263" t="s"/>
      <c r="E173" s="263" t="s"/>
      <c r="F173" s="263" t="s"/>
      <c r="G173" s="263" t="s"/>
      <c r="H173" s="263" t="s"/>
      <c r="I173" s="263" t="s"/>
      <c r="J173" s="340" t="s"/>
      <c r="K173" s="340" t="s"/>
      <c r="L173" s="263" t="s"/>
      <c r="M173" s="263" t="s"/>
      <c r="N173" s="263" t="s"/>
      <c r="O173" s="263" t="s"/>
      <c r="P173" s="263" t="s"/>
      <c r="Q173" s="263" t="s"/>
      <c r="R173" s="263" t="s"/>
      <c r="S173" s="263" t="s"/>
      <c r="T173" s="263" t="s"/>
      <c r="U173" s="263" t="s"/>
      <c r="V173" s="263" t="s"/>
      <c r="W173" s="263" t="s"/>
      <c r="X173" s="263" t="s"/>
      <c r="Y173" s="263" t="s"/>
      <c r="Z173" s="263" t="s"/>
      <c r="AA173" s="263" t="s"/>
      <c r="AB173" s="263" t="s"/>
      <c r="AC173" s="263" t="s"/>
      <c r="AD173" s="263" t="s"/>
    </row>
    <row r="174" spans="1:30" customHeight="false">
      <c r="A174" s="263" t="s"/>
      <c r="B174" s="263" t="s"/>
      <c r="C174" s="263" t="s"/>
      <c r="D174" s="263" t="s"/>
      <c r="E174" s="263" t="s"/>
      <c r="F174" s="263" t="s"/>
      <c r="G174" s="263" t="s"/>
      <c r="H174" s="263" t="s"/>
      <c r="I174" s="263" t="s"/>
      <c r="J174" s="340" t="s"/>
      <c r="K174" s="340" t="s"/>
      <c r="L174" s="263" t="s"/>
      <c r="M174" s="263" t="s"/>
      <c r="N174" s="263" t="s"/>
      <c r="O174" s="263" t="s"/>
      <c r="P174" s="263" t="s"/>
      <c r="Q174" s="263" t="s"/>
      <c r="R174" s="263" t="s"/>
      <c r="S174" s="263" t="s"/>
      <c r="T174" s="263" t="s"/>
      <c r="U174" s="263" t="s"/>
      <c r="V174" s="263" t="s"/>
      <c r="W174" s="263" t="s"/>
      <c r="X174" s="263" t="s"/>
      <c r="Y174" s="263" t="s"/>
      <c r="Z174" s="263" t="s"/>
      <c r="AA174" s="263" t="s"/>
      <c r="AB174" s="263" t="s"/>
      <c r="AC174" s="263" t="s"/>
      <c r="AD174" s="263" t="s"/>
    </row>
    <row r="175" spans="1:30" customHeight="false">
      <c r="A175" s="263" t="s"/>
      <c r="B175" s="263" t="s"/>
      <c r="C175" s="263" t="s"/>
      <c r="D175" s="263" t="s"/>
      <c r="E175" s="263" t="s"/>
      <c r="F175" s="263" t="s"/>
      <c r="G175" s="263" t="s"/>
      <c r="H175" s="263" t="s"/>
      <c r="I175" s="263" t="s"/>
      <c r="J175" s="340" t="s"/>
      <c r="K175" s="340" t="s"/>
      <c r="L175" s="263" t="s"/>
      <c r="M175" s="263" t="s"/>
      <c r="N175" s="263" t="s"/>
      <c r="O175" s="263" t="s"/>
      <c r="P175" s="263" t="s"/>
      <c r="Q175" s="263" t="s"/>
      <c r="R175" s="263" t="s"/>
      <c r="S175" s="263" t="s"/>
      <c r="T175" s="263" t="s"/>
      <c r="U175" s="263" t="s"/>
      <c r="V175" s="263" t="s"/>
      <c r="W175" s="263" t="s"/>
      <c r="X175" s="263" t="s"/>
      <c r="Y175" s="263" t="s"/>
      <c r="Z175" s="263" t="s"/>
      <c r="AA175" s="263" t="s"/>
      <c r="AB175" s="263" t="s"/>
      <c r="AC175" s="263" t="s"/>
      <c r="AD175" s="263" t="s"/>
    </row>
    <row r="176" spans="1:30" customHeight="false">
      <c r="A176" s="263" t="s"/>
      <c r="B176" s="263" t="s"/>
      <c r="C176" s="263" t="s"/>
      <c r="D176" s="263" t="s"/>
      <c r="E176" s="263" t="s"/>
      <c r="F176" s="263" t="s"/>
      <c r="G176" s="263" t="s"/>
      <c r="H176" s="263" t="s"/>
      <c r="I176" s="263" t="s"/>
      <c r="J176" s="340" t="s"/>
      <c r="K176" s="340" t="s"/>
      <c r="L176" s="263" t="s"/>
      <c r="M176" s="263" t="s"/>
      <c r="N176" s="263" t="s"/>
      <c r="O176" s="263" t="s"/>
      <c r="P176" s="263" t="s"/>
      <c r="Q176" s="263" t="s"/>
      <c r="R176" s="263" t="s"/>
      <c r="S176" s="263" t="s"/>
      <c r="T176" s="263" t="s"/>
      <c r="U176" s="263" t="s"/>
      <c r="V176" s="263" t="s"/>
      <c r="W176" s="263" t="s"/>
      <c r="X176" s="263" t="s"/>
      <c r="Y176" s="263" t="s"/>
      <c r="Z176" s="263" t="s"/>
      <c r="AA176" s="263" t="s"/>
      <c r="AB176" s="263" t="s"/>
      <c r="AC176" s="263" t="s"/>
      <c r="AD176" s="263" t="s"/>
    </row>
    <row r="177" spans="1:30" customHeight="false">
      <c r="A177" s="263" t="s"/>
      <c r="B177" s="263" t="s"/>
      <c r="C177" s="263" t="s"/>
      <c r="D177" s="263" t="s"/>
      <c r="E177" s="263" t="s"/>
      <c r="F177" s="263" t="s"/>
      <c r="G177" s="263" t="s"/>
      <c r="H177" s="263" t="s"/>
      <c r="I177" s="263" t="s"/>
      <c r="J177" s="340" t="s"/>
      <c r="K177" s="340" t="s"/>
      <c r="L177" s="263" t="s"/>
      <c r="M177" s="263" t="s"/>
      <c r="N177" s="263" t="s"/>
      <c r="O177" s="263" t="s"/>
      <c r="P177" s="263" t="s"/>
      <c r="Q177" s="263" t="s"/>
      <c r="R177" s="263" t="s"/>
      <c r="S177" s="263" t="s"/>
      <c r="T177" s="263" t="s"/>
      <c r="U177" s="263" t="s"/>
      <c r="V177" s="263" t="s"/>
      <c r="W177" s="263" t="s"/>
      <c r="X177" s="263" t="s"/>
      <c r="Y177" s="263" t="s"/>
      <c r="Z177" s="263" t="s"/>
      <c r="AA177" s="263" t="s"/>
      <c r="AB177" s="263" t="s"/>
      <c r="AC177" s="263" t="s"/>
      <c r="AD177" s="263" t="s"/>
    </row>
    <row r="178" spans="1:30" customHeight="false">
      <c r="A178" s="263" t="s"/>
      <c r="B178" s="263" t="s"/>
      <c r="C178" s="263" t="s"/>
      <c r="D178" s="263" t="s"/>
      <c r="E178" s="263" t="s"/>
      <c r="F178" s="263" t="s"/>
      <c r="G178" s="263" t="s"/>
      <c r="H178" s="263" t="s"/>
      <c r="I178" s="263" t="s"/>
      <c r="J178" s="340" t="s"/>
      <c r="K178" s="340" t="s"/>
      <c r="L178" s="263" t="s"/>
      <c r="M178" s="263" t="s"/>
      <c r="N178" s="263" t="s"/>
      <c r="O178" s="263" t="s"/>
      <c r="P178" s="263" t="s"/>
      <c r="Q178" s="263" t="s"/>
      <c r="R178" s="263" t="s"/>
      <c r="S178" s="263" t="s"/>
      <c r="T178" s="263" t="s"/>
      <c r="U178" s="263" t="s"/>
      <c r="V178" s="263" t="s"/>
      <c r="W178" s="263" t="s"/>
      <c r="X178" s="263" t="s"/>
      <c r="Y178" s="263" t="s"/>
      <c r="Z178" s="263" t="s"/>
      <c r="AA178" s="263" t="s"/>
      <c r="AB178" s="263" t="s"/>
      <c r="AC178" s="263" t="s"/>
      <c r="AD178" s="263" t="s"/>
    </row>
    <row r="179" spans="1:30" customHeight="false">
      <c r="A179" s="263" t="s"/>
      <c r="B179" s="263" t="s"/>
      <c r="C179" s="263" t="s"/>
      <c r="D179" s="263" t="s"/>
      <c r="E179" s="263" t="s"/>
      <c r="F179" s="263" t="s"/>
      <c r="G179" s="263" t="s"/>
      <c r="H179" s="263" t="s"/>
      <c r="I179" s="263" t="s"/>
      <c r="J179" s="340" t="s"/>
      <c r="K179" s="340" t="s"/>
      <c r="L179" s="263" t="s"/>
      <c r="M179" s="263" t="s"/>
      <c r="N179" s="263" t="s"/>
      <c r="O179" s="263" t="s"/>
      <c r="P179" s="263" t="s"/>
      <c r="Q179" s="263" t="s"/>
      <c r="R179" s="263" t="s"/>
      <c r="S179" s="263" t="s"/>
      <c r="T179" s="263" t="s"/>
      <c r="U179" s="263" t="s"/>
      <c r="V179" s="263" t="s"/>
      <c r="W179" s="263" t="s"/>
      <c r="X179" s="263" t="s"/>
      <c r="Y179" s="263" t="s"/>
      <c r="Z179" s="263" t="s"/>
      <c r="AA179" s="263" t="s"/>
      <c r="AB179" s="263" t="s"/>
      <c r="AC179" s="263" t="s"/>
      <c r="AD179" s="263" t="s"/>
    </row>
    <row r="180" spans="1:30" customHeight="false">
      <c r="A180" s="263" t="s"/>
      <c r="B180" s="263" t="s"/>
      <c r="C180" s="263" t="s"/>
      <c r="D180" s="263" t="s"/>
      <c r="E180" s="263" t="s"/>
      <c r="F180" s="263" t="s"/>
      <c r="G180" s="263" t="s"/>
      <c r="H180" s="263" t="s"/>
      <c r="I180" s="263" t="s"/>
      <c r="J180" s="340" t="s"/>
      <c r="K180" s="340" t="s"/>
      <c r="L180" s="263" t="s"/>
      <c r="M180" s="263" t="s"/>
      <c r="N180" s="263" t="s"/>
      <c r="O180" s="263" t="s"/>
      <c r="P180" s="263" t="s"/>
      <c r="Q180" s="263" t="s"/>
      <c r="R180" s="263" t="s"/>
      <c r="S180" s="263" t="s"/>
      <c r="T180" s="263" t="s"/>
      <c r="U180" s="263" t="s"/>
      <c r="V180" s="263" t="s"/>
      <c r="W180" s="263" t="s"/>
      <c r="X180" s="263" t="s"/>
      <c r="Y180" s="263" t="s"/>
      <c r="Z180" s="263" t="s"/>
      <c r="AA180" s="263" t="s"/>
      <c r="AB180" s="263" t="s"/>
      <c r="AC180" s="263" t="s"/>
      <c r="AD180" s="263" t="s"/>
    </row>
    <row r="181" spans="1:30" customHeight="false">
      <c r="A181" s="263" t="s"/>
      <c r="B181" s="263" t="s"/>
      <c r="C181" s="263" t="s"/>
      <c r="D181" s="263" t="s"/>
      <c r="E181" s="263" t="s"/>
      <c r="F181" s="263" t="s"/>
      <c r="G181" s="263" t="s"/>
      <c r="H181" s="263" t="s"/>
      <c r="I181" s="263" t="s"/>
      <c r="J181" s="340" t="s"/>
      <c r="K181" s="340" t="s"/>
      <c r="L181" s="263" t="s"/>
      <c r="M181" s="263" t="s"/>
      <c r="N181" s="263" t="s"/>
      <c r="O181" s="263" t="s"/>
      <c r="P181" s="263" t="s"/>
      <c r="Q181" s="263" t="s"/>
      <c r="R181" s="263" t="s"/>
      <c r="S181" s="263" t="s"/>
      <c r="T181" s="263" t="s"/>
      <c r="U181" s="263" t="s"/>
      <c r="V181" s="263" t="s"/>
      <c r="W181" s="263" t="s"/>
      <c r="X181" s="263" t="s"/>
      <c r="Y181" s="263" t="s"/>
      <c r="Z181" s="263" t="s"/>
      <c r="AA181" s="263" t="s"/>
      <c r="AB181" s="263" t="s"/>
      <c r="AC181" s="263" t="s"/>
      <c r="AD181" s="263" t="s"/>
    </row>
    <row r="182" spans="1:30" customHeight="false">
      <c r="A182" s="263" t="s"/>
      <c r="B182" s="263" t="s"/>
      <c r="C182" s="263" t="s"/>
      <c r="D182" s="263" t="s"/>
      <c r="E182" s="263" t="s"/>
      <c r="F182" s="263" t="s"/>
      <c r="G182" s="263" t="s"/>
      <c r="H182" s="263" t="s"/>
      <c r="I182" s="263" t="s"/>
      <c r="J182" s="340" t="s"/>
      <c r="K182" s="340" t="s"/>
      <c r="L182" s="263" t="s"/>
      <c r="M182" s="263" t="s"/>
      <c r="N182" s="263" t="s"/>
      <c r="O182" s="263" t="s"/>
      <c r="P182" s="263" t="s"/>
      <c r="Q182" s="263" t="s"/>
      <c r="R182" s="263" t="s"/>
      <c r="S182" s="263" t="s"/>
      <c r="T182" s="263" t="s"/>
      <c r="U182" s="263" t="s"/>
      <c r="V182" s="263" t="s"/>
      <c r="W182" s="263" t="s"/>
      <c r="X182" s="263" t="s"/>
      <c r="Y182" s="263" t="s"/>
      <c r="Z182" s="263" t="s"/>
      <c r="AA182" s="263" t="s"/>
      <c r="AB182" s="263" t="s"/>
      <c r="AC182" s="263" t="s"/>
      <c r="AD182" s="263" t="s"/>
    </row>
    <row r="183" spans="1:30" customHeight="false">
      <c r="A183" s="263" t="s"/>
      <c r="B183" s="263" t="s"/>
      <c r="C183" s="263" t="s"/>
      <c r="D183" s="263" t="s"/>
      <c r="E183" s="263" t="s"/>
      <c r="F183" s="263" t="s"/>
      <c r="G183" s="263" t="s"/>
      <c r="H183" s="263" t="s"/>
      <c r="I183" s="263" t="s"/>
      <c r="J183" s="340" t="s"/>
      <c r="K183" s="340" t="s"/>
      <c r="L183" s="263" t="s"/>
      <c r="M183" s="263" t="s"/>
      <c r="N183" s="263" t="s"/>
      <c r="O183" s="263" t="s"/>
      <c r="P183" s="263" t="s"/>
      <c r="Q183" s="263" t="s"/>
      <c r="R183" s="263" t="s"/>
      <c r="S183" s="263" t="s"/>
      <c r="T183" s="263" t="s"/>
      <c r="U183" s="263" t="s"/>
      <c r="V183" s="263" t="s"/>
      <c r="W183" s="263" t="s"/>
      <c r="X183" s="263" t="s"/>
      <c r="Y183" s="263" t="s"/>
      <c r="Z183" s="263" t="s"/>
      <c r="AA183" s="263" t="s"/>
      <c r="AB183" s="263" t="s"/>
      <c r="AC183" s="263" t="s"/>
      <c r="AD183" s="263" t="s"/>
    </row>
    <row r="184" spans="1:30" customHeight="false">
      <c r="A184" s="263" t="s"/>
      <c r="B184" s="263" t="s"/>
      <c r="C184" s="263" t="s"/>
      <c r="D184" s="263" t="s"/>
      <c r="E184" s="263" t="s"/>
      <c r="F184" s="263" t="s"/>
      <c r="G184" s="263" t="s"/>
      <c r="H184" s="263" t="s"/>
      <c r="I184" s="263" t="s"/>
      <c r="J184" s="340" t="s"/>
      <c r="K184" s="340" t="s"/>
      <c r="L184" s="263" t="s"/>
      <c r="M184" s="263" t="s"/>
      <c r="N184" s="263" t="s"/>
      <c r="O184" s="263" t="s"/>
      <c r="P184" s="263" t="s"/>
      <c r="Q184" s="263" t="s"/>
      <c r="R184" s="263" t="s"/>
      <c r="S184" s="263" t="s"/>
      <c r="T184" s="263" t="s"/>
      <c r="U184" s="263" t="s"/>
      <c r="V184" s="263" t="s"/>
      <c r="W184" s="263" t="s"/>
      <c r="X184" s="263" t="s"/>
      <c r="Y184" s="263" t="s"/>
      <c r="Z184" s="263" t="s"/>
      <c r="AA184" s="263" t="s"/>
      <c r="AB184" s="263" t="s"/>
      <c r="AC184" s="263" t="s"/>
      <c r="AD184" s="263" t="s"/>
    </row>
    <row r="185" spans="1:30" customHeight="false">
      <c r="A185" s="263" t="s"/>
      <c r="B185" s="263" t="s"/>
      <c r="C185" s="263" t="s"/>
      <c r="D185" s="263" t="s"/>
      <c r="E185" s="263" t="s"/>
      <c r="F185" s="263" t="s"/>
      <c r="G185" s="263" t="s"/>
      <c r="H185" s="263" t="s"/>
      <c r="I185" s="263" t="s"/>
      <c r="J185" s="340" t="s"/>
      <c r="K185" s="340" t="s"/>
      <c r="L185" s="263" t="s"/>
      <c r="M185" s="263" t="s"/>
      <c r="N185" s="263" t="s"/>
      <c r="O185" s="263" t="s"/>
      <c r="P185" s="263" t="s"/>
      <c r="Q185" s="263" t="s"/>
      <c r="R185" s="263" t="s"/>
      <c r="S185" s="263" t="s"/>
      <c r="T185" s="263" t="s"/>
      <c r="U185" s="263" t="s"/>
      <c r="V185" s="263" t="s"/>
      <c r="W185" s="263" t="s"/>
      <c r="X185" s="263" t="s"/>
      <c r="Y185" s="263" t="s"/>
      <c r="Z185" s="263" t="s"/>
      <c r="AA185" s="263" t="s"/>
      <c r="AB185" s="263" t="s"/>
      <c r="AC185" s="263" t="s"/>
      <c r="AD185" s="263" t="s"/>
    </row>
    <row r="186" spans="1:30" customHeight="false">
      <c r="A186" s="263" t="s"/>
      <c r="B186" s="263" t="s"/>
      <c r="C186" s="263" t="s"/>
      <c r="D186" s="263" t="s"/>
      <c r="E186" s="263" t="s"/>
      <c r="F186" s="263" t="s"/>
      <c r="G186" s="263" t="s"/>
      <c r="H186" s="263" t="s"/>
      <c r="I186" s="263" t="s"/>
      <c r="J186" s="340" t="s"/>
      <c r="K186" s="340" t="s"/>
      <c r="L186" s="263" t="s"/>
      <c r="M186" s="263" t="s"/>
      <c r="N186" s="263" t="s"/>
      <c r="O186" s="263" t="s"/>
      <c r="P186" s="263" t="s"/>
      <c r="Q186" s="263" t="s"/>
      <c r="R186" s="263" t="s"/>
      <c r="S186" s="263" t="s"/>
      <c r="T186" s="263" t="s"/>
      <c r="U186" s="263" t="s"/>
      <c r="V186" s="263" t="s"/>
      <c r="W186" s="263" t="s"/>
      <c r="X186" s="263" t="s"/>
      <c r="Y186" s="263" t="s"/>
      <c r="Z186" s="263" t="s"/>
      <c r="AA186" s="263" t="s"/>
      <c r="AB186" s="263" t="s"/>
      <c r="AC186" s="263" t="s"/>
      <c r="AD186" s="263" t="s"/>
    </row>
    <row r="187" spans="1:30" customHeight="false">
      <c r="A187" s="263" t="s"/>
      <c r="B187" s="263" t="s"/>
      <c r="C187" s="263" t="s"/>
      <c r="D187" s="263" t="s"/>
      <c r="E187" s="263" t="s"/>
      <c r="F187" s="263" t="s"/>
      <c r="G187" s="263" t="s"/>
      <c r="H187" s="263" t="s"/>
      <c r="I187" s="263" t="s"/>
      <c r="J187" s="340" t="s"/>
      <c r="K187" s="340" t="s"/>
      <c r="L187" s="263" t="s"/>
      <c r="M187" s="263" t="s"/>
      <c r="N187" s="263" t="s"/>
      <c r="O187" s="263" t="s"/>
      <c r="P187" s="263" t="s"/>
      <c r="Q187" s="263" t="s"/>
      <c r="R187" s="263" t="s"/>
      <c r="S187" s="263" t="s"/>
      <c r="T187" s="263" t="s"/>
      <c r="U187" s="263" t="s"/>
      <c r="V187" s="263" t="s"/>
      <c r="W187" s="263" t="s"/>
      <c r="X187" s="263" t="s"/>
      <c r="Y187" s="263" t="s"/>
      <c r="Z187" s="263" t="s"/>
      <c r="AA187" s="263" t="s"/>
      <c r="AB187" s="263" t="s"/>
      <c r="AC187" s="263" t="s"/>
      <c r="AD187" s="263" t="s"/>
    </row>
    <row r="188" spans="1:30" customHeight="false">
      <c r="A188" s="263" t="s"/>
      <c r="B188" s="263" t="s"/>
      <c r="C188" s="263" t="s"/>
      <c r="D188" s="263" t="s"/>
      <c r="E188" s="263" t="s"/>
      <c r="F188" s="263" t="s"/>
      <c r="G188" s="263" t="s"/>
      <c r="H188" s="263" t="s"/>
      <c r="I188" s="263" t="s"/>
      <c r="J188" s="340" t="s"/>
      <c r="K188" s="340" t="s"/>
      <c r="L188" s="263" t="s"/>
      <c r="M188" s="263" t="s"/>
      <c r="N188" s="263" t="s"/>
      <c r="O188" s="263" t="s"/>
      <c r="P188" s="263" t="s"/>
      <c r="Q188" s="263" t="s"/>
      <c r="R188" s="263" t="s"/>
      <c r="S188" s="263" t="s"/>
      <c r="T188" s="263" t="s"/>
      <c r="U188" s="263" t="s"/>
      <c r="V188" s="263" t="s"/>
      <c r="W188" s="263" t="s"/>
      <c r="X188" s="263" t="s"/>
      <c r="Y188" s="263" t="s"/>
      <c r="Z188" s="263" t="s"/>
      <c r="AA188" s="263" t="s"/>
      <c r="AB188" s="263" t="s"/>
      <c r="AC188" s="263" t="s"/>
      <c r="AD188" s="263" t="s"/>
    </row>
    <row r="189" spans="1:30" customHeight="false">
      <c r="A189" s="263" t="s"/>
      <c r="B189" s="263" t="s"/>
      <c r="C189" s="263" t="s"/>
      <c r="D189" s="263" t="s"/>
      <c r="E189" s="263" t="s"/>
      <c r="F189" s="263" t="s"/>
      <c r="G189" s="263" t="s"/>
      <c r="H189" s="263" t="s"/>
      <c r="I189" s="263" t="s"/>
      <c r="J189" s="340" t="s"/>
      <c r="K189" s="340" t="s"/>
      <c r="L189" s="263" t="s"/>
      <c r="M189" s="263" t="s"/>
      <c r="N189" s="263" t="s"/>
      <c r="O189" s="263" t="s"/>
      <c r="P189" s="263" t="s"/>
      <c r="Q189" s="263" t="s"/>
      <c r="R189" s="263" t="s"/>
      <c r="S189" s="263" t="s"/>
      <c r="T189" s="263" t="s"/>
      <c r="U189" s="263" t="s"/>
      <c r="V189" s="263" t="s"/>
      <c r="W189" s="263" t="s"/>
      <c r="X189" s="263" t="s"/>
      <c r="Y189" s="263" t="s"/>
      <c r="Z189" s="263" t="s"/>
      <c r="AA189" s="263" t="s"/>
      <c r="AB189" s="263" t="s"/>
      <c r="AC189" s="263" t="s"/>
      <c r="AD189" s="263" t="s"/>
    </row>
    <row r="190" spans="1:30" customHeight="false">
      <c r="A190" s="263" t="s"/>
      <c r="B190" s="263" t="s"/>
      <c r="C190" s="263" t="s"/>
      <c r="D190" s="263" t="s"/>
      <c r="E190" s="263" t="s"/>
      <c r="F190" s="263" t="s"/>
      <c r="G190" s="263" t="s"/>
      <c r="H190" s="263" t="s"/>
      <c r="I190" s="263" t="s"/>
      <c r="J190" s="340" t="s"/>
      <c r="K190" s="340" t="s"/>
      <c r="L190" s="263" t="s"/>
      <c r="M190" s="263" t="s"/>
      <c r="N190" s="263" t="s"/>
      <c r="O190" s="263" t="s"/>
      <c r="P190" s="263" t="s"/>
      <c r="Q190" s="263" t="s"/>
      <c r="R190" s="263" t="s"/>
      <c r="S190" s="263" t="s"/>
      <c r="T190" s="263" t="s"/>
      <c r="U190" s="263" t="s"/>
      <c r="V190" s="263" t="s"/>
      <c r="W190" s="263" t="s"/>
      <c r="X190" s="263" t="s"/>
      <c r="Y190" s="263" t="s"/>
      <c r="Z190" s="263" t="s"/>
      <c r="AA190" s="263" t="s"/>
      <c r="AB190" s="263" t="s"/>
      <c r="AC190" s="263" t="s"/>
      <c r="AD190" s="263" t="s"/>
    </row>
    <row r="191" spans="1:30" customHeight="false">
      <c r="A191" s="263" t="s"/>
      <c r="B191" s="263" t="s"/>
      <c r="C191" s="263" t="s"/>
      <c r="D191" s="263" t="s"/>
      <c r="E191" s="263" t="s"/>
      <c r="F191" s="263" t="s"/>
      <c r="G191" s="263" t="s"/>
      <c r="H191" s="263" t="s"/>
      <c r="I191" s="263" t="s"/>
      <c r="J191" s="340" t="s"/>
      <c r="K191" s="340" t="s"/>
      <c r="L191" s="263" t="s"/>
      <c r="M191" s="263" t="s"/>
      <c r="N191" s="263" t="s"/>
      <c r="O191" s="263" t="s"/>
      <c r="P191" s="263" t="s"/>
      <c r="Q191" s="263" t="s"/>
      <c r="R191" s="263" t="s"/>
      <c r="S191" s="263" t="s"/>
      <c r="T191" s="263" t="s"/>
      <c r="U191" s="263" t="s"/>
      <c r="V191" s="263" t="s"/>
      <c r="W191" s="263" t="s"/>
      <c r="X191" s="263" t="s"/>
      <c r="Y191" s="263" t="s"/>
      <c r="Z191" s="263" t="s"/>
      <c r="AA191" s="263" t="s"/>
      <c r="AB191" s="263" t="s"/>
      <c r="AC191" s="263" t="s"/>
      <c r="AD191" s="263" t="s"/>
    </row>
    <row r="192" spans="1:30" customHeight="false">
      <c r="A192" s="263" t="s"/>
      <c r="B192" s="263" t="s"/>
      <c r="C192" s="263" t="s"/>
      <c r="D192" s="263" t="s"/>
      <c r="E192" s="263" t="s"/>
      <c r="F192" s="263" t="s"/>
      <c r="G192" s="263" t="s"/>
      <c r="H192" s="263" t="s"/>
      <c r="I192" s="263" t="s"/>
      <c r="J192" s="340" t="s"/>
      <c r="K192" s="340" t="s"/>
      <c r="L192" s="263" t="s"/>
      <c r="M192" s="263" t="s"/>
      <c r="N192" s="263" t="s"/>
      <c r="O192" s="263" t="s"/>
      <c r="P192" s="263" t="s"/>
      <c r="Q192" s="263" t="s"/>
      <c r="R192" s="263" t="s"/>
      <c r="S192" s="263" t="s"/>
      <c r="T192" s="263" t="s"/>
      <c r="U192" s="263" t="s"/>
      <c r="V192" s="263" t="s"/>
      <c r="W192" s="263" t="s"/>
      <c r="X192" s="263" t="s"/>
      <c r="Y192" s="263" t="s"/>
      <c r="Z192" s="263" t="s"/>
      <c r="AA192" s="263" t="s"/>
      <c r="AB192" s="263" t="s"/>
      <c r="AC192" s="263" t="s"/>
      <c r="AD192" s="263" t="s"/>
    </row>
    <row r="193" spans="1:30" customHeight="false">
      <c r="A193" s="263" t="s"/>
      <c r="B193" s="263" t="s"/>
      <c r="C193" s="263" t="s"/>
      <c r="D193" s="263" t="s"/>
      <c r="E193" s="263" t="s"/>
      <c r="F193" s="263" t="s"/>
      <c r="G193" s="263" t="s"/>
      <c r="H193" s="263" t="s"/>
      <c r="I193" s="263" t="s"/>
      <c r="J193" s="340" t="s"/>
      <c r="K193" s="340" t="s"/>
      <c r="L193" s="263" t="s"/>
      <c r="M193" s="263" t="s"/>
      <c r="N193" s="263" t="s"/>
      <c r="O193" s="263" t="s"/>
      <c r="P193" s="263" t="s"/>
      <c r="Q193" s="263" t="s"/>
      <c r="R193" s="263" t="s"/>
      <c r="S193" s="263" t="s"/>
      <c r="T193" s="263" t="s"/>
      <c r="U193" s="263" t="s"/>
      <c r="V193" s="263" t="s"/>
      <c r="W193" s="263" t="s"/>
      <c r="X193" s="263" t="s"/>
      <c r="Y193" s="263" t="s"/>
      <c r="Z193" s="263" t="s"/>
      <c r="AA193" s="263" t="s"/>
      <c r="AB193" s="263" t="s"/>
      <c r="AC193" s="263" t="s"/>
      <c r="AD193" s="263" t="s"/>
    </row>
    <row r="194" spans="1:30" customHeight="false">
      <c r="A194" s="263" t="s"/>
      <c r="B194" s="263" t="s"/>
      <c r="C194" s="263" t="s"/>
      <c r="D194" s="263" t="s"/>
      <c r="E194" s="263" t="s"/>
      <c r="F194" s="263" t="s"/>
      <c r="G194" s="263" t="s"/>
      <c r="H194" s="263" t="s"/>
      <c r="I194" s="263" t="s"/>
      <c r="J194" s="340" t="s"/>
      <c r="K194" s="340" t="s"/>
      <c r="L194" s="263" t="s"/>
      <c r="M194" s="263" t="s"/>
      <c r="N194" s="263" t="s"/>
      <c r="O194" s="263" t="s"/>
      <c r="P194" s="263" t="s"/>
      <c r="Q194" s="263" t="s"/>
      <c r="R194" s="263" t="s"/>
      <c r="S194" s="263" t="s"/>
      <c r="T194" s="263" t="s"/>
      <c r="U194" s="263" t="s"/>
      <c r="V194" s="263" t="s"/>
      <c r="W194" s="263" t="s"/>
      <c r="X194" s="263" t="s"/>
      <c r="Y194" s="263" t="s"/>
      <c r="Z194" s="263" t="s"/>
      <c r="AA194" s="263" t="s"/>
      <c r="AB194" s="263" t="s"/>
      <c r="AC194" s="263" t="s"/>
      <c r="AD194" s="263" t="s"/>
    </row>
    <row r="195" spans="1:30" customHeight="false">
      <c r="A195" s="263" t="s"/>
      <c r="B195" s="263" t="s"/>
      <c r="C195" s="263" t="s"/>
      <c r="D195" s="263" t="s"/>
      <c r="E195" s="263" t="s"/>
      <c r="F195" s="263" t="s"/>
      <c r="G195" s="263" t="s"/>
      <c r="H195" s="263" t="s"/>
      <c r="I195" s="263" t="s"/>
      <c r="J195" s="340" t="s"/>
      <c r="K195" s="340" t="s"/>
      <c r="L195" s="263" t="s"/>
      <c r="M195" s="263" t="s"/>
      <c r="N195" s="263" t="s"/>
      <c r="O195" s="263" t="s"/>
      <c r="P195" s="263" t="s"/>
      <c r="Q195" s="263" t="s"/>
      <c r="R195" s="263" t="s"/>
      <c r="S195" s="263" t="s"/>
      <c r="T195" s="263" t="s"/>
      <c r="U195" s="263" t="s"/>
      <c r="V195" s="263" t="s"/>
      <c r="W195" s="263" t="s"/>
      <c r="X195" s="263" t="s"/>
      <c r="Y195" s="263" t="s"/>
      <c r="Z195" s="263" t="s"/>
      <c r="AA195" s="263" t="s"/>
      <c r="AB195" s="263" t="s"/>
      <c r="AC195" s="263" t="s"/>
      <c r="AD195" s="263" t="s"/>
    </row>
    <row r="196" spans="1:30" customHeight="false">
      <c r="A196" s="263" t="s"/>
      <c r="B196" s="263" t="s"/>
      <c r="C196" s="263" t="s"/>
      <c r="D196" s="263" t="s"/>
      <c r="E196" s="263" t="s"/>
      <c r="F196" s="263" t="s"/>
      <c r="G196" s="263" t="s"/>
      <c r="H196" s="263" t="s"/>
      <c r="I196" s="263" t="s"/>
      <c r="J196" s="340" t="s"/>
      <c r="K196" s="340" t="s"/>
      <c r="L196" s="263" t="s"/>
      <c r="M196" s="263" t="s"/>
      <c r="N196" s="263" t="s"/>
      <c r="O196" s="263" t="s"/>
      <c r="P196" s="263" t="s"/>
      <c r="Q196" s="263" t="s"/>
      <c r="R196" s="263" t="s"/>
      <c r="S196" s="263" t="s"/>
      <c r="T196" s="263" t="s"/>
      <c r="U196" s="263" t="s"/>
      <c r="V196" s="263" t="s"/>
      <c r="W196" s="263" t="s"/>
      <c r="X196" s="263" t="s"/>
      <c r="Y196" s="263" t="s"/>
      <c r="Z196" s="263" t="s"/>
      <c r="AA196" s="263" t="s"/>
      <c r="AB196" s="263" t="s"/>
      <c r="AC196" s="263" t="s"/>
      <c r="AD196" s="263" t="s"/>
    </row>
    <row r="197" spans="1:30" customHeight="false">
      <c r="A197" s="263" t="s"/>
      <c r="B197" s="263" t="s"/>
      <c r="C197" s="263" t="s"/>
      <c r="D197" s="263" t="s"/>
      <c r="E197" s="263" t="s"/>
      <c r="F197" s="263" t="s"/>
      <c r="G197" s="263" t="s"/>
      <c r="H197" s="263" t="s"/>
      <c r="I197" s="263" t="s"/>
      <c r="J197" s="340" t="s"/>
      <c r="K197" s="340" t="s"/>
      <c r="L197" s="263" t="s"/>
      <c r="M197" s="263" t="s"/>
      <c r="N197" s="263" t="s"/>
      <c r="O197" s="263" t="s"/>
      <c r="P197" s="263" t="s"/>
      <c r="Q197" s="263" t="s"/>
      <c r="R197" s="263" t="s"/>
      <c r="S197" s="263" t="s"/>
      <c r="T197" s="263" t="s"/>
      <c r="U197" s="263" t="s"/>
      <c r="V197" s="263" t="s"/>
      <c r="W197" s="263" t="s"/>
      <c r="X197" s="263" t="s"/>
      <c r="Y197" s="263" t="s"/>
      <c r="Z197" s="263" t="s"/>
      <c r="AA197" s="263" t="s"/>
      <c r="AB197" s="263" t="s"/>
      <c r="AC197" s="263" t="s"/>
      <c r="AD197" s="263" t="s"/>
    </row>
    <row r="198" spans="1:30" customHeight="false">
      <c r="A198" s="263" t="s"/>
      <c r="B198" s="263" t="s"/>
      <c r="C198" s="263" t="s"/>
      <c r="D198" s="263" t="s"/>
      <c r="E198" s="263" t="s"/>
      <c r="F198" s="263" t="s"/>
      <c r="G198" s="263" t="s"/>
      <c r="H198" s="263" t="s"/>
      <c r="I198" s="263" t="s"/>
      <c r="J198" s="340" t="s"/>
      <c r="K198" s="340" t="s"/>
      <c r="L198" s="263" t="s"/>
      <c r="M198" s="263" t="s"/>
      <c r="N198" s="263" t="s"/>
      <c r="O198" s="263" t="s"/>
      <c r="P198" s="263" t="s"/>
      <c r="Q198" s="263" t="s"/>
      <c r="R198" s="263" t="s"/>
      <c r="S198" s="263" t="s"/>
      <c r="T198" s="263" t="s"/>
      <c r="U198" s="263" t="s"/>
      <c r="V198" s="263" t="s"/>
      <c r="W198" s="263" t="s"/>
      <c r="X198" s="263" t="s"/>
      <c r="Y198" s="263" t="s"/>
      <c r="Z198" s="263" t="s"/>
      <c r="AA198" s="263" t="s"/>
      <c r="AB198" s="263" t="s"/>
      <c r="AC198" s="263" t="s"/>
      <c r="AD198" s="263" t="s"/>
    </row>
    <row r="199" spans="1:30" customHeight="false">
      <c r="A199" s="263" t="s"/>
      <c r="B199" s="263" t="s"/>
      <c r="C199" s="263" t="s"/>
      <c r="D199" s="263" t="s"/>
      <c r="E199" s="263" t="s"/>
      <c r="F199" s="263" t="s"/>
      <c r="G199" s="263" t="s"/>
      <c r="H199" s="263" t="s"/>
      <c r="I199" s="263" t="s"/>
      <c r="J199" s="340" t="s"/>
      <c r="K199" s="340" t="s"/>
      <c r="L199" s="263" t="s"/>
      <c r="M199" s="263" t="s"/>
      <c r="N199" s="263" t="s"/>
      <c r="O199" s="263" t="s"/>
      <c r="P199" s="263" t="s"/>
      <c r="Q199" s="263" t="s"/>
      <c r="R199" s="263" t="s"/>
      <c r="S199" s="263" t="s"/>
      <c r="T199" s="263" t="s"/>
      <c r="U199" s="263" t="s"/>
      <c r="V199" s="263" t="s"/>
      <c r="W199" s="263" t="s"/>
      <c r="X199" s="263" t="s"/>
      <c r="Y199" s="263" t="s"/>
      <c r="Z199" s="263" t="s"/>
      <c r="AA199" s="263" t="s"/>
      <c r="AB199" s="263" t="s"/>
      <c r="AC199" s="263" t="s"/>
      <c r="AD199" s="263" t="s"/>
    </row>
    <row r="200" spans="1:30" customHeight="false">
      <c r="A200" s="263" t="s"/>
      <c r="B200" s="263" t="s"/>
      <c r="C200" s="263" t="s"/>
      <c r="D200" s="263" t="s"/>
      <c r="E200" s="263" t="s"/>
      <c r="F200" s="263" t="s"/>
      <c r="G200" s="263" t="s"/>
      <c r="H200" s="263" t="s"/>
      <c r="I200" s="263" t="s"/>
      <c r="J200" s="340" t="s"/>
      <c r="K200" s="340" t="s"/>
      <c r="L200" s="263" t="s"/>
      <c r="M200" s="263" t="s"/>
      <c r="N200" s="263" t="s"/>
      <c r="O200" s="263" t="s"/>
      <c r="P200" s="263" t="s"/>
      <c r="Q200" s="263" t="s"/>
      <c r="R200" s="263" t="s"/>
      <c r="S200" s="263" t="s"/>
      <c r="T200" s="263" t="s"/>
      <c r="U200" s="263" t="s"/>
      <c r="V200" s="263" t="s"/>
      <c r="W200" s="263" t="s"/>
      <c r="X200" s="263" t="s"/>
      <c r="Y200" s="263" t="s"/>
      <c r="Z200" s="263" t="s"/>
      <c r="AA200" s="263" t="s"/>
      <c r="AB200" s="263" t="s"/>
      <c r="AC200" s="263" t="s"/>
      <c r="AD200" s="263" t="s"/>
    </row>
    <row r="201" spans="1:30" customHeight="false">
      <c r="A201" s="263" t="s"/>
      <c r="B201" s="263" t="s"/>
      <c r="C201" s="263" t="s"/>
      <c r="D201" s="263" t="s"/>
      <c r="E201" s="263" t="s"/>
      <c r="F201" s="263" t="s"/>
      <c r="G201" s="263" t="s"/>
      <c r="H201" s="263" t="s"/>
      <c r="I201" s="263" t="s"/>
      <c r="J201" s="340" t="s"/>
      <c r="K201" s="340" t="s"/>
      <c r="L201" s="263" t="s"/>
      <c r="M201" s="263" t="s"/>
      <c r="N201" s="263" t="s"/>
      <c r="O201" s="263" t="s"/>
      <c r="P201" s="263" t="s"/>
      <c r="Q201" s="263" t="s"/>
      <c r="R201" s="263" t="s"/>
      <c r="S201" s="263" t="s"/>
      <c r="T201" s="263" t="s"/>
      <c r="U201" s="263" t="s"/>
      <c r="V201" s="263" t="s"/>
      <c r="W201" s="263" t="s"/>
      <c r="X201" s="263" t="s"/>
      <c r="Y201" s="263" t="s"/>
      <c r="Z201" s="263" t="s"/>
      <c r="AA201" s="263" t="s"/>
      <c r="AB201" s="263" t="s"/>
      <c r="AC201" s="263" t="s"/>
      <c r="AD201" s="263" t="s"/>
    </row>
  </sheetData>
  <mergeCells count="10">
    <mergeCell ref="A1:J1"/>
    <mergeCell ref="K1:R1"/>
    <mergeCell ref="S1:U1"/>
    <mergeCell ref="C2:G2"/>
    <mergeCell ref="K2:O2"/>
    <mergeCell ref="A2:A3"/>
    <mergeCell ref="B2:B3"/>
    <mergeCell ref="S2:S3"/>
    <mergeCell ref="T2:T3"/>
    <mergeCell ref="U2:U3"/>
  </mergeCells>
</worksheet>
</file>

<file path=xl/worksheets/sheet13.xml><?xml version="1.0" encoding="utf-8"?>
<worksheet xmlns="http://schemas.openxmlformats.org/spreadsheetml/2006/main">
  <sheetPr>
    <tabColor rgb="FFFFFFFF"/>
  </sheetPr>
  <dimension ref="Y201"/>
  <sheetViews>
    <sheetView showGridLines="true" rightToLeft="false" workbookViewId="0">
      <pane xSplit="1" ySplit="1" topLeftCell="B2" state="frozen"/>
    </sheetView>
  </sheetViews>
  <cols>
    <col min="1" max="1" width="9.29297" customWidth="true"/>
    <col min="2" max="2" width="33.7227" customWidth="true"/>
    <col min="3" max="3" width="14.1523" customWidth="true"/>
    <col min="4" max="5" width="13.8633" customWidth="true"/>
    <col min="6" max="6" width="11.7109" customWidth="true"/>
    <col min="7" max="7" width="13.293" customWidth="true"/>
    <col min="8" max="8" width="9.43359" customWidth="true"/>
    <col min="9" max="9" width="12.8633" customWidth="true"/>
    <col min="10" max="10" width="13.7227" customWidth="true"/>
    <col min="11" max="11" width="51.7344" customWidth="true"/>
    <col min="12" max="12" width="12.8633" customWidth="true"/>
    <col min="13" max="13" width="13.8633" customWidth="true"/>
    <col min="14" max="14" width="23.4336" customWidth="true"/>
    <col min="15" max="15" width="29.8711" customWidth="true"/>
    <col min="16" max="16" width="12.5742" customWidth="true"/>
    <col min="17" max="17" width="13.0039" customWidth="true"/>
    <col min="18" max="18" width="10.0039" customWidth="true"/>
    <col min="19" max="19" width="11.4336" customWidth="true"/>
    <col min="20" max="20" width="17.1523" customWidth="true"/>
    <col min="21" max="21" width="10.293" customWidth="true"/>
    <col min="22" max="22" width="13.1445" customWidth="true"/>
    <col min="23" max="24" width="10.293" customWidth="true"/>
    <col min="25" max="25" width="12.1445" customWidth="true"/>
  </cols>
  <sheetData>
    <row r="1" spans="1:25" ht="40" customHeight="true">
      <c r="A1" s="260" t="s">
        <v>363</v>
      </c>
      <c r="B1" s="261" t="s"/>
      <c r="C1" s="261" t="s"/>
      <c r="D1" s="261" t="s"/>
      <c r="E1" s="261" t="s"/>
      <c r="F1" s="261" t="s"/>
      <c r="G1" s="261" t="s"/>
      <c r="H1" s="261" t="s"/>
      <c r="I1" s="261" t="s"/>
      <c r="J1" s="261" t="s"/>
      <c r="K1" s="262" t="s"/>
      <c r="L1" s="263" t="s"/>
      <c r="M1" s="263" t="s"/>
      <c r="N1" s="263" t="s"/>
      <c r="O1" s="263" t="s"/>
      <c r="P1" s="263" t="s"/>
      <c r="Q1" s="263" t="s"/>
      <c r="R1" s="263" t="s"/>
      <c r="S1" s="263" t="s"/>
      <c r="T1" s="263" t="s"/>
      <c r="U1" s="263" t="s"/>
      <c r="V1" s="263" t="s"/>
      <c r="W1" s="263" t="s"/>
      <c r="X1" s="263" t="s"/>
      <c r="Y1" s="263" t="s"/>
    </row>
    <row r="2" spans="1:25" ht="30" customHeight="true">
      <c r="A2" s="201" t="s">
        <v>3</v>
      </c>
      <c r="B2" s="201" t="s">
        <v>364</v>
      </c>
      <c r="C2" s="197" t="s">
        <v>365</v>
      </c>
      <c r="D2" s="197" t="s"/>
      <c r="E2" s="197" t="s"/>
      <c r="F2" s="197" t="s"/>
      <c r="G2" s="197" t="s"/>
      <c r="H2" s="197" t="s">
        <v>366</v>
      </c>
      <c r="I2" s="264" t="s"/>
      <c r="J2" s="265" t="s"/>
      <c r="K2" s="265" t="s">
        <v>258</v>
      </c>
      <c r="L2" s="266" t="s"/>
      <c r="M2" s="267" t="s"/>
      <c r="N2" s="268" t="s"/>
      <c r="O2" s="268" t="s"/>
      <c r="P2" s="263" t="s"/>
      <c r="Q2" s="263" t="s"/>
      <c r="R2" s="263" t="s"/>
      <c r="S2" s="263" t="s"/>
      <c r="T2" s="263" t="s"/>
      <c r="U2" s="263" t="s"/>
      <c r="V2" s="263" t="s"/>
      <c r="W2" s="263" t="s"/>
      <c r="X2" s="263" t="s"/>
      <c r="Y2" s="263" t="s"/>
    </row>
    <row r="3" spans="1:25" ht="47" customHeight="true">
      <c r="A3" s="269" t="s"/>
      <c r="B3" s="201" t="s"/>
      <c r="C3" s="201" t="s">
        <v>367</v>
      </c>
      <c r="D3" s="201" t="s">
        <v>368</v>
      </c>
      <c r="E3" s="201" t="s">
        <v>369</v>
      </c>
      <c r="F3" s="201" t="s">
        <v>370</v>
      </c>
      <c r="G3" s="201" t="s">
        <v>371</v>
      </c>
      <c r="H3" s="201" t="s">
        <v>7</v>
      </c>
      <c r="I3" s="270" t="s">
        <v>8</v>
      </c>
      <c r="J3" s="271" t="s">
        <v>372</v>
      </c>
      <c r="K3" s="272" t="s"/>
      <c r="L3" s="273" t="s">
        <v>373</v>
      </c>
      <c r="M3" s="274" t="s">
        <v>374</v>
      </c>
      <c r="N3" s="274" t="s">
        <v>375</v>
      </c>
      <c r="O3" s="274" t="s">
        <v>374</v>
      </c>
      <c r="P3" s="274" t="s">
        <v>376</v>
      </c>
      <c r="Q3" s="275">
        <f>=G73+G72+G74+G76+G83++G85+G87+G89+G90+G88+G91+G92+G93+G94+G95-G73-I73*(90+85)/10000</f>
        <v>1294.561999</v>
      </c>
      <c r="R3" s="263" t="s"/>
      <c r="S3" s="276">
        <f>=I73+I72+I74+I76+I83++I85+I87+I89+I90+I88+I91+I92+I93-I73</f>
        <v>6554.82</v>
      </c>
      <c r="T3" s="263">
        <f>=Q3/S3*10000</f>
        <v>1974.97719083057</v>
      </c>
      <c r="U3" s="263" t="s"/>
      <c r="V3" s="263" t="s"/>
      <c r="W3" s="263" t="s"/>
      <c r="X3" s="263" t="s"/>
      <c r="Y3" s="263" t="s"/>
    </row>
    <row r="4" spans="1:25" ht="32" customHeight="true">
      <c r="A4" s="277" t="s">
        <v>377</v>
      </c>
      <c r="B4" s="278" t="s">
        <v>378</v>
      </c>
      <c r="C4" s="279">
        <f>=C5+C67</f>
        <v>43010.90201665</v>
      </c>
      <c r="D4" s="279" t="e">
        <f>=D5+D67</f>
        <v>#VALUE!</v>
      </c>
      <c r="E4" s="279" t="e">
        <f>=E5+E67</f>
        <v>#VALUE!</v>
      </c>
      <c r="F4" s="279">
        <f>=F5+F67</f>
        <v>0</v>
      </c>
      <c r="G4" s="279" t="e">
        <f>=SUM(C4:F4)</f>
        <v>#VALUE!</v>
      </c>
      <c r="H4" s="280" t="s">
        <v>2525</v>
      </c>
      <c r="I4" s="281">
        <v>100000</v>
      </c>
      <c r="J4" s="282" t="e">
        <f>=G4/I4*10000</f>
        <v>#VALUE!</v>
      </c>
      <c r="K4" s="283" t="s"/>
      <c r="L4" s="284">
        <v>72700</v>
      </c>
      <c r="M4" s="285" t="e">
        <f>=L4-G4</f>
        <v>#VALUE!</v>
      </c>
      <c r="N4" s="268" t="s"/>
      <c r="O4" s="286" t="s"/>
      <c r="P4" s="287">
        <v>85500</v>
      </c>
      <c r="Q4" s="286">
        <f>=P4-G133</f>
        <v>-2275.9095150932</v>
      </c>
      <c r="R4" s="263" t="s"/>
      <c r="S4" s="263" t="s"/>
      <c r="T4" s="263" t="s"/>
      <c r="U4" s="263" t="s"/>
      <c r="V4" s="263" t="s"/>
      <c r="W4" s="263" t="s"/>
      <c r="X4" s="263" t="s"/>
      <c r="Y4" s="263" t="s"/>
    </row>
    <row r="5" spans="1:25" ht="32" customHeight="true">
      <c r="A5" s="288" t="s">
        <v>379</v>
      </c>
      <c r="B5" s="289" t="s">
        <v>380</v>
      </c>
      <c r="C5" s="290">
        <f>=C6+C44</f>
        <v>38949.48732665</v>
      </c>
      <c r="D5" s="290" t="e">
        <f>=D6+D44</f>
        <v>#VALUE!</v>
      </c>
      <c r="E5" s="290" t="e">
        <f>=E6+E44</f>
        <v>#VALUE!</v>
      </c>
      <c r="F5" s="290">
        <f>=F6+F44</f>
        <v>0</v>
      </c>
      <c r="G5" s="290" t="e">
        <f>=SUM(C5:F5)</f>
        <v>#VALUE!</v>
      </c>
      <c r="H5" s="280" t="s">
        <v>2525</v>
      </c>
      <c r="I5" s="281">
        <f>=I4</f>
        <v>100000</v>
      </c>
      <c r="J5" s="291" t="e">
        <f>=G5/I5*10000</f>
        <v>#VALUE!</v>
      </c>
      <c r="K5" s="283" t="s"/>
      <c r="L5" s="292" t="s"/>
      <c r="M5" s="293" t="s"/>
      <c r="N5" s="293" t="s"/>
      <c r="O5" s="293" t="s"/>
      <c r="P5" s="293" t="s"/>
      <c r="Q5" s="293" t="s"/>
      <c r="R5" s="293" t="s"/>
      <c r="S5" s="293" t="s"/>
      <c r="T5" s="293" t="s"/>
      <c r="U5" s="293" t="s"/>
      <c r="V5" s="293" t="s"/>
      <c r="W5" s="293" t="s"/>
      <c r="X5" s="293" t="s"/>
      <c r="Y5" s="293" t="s"/>
    </row>
    <row r="6" spans="1:25" ht="32" customHeight="true">
      <c r="A6" s="288" t="s">
        <v>381</v>
      </c>
      <c r="B6" s="289" t="s">
        <v>367</v>
      </c>
      <c r="C6" s="290">
        <f>=SUM(C7:C42)</f>
        <v>38949.48732665</v>
      </c>
      <c r="D6" s="290">
        <f>=SUM(D7:D41)</f>
        <v>0</v>
      </c>
      <c r="E6" s="290">
        <f>=SUM(E7:E41)</f>
        <v>0</v>
      </c>
      <c r="F6" s="290">
        <f>=SUM(F7:F41)</f>
        <v>0</v>
      </c>
      <c r="G6" s="290">
        <f>=SUM(C6:F6)</f>
        <v>38949.48732665</v>
      </c>
      <c r="H6" s="280" t="s">
        <v>2525</v>
      </c>
      <c r="I6" s="281">
        <f>=I5</f>
        <v>100000</v>
      </c>
      <c r="J6" s="291">
        <f>=G6/I6*10000</f>
        <v>3894.948732665</v>
      </c>
      <c r="K6" s="283" t="s"/>
      <c r="L6" s="292" t="s"/>
      <c r="M6" s="293" t="s"/>
      <c r="N6" s="294">
        <v>126.7</v>
      </c>
      <c r="O6" s="294">
        <v>232.8</v>
      </c>
      <c r="P6" s="294">
        <v>11</v>
      </c>
      <c r="Q6" s="293" t="s"/>
      <c r="R6" s="294">
        <f>=(N6-7.5)*(O6-7.5)*5.6+(N6-22)*(O6-22)*12.3</f>
        <v>421862.604</v>
      </c>
      <c r="S6" s="294">
        <f>=N6-P6*2</f>
        <v>104.7</v>
      </c>
      <c r="T6" s="294">
        <f>=O6-P6*2</f>
        <v>210.8</v>
      </c>
      <c r="U6" s="293" t="s"/>
      <c r="V6" s="293" t="s"/>
      <c r="W6" s="293" t="s"/>
      <c r="X6" s="293" t="s"/>
      <c r="Y6" s="293" t="s"/>
    </row>
    <row r="7" spans="1:25" ht="32" customHeight="true">
      <c r="A7" s="201">
        <v>1</v>
      </c>
      <c r="B7" s="283" t="s">
        <v>272</v>
      </c>
      <c r="C7" s="295">
        <f>=5122.18*1.3</f>
        <v>6658.834</v>
      </c>
      <c r="D7" s="295" t="s"/>
      <c r="E7" s="295" t="s"/>
      <c r="F7" s="295" t="s"/>
      <c r="G7" s="295">
        <f>=SUM(C7:F7)</f>
        <v>6658.834</v>
      </c>
      <c r="H7" s="201" t="s">
        <v>273</v>
      </c>
      <c r="I7" s="296">
        <v>662</v>
      </c>
      <c r="J7" s="297">
        <f>=C7/I7*10000</f>
        <v>100586.616314199</v>
      </c>
      <c r="K7" s="283" t="s"/>
      <c r="L7" s="298" t="s"/>
      <c r="M7" s="299">
        <v>61940</v>
      </c>
      <c r="N7" s="299">
        <v>45.133</v>
      </c>
      <c r="O7" s="299">
        <v>18.492</v>
      </c>
      <c r="P7" s="299">
        <f>=(N7*N7+O7*O7)^(1/2)</f>
        <v>48.7743964903719</v>
      </c>
      <c r="Q7" s="299">
        <f>=N7+O7-P7</f>
        <v>14.8506035096281</v>
      </c>
      <c r="R7" s="299" t="s"/>
      <c r="S7" s="299" t="s"/>
      <c r="T7" s="299" t="s"/>
      <c r="U7" s="299" t="s"/>
      <c r="V7" s="299" t="s"/>
      <c r="W7" s="299" t="s"/>
      <c r="X7" s="299" t="s"/>
      <c r="Y7" s="299" t="s"/>
    </row>
    <row r="8" spans="1:25" ht="32" customHeight="true">
      <c r="A8" s="201">
        <v>2</v>
      </c>
      <c r="B8" s="283" t="s">
        <v>276</v>
      </c>
      <c r="C8" s="296">
        <f>=(61940*35+291200*1.05*95+94800*1.05*45)/10000</f>
        <v>3569.44</v>
      </c>
      <c r="D8" s="295" t="s"/>
      <c r="E8" s="295" t="s"/>
      <c r="F8" s="295" t="s"/>
      <c r="G8" s="295">
        <f>=SUM(C8:F8)</f>
        <v>3569.44</v>
      </c>
      <c r="H8" s="201" t="s">
        <v>2526</v>
      </c>
      <c r="I8" s="296">
        <v>467240</v>
      </c>
      <c r="J8" s="297">
        <f>=C8/I8*10000</f>
        <v>76.3941443369575</v>
      </c>
      <c r="K8" s="283" t="s"/>
      <c r="L8" s="298" t="s"/>
      <c r="M8" s="294">
        <v>386000</v>
      </c>
      <c r="N8" s="294">
        <f>=M8-M9</f>
        <v>291200</v>
      </c>
      <c r="O8" s="294" t="s"/>
      <c r="P8" s="294" t="s"/>
      <c r="Q8" s="294" t="s"/>
      <c r="R8" s="294" t="s"/>
      <c r="S8" s="294" t="s"/>
      <c r="T8" s="294" t="s"/>
      <c r="U8" s="294" t="s"/>
      <c r="V8" s="294" t="s"/>
      <c r="W8" s="294" t="s"/>
      <c r="X8" s="294" t="s"/>
      <c r="Y8" s="294" t="s"/>
    </row>
    <row r="9" spans="1:25" ht="32" customHeight="true">
      <c r="A9" s="201">
        <v>3</v>
      </c>
      <c r="B9" s="283" t="s">
        <v>382</v>
      </c>
      <c r="C9" s="295">
        <f>=2167*16*904/10000*1.1*1.03</f>
        <v>3551.2171904</v>
      </c>
      <c r="D9" s="295" t="s"/>
      <c r="E9" s="295" t="s"/>
      <c r="F9" s="295" t="s"/>
      <c r="G9" s="295">
        <f>=SUM(C9:F9)</f>
        <v>3551.2171904</v>
      </c>
      <c r="H9" s="201" t="s">
        <v>2527</v>
      </c>
      <c r="I9" s="296">
        <v>22632</v>
      </c>
      <c r="J9" s="297">
        <f>=C9/I9*10000</f>
        <v>1569.11328667374</v>
      </c>
      <c r="K9" s="283" t="s"/>
      <c r="L9" s="298" t="s"/>
      <c r="M9" s="300">
        <f>=69800+25000</f>
        <v>94800</v>
      </c>
      <c r="N9" s="263" t="s"/>
      <c r="O9" s="263" t="s"/>
      <c r="P9" s="263" t="s"/>
      <c r="Q9" s="263" t="s"/>
      <c r="R9" s="301" t="s"/>
      <c r="S9" s="263" t="s"/>
      <c r="T9" s="263" t="s"/>
      <c r="U9" s="263" t="s"/>
      <c r="V9" s="263" t="s"/>
      <c r="W9" s="263" t="s"/>
      <c r="X9" s="263" t="s"/>
      <c r="Y9" s="263" t="s"/>
    </row>
    <row r="10" spans="1:25" ht="32" customHeight="true">
      <c r="A10" s="201">
        <v>4</v>
      </c>
      <c r="B10" s="283" t="s">
        <v>279</v>
      </c>
      <c r="C10" s="295">
        <f>=I10*J10/10000</f>
        <v>13709.515794</v>
      </c>
      <c r="D10" s="295" t="s"/>
      <c r="E10" s="295" t="s"/>
      <c r="F10" s="295" t="s"/>
      <c r="G10" s="295">
        <f>=SUM(C10:F10)</f>
        <v>13709.515794</v>
      </c>
      <c r="H10" s="201" t="s">
        <v>2527</v>
      </c>
      <c r="I10" s="296">
        <v>42869.03</v>
      </c>
      <c r="J10" s="297">
        <v>3198</v>
      </c>
      <c r="K10" s="283" t="s"/>
      <c r="L10" s="302">
        <f>=SUM(C10:C33)</f>
        <v>20853.05373625</v>
      </c>
      <c r="M10" s="303" t="s">
        <v>3</v>
      </c>
      <c r="N10" s="303" t="s">
        <v>2528</v>
      </c>
      <c r="O10" s="303" t="s">
        <v>2529</v>
      </c>
      <c r="P10" s="303" t="s">
        <v>383</v>
      </c>
      <c r="Q10" s="303" t="s">
        <v>7</v>
      </c>
      <c r="R10" s="303" t="s">
        <v>8</v>
      </c>
      <c r="S10" s="304" t="s">
        <v>258</v>
      </c>
      <c r="T10" s="263" t="s"/>
      <c r="U10" s="263" t="s"/>
      <c r="V10" s="263" t="s"/>
      <c r="W10" s="263" t="s"/>
      <c r="X10" s="263" t="s"/>
      <c r="Y10" s="263" t="s"/>
    </row>
    <row r="11" spans="1:25" ht="32" customHeight="true">
      <c r="A11" s="201">
        <v>5</v>
      </c>
      <c r="B11" s="283" t="s">
        <v>384</v>
      </c>
      <c r="C11" s="295">
        <f>=I11*J11/10000</f>
        <v>306.023424</v>
      </c>
      <c r="D11" s="295" t="s"/>
      <c r="E11" s="295" t="s"/>
      <c r="F11" s="295" t="s"/>
      <c r="G11" s="295">
        <f>=SUM(C11:F11)</f>
        <v>306.023424</v>
      </c>
      <c r="H11" s="201" t="s">
        <v>2526</v>
      </c>
      <c r="I11" s="296">
        <f>=9.8*6.4*19</f>
        <v>1191.68</v>
      </c>
      <c r="J11" s="297">
        <v>2568</v>
      </c>
      <c r="K11" s="283" t="s">
        <v>385</v>
      </c>
      <c r="L11" s="302" t="s"/>
      <c r="M11" s="305">
        <v>1</v>
      </c>
      <c r="N11" s="305" t="s">
        <v>384</v>
      </c>
      <c r="O11" s="306" t="s">
        <v>386</v>
      </c>
      <c r="P11" s="306" t="s">
        <v>387</v>
      </c>
      <c r="Q11" s="305" t="s">
        <v>388</v>
      </c>
      <c r="R11" s="306">
        <v>1</v>
      </c>
      <c r="S11" s="307" t="s">
        <v>385</v>
      </c>
      <c r="T11" s="263" t="s"/>
      <c r="U11" s="263" t="s"/>
      <c r="V11" s="263" t="s"/>
      <c r="W11" s="263" t="s"/>
      <c r="X11" s="263" t="s"/>
      <c r="Y11" s="263" t="s"/>
    </row>
    <row r="12" spans="1:25" ht="32" customHeight="true">
      <c r="A12" s="201">
        <v>6</v>
      </c>
      <c r="B12" s="283" t="s">
        <v>389</v>
      </c>
      <c r="C12" s="295">
        <f>=I12*J12/10000</f>
        <v>296.360592</v>
      </c>
      <c r="D12" s="295" t="s"/>
      <c r="E12" s="295" t="s"/>
      <c r="F12" s="295" t="s"/>
      <c r="G12" s="295">
        <f>=SUM(C12:F12)</f>
        <v>296.360592</v>
      </c>
      <c r="H12" s="201" t="s">
        <v>2526</v>
      </c>
      <c r="I12" s="296">
        <f>=17.6*24.1*12*0.85</f>
        <v>4326.432</v>
      </c>
      <c r="J12" s="297">
        <v>685</v>
      </c>
      <c r="K12" s="283" t="s">
        <v>390</v>
      </c>
      <c r="L12" s="308">
        <f>=L10/I10*10000</f>
        <v>4864.36332621709</v>
      </c>
      <c r="M12" s="309">
        <v>2</v>
      </c>
      <c r="N12" s="310" t="s">
        <v>389</v>
      </c>
      <c r="O12" s="309" t="s">
        <v>391</v>
      </c>
      <c r="P12" s="309" t="s">
        <v>387</v>
      </c>
      <c r="Q12" s="310" t="s">
        <v>388</v>
      </c>
      <c r="R12" s="309">
        <v>1</v>
      </c>
      <c r="S12" s="311" t="s">
        <v>390</v>
      </c>
      <c r="T12" s="263" t="s"/>
      <c r="U12" s="263" t="s"/>
      <c r="V12" s="263" t="s"/>
      <c r="W12" s="263" t="s"/>
      <c r="X12" s="263" t="s"/>
      <c r="Y12" s="263" t="s"/>
    </row>
    <row r="13" spans="1:25" ht="32" customHeight="true">
      <c r="A13" s="201">
        <v>7</v>
      </c>
      <c r="B13" s="283" t="s">
        <v>392</v>
      </c>
      <c r="C13" s="295">
        <f>=I13*J13/10000</f>
        <v>46.30082688</v>
      </c>
      <c r="D13" s="295" t="s"/>
      <c r="E13" s="295" t="s"/>
      <c r="F13" s="295" t="s"/>
      <c r="G13" s="295">
        <f>=SUM(C13:F13)</f>
        <v>46.30082688</v>
      </c>
      <c r="H13" s="201" t="s">
        <v>2526</v>
      </c>
      <c r="I13" s="296">
        <f>=17.6*13.7*3.15*0.8</f>
        <v>607.6224</v>
      </c>
      <c r="J13" s="297">
        <v>762</v>
      </c>
      <c r="K13" s="283" t="s">
        <v>390</v>
      </c>
      <c r="L13" s="263" t="s"/>
      <c r="M13" s="310">
        <v>3</v>
      </c>
      <c r="N13" s="310" t="s">
        <v>392</v>
      </c>
      <c r="O13" s="309" t="s">
        <v>393</v>
      </c>
      <c r="P13" s="309" t="s">
        <v>387</v>
      </c>
      <c r="Q13" s="310" t="s">
        <v>388</v>
      </c>
      <c r="R13" s="309">
        <v>1</v>
      </c>
      <c r="S13" s="311" t="s">
        <v>390</v>
      </c>
      <c r="T13" s="263" t="s"/>
      <c r="U13" s="263" t="s"/>
      <c r="V13" s="263" t="s"/>
      <c r="W13" s="263" t="s"/>
      <c r="X13" s="263" t="s"/>
      <c r="Y13" s="263" t="s"/>
    </row>
    <row r="14" spans="1:25" ht="32" customHeight="true">
      <c r="A14" s="201">
        <v>8</v>
      </c>
      <c r="B14" s="283" t="s">
        <v>394</v>
      </c>
      <c r="C14" s="295">
        <f>=I14*J14/10000</f>
        <v>291.9671664</v>
      </c>
      <c r="D14" s="295" t="s"/>
      <c r="E14" s="295" t="s"/>
      <c r="F14" s="295" t="s"/>
      <c r="G14" s="295">
        <f>=SUM(C14:F14)</f>
        <v>291.9671664</v>
      </c>
      <c r="H14" s="201" t="s">
        <v>2526</v>
      </c>
      <c r="I14" s="296">
        <f>=20.5*27.4*9.1*0.85</f>
        <v>4344.7495</v>
      </c>
      <c r="J14" s="297">
        <v>672</v>
      </c>
      <c r="K14" s="283" t="s">
        <v>390</v>
      </c>
      <c r="L14" s="263" t="s"/>
      <c r="M14" s="306">
        <v>4</v>
      </c>
      <c r="N14" s="305" t="s">
        <v>394</v>
      </c>
      <c r="O14" s="306" t="s">
        <v>395</v>
      </c>
      <c r="P14" s="306" t="s">
        <v>387</v>
      </c>
      <c r="Q14" s="305" t="s">
        <v>388</v>
      </c>
      <c r="R14" s="306">
        <v>1</v>
      </c>
      <c r="S14" s="307" t="s">
        <v>390</v>
      </c>
      <c r="T14" s="263" t="s"/>
      <c r="U14" s="263" t="s"/>
      <c r="V14" s="263" t="s"/>
      <c r="W14" s="263" t="s"/>
      <c r="X14" s="263" t="s"/>
      <c r="Y14" s="263" t="s"/>
    </row>
    <row r="15" spans="1:25" ht="32" customHeight="true">
      <c r="A15" s="201">
        <v>9</v>
      </c>
      <c r="B15" s="283" t="s">
        <v>396</v>
      </c>
      <c r="C15" s="295">
        <f>=I15*J15/10000</f>
        <v>49.717395</v>
      </c>
      <c r="D15" s="295" t="s"/>
      <c r="E15" s="295" t="s"/>
      <c r="F15" s="295" t="s"/>
      <c r="G15" s="295">
        <f>=SUM(C15:F15)</f>
        <v>49.717395</v>
      </c>
      <c r="H15" s="201" t="s">
        <v>2526</v>
      </c>
      <c r="I15" s="296">
        <f>=210*3.55*0.9</f>
        <v>670.95</v>
      </c>
      <c r="J15" s="297">
        <v>741</v>
      </c>
      <c r="K15" s="283" t="s">
        <v>390</v>
      </c>
      <c r="L15" s="263" t="s"/>
      <c r="M15" s="310">
        <v>5</v>
      </c>
      <c r="N15" s="310" t="s">
        <v>396</v>
      </c>
      <c r="O15" s="309" t="s">
        <v>397</v>
      </c>
      <c r="P15" s="309" t="s">
        <v>387</v>
      </c>
      <c r="Q15" s="310" t="s">
        <v>388</v>
      </c>
      <c r="R15" s="309">
        <v>1</v>
      </c>
      <c r="S15" s="311" t="s">
        <v>390</v>
      </c>
      <c r="T15" s="263" t="s"/>
      <c r="U15" s="263" t="s"/>
      <c r="V15" s="263" t="s"/>
      <c r="W15" s="263" t="s"/>
      <c r="X15" s="263" t="s"/>
      <c r="Y15" s="263" t="s"/>
    </row>
    <row r="16" spans="1:25" ht="32" customHeight="true">
      <c r="A16" s="201">
        <v>10</v>
      </c>
      <c r="B16" s="283" t="s">
        <v>398</v>
      </c>
      <c r="C16" s="295">
        <f>=I16*J16/10000</f>
        <v>3103.141104</v>
      </c>
      <c r="D16" s="295" t="s"/>
      <c r="E16" s="295" t="s"/>
      <c r="F16" s="295" t="s"/>
      <c r="G16" s="295">
        <f>=SUM(C16:F16)</f>
        <v>3103.141104</v>
      </c>
      <c r="H16" s="201" t="s">
        <v>2526</v>
      </c>
      <c r="I16" s="296">
        <f>=47.6*97.2*10*2*0.95</f>
        <v>87907.68</v>
      </c>
      <c r="J16" s="297">
        <v>353</v>
      </c>
      <c r="K16" s="283" t="s">
        <v>390</v>
      </c>
      <c r="L16" s="263" t="s"/>
      <c r="M16" s="309">
        <v>6</v>
      </c>
      <c r="N16" s="310" t="s">
        <v>398</v>
      </c>
      <c r="O16" s="309" t="s">
        <v>399</v>
      </c>
      <c r="P16" s="309" t="s">
        <v>387</v>
      </c>
      <c r="Q16" s="310" t="s">
        <v>25</v>
      </c>
      <c r="R16" s="309">
        <v>2</v>
      </c>
      <c r="S16" s="311" t="s">
        <v>390</v>
      </c>
      <c r="T16" s="263" t="s"/>
      <c r="U16" s="263" t="s"/>
      <c r="V16" s="263" t="s"/>
      <c r="W16" s="263" t="s"/>
      <c r="X16" s="263" t="s"/>
      <c r="Y16" s="263" t="s"/>
    </row>
    <row r="17" spans="1:25" ht="32" customHeight="true">
      <c r="A17" s="201">
        <v>11</v>
      </c>
      <c r="B17" s="283" t="s">
        <v>400</v>
      </c>
      <c r="C17" s="295">
        <f>=I17*J17/10000</f>
        <v>1626.6174246</v>
      </c>
      <c r="D17" s="295" t="s"/>
      <c r="E17" s="295" t="s"/>
      <c r="F17" s="295" t="s"/>
      <c r="G17" s="295">
        <f>=SUM(C17:F17)</f>
        <v>1626.6174246</v>
      </c>
      <c r="H17" s="201" t="s">
        <v>2526</v>
      </c>
      <c r="I17" s="296">
        <f>=9.05*56.7*(7.2+10)/2*10*0.95</f>
        <v>41923.1295</v>
      </c>
      <c r="J17" s="297">
        <v>388</v>
      </c>
      <c r="K17" s="283" t="s">
        <v>390</v>
      </c>
      <c r="L17" s="263" t="s"/>
      <c r="M17" s="310">
        <v>7</v>
      </c>
      <c r="N17" s="310" t="s">
        <v>400</v>
      </c>
      <c r="O17" s="309" t="s">
        <v>401</v>
      </c>
      <c r="P17" s="309" t="s">
        <v>387</v>
      </c>
      <c r="Q17" s="310" t="s">
        <v>25</v>
      </c>
      <c r="R17" s="309">
        <v>10</v>
      </c>
      <c r="S17" s="311" t="s">
        <v>390</v>
      </c>
      <c r="T17" s="263" t="s"/>
      <c r="U17" s="263" t="s"/>
      <c r="V17" s="263" t="s"/>
      <c r="W17" s="263" t="s"/>
      <c r="X17" s="263" t="s"/>
      <c r="Y17" s="263" t="s"/>
    </row>
    <row r="18" spans="1:25" ht="32" customHeight="true">
      <c r="A18" s="201">
        <v>12</v>
      </c>
      <c r="B18" s="283" t="s">
        <v>402</v>
      </c>
      <c r="C18" s="295">
        <f>=I18*J18/10000</f>
        <v>242.84250927</v>
      </c>
      <c r="D18" s="295" t="s"/>
      <c r="E18" s="295" t="s"/>
      <c r="F18" s="295" t="s"/>
      <c r="G18" s="295">
        <f>=SUM(C18:F18)</f>
        <v>242.84250927</v>
      </c>
      <c r="H18" s="201" t="s">
        <v>2526</v>
      </c>
      <c r="I18" s="296">
        <f>=17.95*26.1*8.7*0.9</f>
        <v>3668.31585</v>
      </c>
      <c r="J18" s="297">
        <v>662</v>
      </c>
      <c r="K18" s="283" t="s">
        <v>390</v>
      </c>
      <c r="L18" s="263" t="s"/>
      <c r="M18" s="309">
        <v>8</v>
      </c>
      <c r="N18" s="310" t="s">
        <v>402</v>
      </c>
      <c r="O18" s="309" t="s">
        <v>403</v>
      </c>
      <c r="P18" s="309" t="s">
        <v>387</v>
      </c>
      <c r="Q18" s="310" t="s">
        <v>388</v>
      </c>
      <c r="R18" s="309">
        <v>1</v>
      </c>
      <c r="S18" s="311" t="s">
        <v>390</v>
      </c>
      <c r="T18" s="263" t="s"/>
      <c r="U18" s="263" t="s"/>
      <c r="V18" s="263" t="s"/>
      <c r="W18" s="263" t="s"/>
      <c r="X18" s="263" t="s"/>
      <c r="Y18" s="263" t="s"/>
    </row>
    <row r="19" spans="1:25" ht="32" customHeight="true">
      <c r="A19" s="201">
        <v>13</v>
      </c>
      <c r="B19" s="283" t="s">
        <v>404</v>
      </c>
      <c r="C19" s="295">
        <f>=I19*J19/10000</f>
        <v>333.620658</v>
      </c>
      <c r="D19" s="295" t="s"/>
      <c r="E19" s="295" t="s"/>
      <c r="F19" s="295" t="s"/>
      <c r="G19" s="295">
        <f>=SUM(C19:F19)</f>
        <v>333.620658</v>
      </c>
      <c r="H19" s="201" t="s">
        <v>2526</v>
      </c>
      <c r="I19" s="296">
        <f>=23*29.2*9*0.95</f>
        <v>5742.18</v>
      </c>
      <c r="J19" s="297">
        <v>581</v>
      </c>
      <c r="K19" s="283" t="s">
        <v>390</v>
      </c>
      <c r="L19" s="263" t="s"/>
      <c r="M19" s="310">
        <v>9</v>
      </c>
      <c r="N19" s="305" t="s">
        <v>404</v>
      </c>
      <c r="O19" s="306" t="s">
        <v>405</v>
      </c>
      <c r="P19" s="306" t="s">
        <v>387</v>
      </c>
      <c r="Q19" s="305" t="s">
        <v>388</v>
      </c>
      <c r="R19" s="306">
        <v>1</v>
      </c>
      <c r="S19" s="307" t="s">
        <v>390</v>
      </c>
      <c r="T19" s="263" t="s"/>
      <c r="U19" s="263" t="s"/>
      <c r="V19" s="263" t="s"/>
      <c r="W19" s="263" t="s"/>
      <c r="X19" s="263" t="s"/>
      <c r="Y19" s="263" t="s"/>
    </row>
    <row r="20" spans="1:25" ht="32" customHeight="true">
      <c r="A20" s="201">
        <v>14</v>
      </c>
      <c r="B20" s="283" t="s">
        <v>406</v>
      </c>
      <c r="C20" s="295">
        <f>=I20*J20/10000</f>
        <v>295.56</v>
      </c>
      <c r="D20" s="295" t="s"/>
      <c r="E20" s="295" t="s"/>
      <c r="F20" s="295" t="s"/>
      <c r="G20" s="295">
        <f>=SUM(C20:F20)</f>
        <v>295.56</v>
      </c>
      <c r="H20" s="201" t="s">
        <v>2527</v>
      </c>
      <c r="I20" s="296">
        <v>1642</v>
      </c>
      <c r="J20" s="297">
        <v>1800</v>
      </c>
      <c r="K20" s="283" t="s">
        <v>407</v>
      </c>
      <c r="L20" s="263" t="s"/>
      <c r="M20" s="309">
        <v>10</v>
      </c>
      <c r="N20" s="305" t="s">
        <v>406</v>
      </c>
      <c r="O20" s="306" t="s">
        <v>408</v>
      </c>
      <c r="P20" s="305" t="s">
        <v>409</v>
      </c>
      <c r="Q20" s="305" t="s">
        <v>410</v>
      </c>
      <c r="R20" s="306">
        <v>1</v>
      </c>
      <c r="S20" s="307" t="s">
        <v>407</v>
      </c>
      <c r="T20" s="263" t="s"/>
      <c r="U20" s="263" t="s"/>
      <c r="V20" s="263" t="s"/>
      <c r="W20" s="263" t="s"/>
      <c r="X20" s="263" t="s"/>
      <c r="Y20" s="263" t="s"/>
    </row>
    <row r="21" spans="1:25" ht="32" customHeight="true">
      <c r="A21" s="201">
        <v>15</v>
      </c>
      <c r="B21" s="283" t="s">
        <v>411</v>
      </c>
      <c r="C21" s="295">
        <f>=I21*J21/10000</f>
        <v>51.75</v>
      </c>
      <c r="D21" s="295" t="s"/>
      <c r="E21" s="295" t="s"/>
      <c r="F21" s="295" t="s"/>
      <c r="G21" s="295">
        <f>=SUM(C21:F21)</f>
        <v>51.75</v>
      </c>
      <c r="H21" s="201" t="s">
        <v>2527</v>
      </c>
      <c r="I21" s="296">
        <v>345</v>
      </c>
      <c r="J21" s="297">
        <v>1500</v>
      </c>
      <c r="K21" s="283" t="s">
        <v>390</v>
      </c>
      <c r="L21" s="263" t="s"/>
      <c r="M21" s="310">
        <v>11</v>
      </c>
      <c r="N21" s="305" t="s">
        <v>411</v>
      </c>
      <c r="O21" s="306" t="s">
        <v>412</v>
      </c>
      <c r="P21" s="305" t="s">
        <v>409</v>
      </c>
      <c r="Q21" s="305" t="s">
        <v>410</v>
      </c>
      <c r="R21" s="306">
        <v>1</v>
      </c>
      <c r="S21" s="307" t="s">
        <v>413</v>
      </c>
      <c r="T21" s="263" t="s"/>
      <c r="U21" s="263" t="s"/>
      <c r="V21" s="263" t="s"/>
      <c r="W21" s="263" t="s"/>
      <c r="X21" s="263" t="s"/>
      <c r="Y21" s="263" t="s"/>
    </row>
    <row r="22" spans="1:25" ht="32" customHeight="true">
      <c r="A22" s="201">
        <v>16</v>
      </c>
      <c r="B22" s="283" t="s">
        <v>414</v>
      </c>
      <c r="C22" s="295">
        <f>=I22*J22/10000</f>
        <v>20.9297088</v>
      </c>
      <c r="D22" s="295" t="s"/>
      <c r="E22" s="295" t="s"/>
      <c r="F22" s="295" t="s"/>
      <c r="G22" s="295">
        <f>=SUM(C22:F22)</f>
        <v>20.9297088</v>
      </c>
      <c r="H22" s="201" t="s">
        <v>2526</v>
      </c>
      <c r="I22" s="296">
        <f>=3.3*7.7*5.2*2</f>
        <v>264.264</v>
      </c>
      <c r="J22" s="297">
        <v>792</v>
      </c>
      <c r="K22" s="283" t="s">
        <v>390</v>
      </c>
      <c r="L22" s="263" t="s"/>
      <c r="M22" s="309">
        <v>12</v>
      </c>
      <c r="N22" s="310" t="s">
        <v>414</v>
      </c>
      <c r="O22" s="309" t="s">
        <v>415</v>
      </c>
      <c r="P22" s="309" t="s">
        <v>387</v>
      </c>
      <c r="Q22" s="310" t="s">
        <v>388</v>
      </c>
      <c r="R22" s="309">
        <v>2</v>
      </c>
      <c r="S22" s="311" t="s">
        <v>413</v>
      </c>
      <c r="T22" s="263" t="s"/>
      <c r="U22" s="263" t="s"/>
      <c r="V22" s="263" t="s"/>
      <c r="W22" s="263" t="s"/>
      <c r="X22" s="263" t="s"/>
      <c r="Y22" s="263" t="s"/>
    </row>
    <row r="23" spans="1:25" ht="32" customHeight="true">
      <c r="A23" s="201">
        <v>17</v>
      </c>
      <c r="B23" s="283" t="s">
        <v>416</v>
      </c>
      <c r="C23" s="295">
        <f>=I23*J23/10000</f>
        <v>11.583</v>
      </c>
      <c r="D23" s="295" t="s"/>
      <c r="E23" s="295" t="s"/>
      <c r="F23" s="295" t="s"/>
      <c r="G23" s="295">
        <f>=SUM(C23:F23)</f>
        <v>11.583</v>
      </c>
      <c r="H23" s="201" t="s">
        <v>2526</v>
      </c>
      <c r="I23" s="296">
        <f>=3*4.5*5.2*2</f>
        <v>140.4</v>
      </c>
      <c r="J23" s="297">
        <v>825</v>
      </c>
      <c r="K23" s="283" t="s">
        <v>390</v>
      </c>
      <c r="L23" s="263" t="s"/>
      <c r="M23" s="310">
        <v>13</v>
      </c>
      <c r="N23" s="309" t="s">
        <v>2530</v>
      </c>
      <c r="O23" s="309" t="s">
        <v>417</v>
      </c>
      <c r="P23" s="309" t="s">
        <v>387</v>
      </c>
      <c r="Q23" s="310" t="s">
        <v>388</v>
      </c>
      <c r="R23" s="309">
        <v>2</v>
      </c>
      <c r="S23" s="311" t="s">
        <v>413</v>
      </c>
      <c r="T23" s="263" t="s"/>
      <c r="U23" s="263" t="s"/>
      <c r="V23" s="263" t="s"/>
      <c r="W23" s="263" t="s"/>
      <c r="X23" s="263" t="s"/>
      <c r="Y23" s="263" t="s"/>
    </row>
    <row r="24" spans="1:25" ht="32" customHeight="true">
      <c r="A24" s="201">
        <v>18</v>
      </c>
      <c r="B24" s="283" t="s">
        <v>418</v>
      </c>
      <c r="C24" s="295">
        <f>=I24*J24/10000</f>
        <v>9.4084224</v>
      </c>
      <c r="D24" s="295" t="s"/>
      <c r="E24" s="295" t="s"/>
      <c r="F24" s="295" t="s"/>
      <c r="G24" s="295">
        <f>=SUM(C24:F24)</f>
        <v>9.4084224</v>
      </c>
      <c r="H24" s="201" t="s">
        <v>2526</v>
      </c>
      <c r="I24" s="296">
        <f>=4.7*4.8*5.2</f>
        <v>117.312</v>
      </c>
      <c r="J24" s="297">
        <v>802</v>
      </c>
      <c r="K24" s="283" t="s">
        <v>390</v>
      </c>
      <c r="L24" s="263" t="s"/>
      <c r="M24" s="309">
        <v>14</v>
      </c>
      <c r="N24" s="305" t="s">
        <v>418</v>
      </c>
      <c r="O24" s="306" t="s">
        <v>419</v>
      </c>
      <c r="P24" s="306" t="s">
        <v>387</v>
      </c>
      <c r="Q24" s="305" t="s">
        <v>388</v>
      </c>
      <c r="R24" s="306">
        <v>1</v>
      </c>
      <c r="S24" s="307" t="s">
        <v>413</v>
      </c>
      <c r="T24" s="263" t="s"/>
      <c r="U24" s="263" t="s"/>
      <c r="V24" s="263" t="s"/>
      <c r="W24" s="263" t="s"/>
      <c r="X24" s="263" t="s"/>
      <c r="Y24" s="263" t="s"/>
    </row>
    <row r="25" spans="1:25" ht="32" customHeight="true">
      <c r="A25" s="201">
        <v>19</v>
      </c>
      <c r="B25" s="283" t="s">
        <v>420</v>
      </c>
      <c r="C25" s="295">
        <f>=I25*J25/10000</f>
        <v>52.02</v>
      </c>
      <c r="D25" s="295" t="s"/>
      <c r="E25" s="295" t="s"/>
      <c r="F25" s="295" t="s"/>
      <c r="G25" s="295">
        <f>=SUM(C25:F25)</f>
        <v>52.02</v>
      </c>
      <c r="H25" s="201" t="s">
        <v>2527</v>
      </c>
      <c r="I25" s="296">
        <v>306</v>
      </c>
      <c r="J25" s="297">
        <v>1700</v>
      </c>
      <c r="K25" s="283" t="s">
        <v>390</v>
      </c>
      <c r="L25" s="263" t="s"/>
      <c r="M25" s="310">
        <v>15</v>
      </c>
      <c r="N25" s="310" t="s">
        <v>420</v>
      </c>
      <c r="O25" s="309" t="s">
        <v>421</v>
      </c>
      <c r="P25" s="310" t="s">
        <v>409</v>
      </c>
      <c r="Q25" s="310" t="s">
        <v>388</v>
      </c>
      <c r="R25" s="309">
        <v>1</v>
      </c>
      <c r="S25" s="311" t="s">
        <v>390</v>
      </c>
      <c r="T25" s="263" t="s"/>
      <c r="U25" s="263" t="s"/>
      <c r="V25" s="263" t="s"/>
      <c r="W25" s="263" t="s"/>
      <c r="X25" s="263" t="s"/>
      <c r="Y25" s="263" t="s"/>
    </row>
    <row r="26" spans="1:25" ht="32" customHeight="true">
      <c r="A26" s="201">
        <v>20</v>
      </c>
      <c r="B26" s="283" t="s">
        <v>422</v>
      </c>
      <c r="C26" s="295">
        <f>=I26*J26/10000</f>
        <v>29.089368</v>
      </c>
      <c r="D26" s="295" t="s"/>
      <c r="E26" s="295" t="s"/>
      <c r="F26" s="295" t="s"/>
      <c r="G26" s="295">
        <f>=SUM(C26:F26)</f>
        <v>29.089368</v>
      </c>
      <c r="H26" s="201" t="s">
        <v>2526</v>
      </c>
      <c r="I26" s="296">
        <f>=5.3*8.4*10*0.9</f>
        <v>400.68</v>
      </c>
      <c r="J26" s="297">
        <v>726</v>
      </c>
      <c r="K26" s="283" t="s">
        <v>390</v>
      </c>
      <c r="L26" s="263" t="s"/>
      <c r="M26" s="309">
        <v>16</v>
      </c>
      <c r="N26" s="310" t="s">
        <v>423</v>
      </c>
      <c r="O26" s="309" t="s">
        <v>2531</v>
      </c>
      <c r="P26" s="309" t="s">
        <v>387</v>
      </c>
      <c r="Q26" s="310" t="s">
        <v>388</v>
      </c>
      <c r="R26" s="309">
        <v>1</v>
      </c>
      <c r="S26" s="311" t="s">
        <v>424</v>
      </c>
      <c r="T26" s="263" t="s"/>
      <c r="U26" s="263" t="s"/>
      <c r="V26" s="263" t="s"/>
      <c r="W26" s="263" t="s"/>
      <c r="X26" s="263" t="s"/>
      <c r="Y26" s="263" t="s"/>
    </row>
    <row r="27" spans="1:25" ht="32" customHeight="true">
      <c r="A27" s="201">
        <v>21</v>
      </c>
      <c r="B27" s="283" t="s">
        <v>425</v>
      </c>
      <c r="C27" s="295">
        <f>=I27*J27/10000</f>
        <v>60.8887125</v>
      </c>
      <c r="D27" s="295" t="s"/>
      <c r="E27" s="295" t="s"/>
      <c r="F27" s="295" t="s"/>
      <c r="G27" s="295">
        <f>=SUM(C27:F27)</f>
        <v>60.8887125</v>
      </c>
      <c r="H27" s="201" t="s">
        <v>2526</v>
      </c>
      <c r="I27" s="296">
        <f>=7.7*13.75*10*0.9</f>
        <v>952.875</v>
      </c>
      <c r="J27" s="297">
        <v>639</v>
      </c>
      <c r="K27" s="283" t="s">
        <v>390</v>
      </c>
      <c r="L27" s="263" t="s"/>
      <c r="M27" s="310">
        <v>17</v>
      </c>
      <c r="N27" s="310" t="s">
        <v>425</v>
      </c>
      <c r="O27" s="309" t="s">
        <v>426</v>
      </c>
      <c r="P27" s="309" t="s">
        <v>387</v>
      </c>
      <c r="Q27" s="310" t="s">
        <v>388</v>
      </c>
      <c r="R27" s="309">
        <v>1</v>
      </c>
      <c r="S27" s="311" t="s">
        <v>390</v>
      </c>
      <c r="T27" s="263" t="s"/>
      <c r="U27" s="263" t="s"/>
      <c r="V27" s="263" t="s"/>
      <c r="W27" s="263" t="s"/>
      <c r="X27" s="263" t="s"/>
      <c r="Y27" s="263" t="s"/>
    </row>
    <row r="28" spans="1:25" ht="32" customHeight="true">
      <c r="A28" s="201">
        <v>22</v>
      </c>
      <c r="B28" s="283" t="s">
        <v>427</v>
      </c>
      <c r="C28" s="295">
        <f>=I28*J28/10000</f>
        <v>39.742872</v>
      </c>
      <c r="D28" s="295" t="s"/>
      <c r="E28" s="295" t="s"/>
      <c r="F28" s="295" t="s"/>
      <c r="G28" s="295">
        <f>=SUM(C28:F28)</f>
        <v>39.742872</v>
      </c>
      <c r="H28" s="201" t="s">
        <v>2526</v>
      </c>
      <c r="I28" s="296">
        <f>=5.9*13*6.8</f>
        <v>521.56</v>
      </c>
      <c r="J28" s="297">
        <v>762</v>
      </c>
      <c r="K28" s="283" t="s">
        <v>390</v>
      </c>
      <c r="L28" s="298" t="s"/>
      <c r="M28" s="309">
        <v>18</v>
      </c>
      <c r="N28" s="305" t="s">
        <v>427</v>
      </c>
      <c r="O28" s="306" t="s">
        <v>428</v>
      </c>
      <c r="P28" s="306" t="s">
        <v>387</v>
      </c>
      <c r="Q28" s="305" t="s">
        <v>388</v>
      </c>
      <c r="R28" s="306">
        <v>1</v>
      </c>
      <c r="S28" s="307" t="s">
        <v>390</v>
      </c>
      <c r="T28" s="263" t="s"/>
      <c r="U28" s="263" t="s"/>
      <c r="V28" s="263" t="s"/>
      <c r="W28" s="263" t="s"/>
      <c r="X28" s="263" t="s"/>
      <c r="Y28" s="263" t="s"/>
    </row>
    <row r="29" spans="1:25" ht="32" customHeight="true">
      <c r="A29" s="201">
        <v>23</v>
      </c>
      <c r="B29" s="283" t="s">
        <v>429</v>
      </c>
      <c r="C29" s="295">
        <f>=I29*J29/10000</f>
        <v>113.1485184</v>
      </c>
      <c r="D29" s="295" t="s"/>
      <c r="E29" s="295" t="s"/>
      <c r="F29" s="295" t="s"/>
      <c r="G29" s="295">
        <f>=SUM(C29:F29)</f>
        <v>113.1485184</v>
      </c>
      <c r="H29" s="201" t="s">
        <v>2526</v>
      </c>
      <c r="I29" s="296">
        <f>=6*6*3.14*6.8*2</f>
        <v>1537.344</v>
      </c>
      <c r="J29" s="297">
        <v>736</v>
      </c>
      <c r="K29" s="283" t="s">
        <v>390</v>
      </c>
      <c r="L29" s="298" t="s"/>
      <c r="M29" s="310">
        <v>19</v>
      </c>
      <c r="N29" s="310" t="s">
        <v>429</v>
      </c>
      <c r="O29" s="309" t="s">
        <v>2532</v>
      </c>
      <c r="P29" s="309" t="s">
        <v>387</v>
      </c>
      <c r="Q29" s="310" t="s">
        <v>388</v>
      </c>
      <c r="R29" s="309">
        <v>2</v>
      </c>
      <c r="S29" s="311" t="s">
        <v>390</v>
      </c>
      <c r="T29" s="263" t="s"/>
      <c r="U29" s="263" t="s"/>
      <c r="V29" s="263" t="s"/>
      <c r="W29" s="263" t="s"/>
      <c r="X29" s="263" t="s"/>
      <c r="Y29" s="263" t="s"/>
    </row>
    <row r="30" spans="1:25" ht="32" customHeight="true">
      <c r="A30" s="201">
        <v>24</v>
      </c>
      <c r="B30" s="283" t="s">
        <v>430</v>
      </c>
      <c r="C30" s="295">
        <f>=I30*J30/10000</f>
        <v>36.6366</v>
      </c>
      <c r="D30" s="295" t="s"/>
      <c r="E30" s="295" t="s"/>
      <c r="F30" s="295" t="s"/>
      <c r="G30" s="295">
        <f>=SUM(C30:F30)</f>
        <v>36.6366</v>
      </c>
      <c r="H30" s="201" t="s">
        <v>2526</v>
      </c>
      <c r="I30" s="296">
        <f>=7.7*13*5</f>
        <v>500.5</v>
      </c>
      <c r="J30" s="297">
        <v>732</v>
      </c>
      <c r="K30" s="283" t="s">
        <v>390</v>
      </c>
      <c r="L30" s="298" t="s"/>
      <c r="M30" s="309">
        <v>20</v>
      </c>
      <c r="N30" s="310" t="s">
        <v>430</v>
      </c>
      <c r="O30" s="309" t="s">
        <v>431</v>
      </c>
      <c r="P30" s="309" t="s">
        <v>387</v>
      </c>
      <c r="Q30" s="310" t="s">
        <v>388</v>
      </c>
      <c r="R30" s="309">
        <v>1</v>
      </c>
      <c r="S30" s="311" t="s">
        <v>413</v>
      </c>
      <c r="T30" s="263" t="s"/>
      <c r="U30" s="263" t="s"/>
      <c r="V30" s="263" t="s"/>
      <c r="W30" s="263" t="s"/>
      <c r="X30" s="263" t="s"/>
      <c r="Y30" s="263" t="s"/>
    </row>
    <row r="31" spans="1:25" ht="32" customHeight="true">
      <c r="A31" s="201">
        <v>25</v>
      </c>
      <c r="B31" s="283" t="s">
        <v>432</v>
      </c>
      <c r="C31" s="295">
        <f>=I31*J31/10000</f>
        <v>10.5</v>
      </c>
      <c r="D31" s="295" t="s"/>
      <c r="E31" s="295" t="s"/>
      <c r="F31" s="295" t="s"/>
      <c r="G31" s="295">
        <f>=SUM(C31:F31)</f>
        <v>10.5</v>
      </c>
      <c r="H31" s="201" t="s">
        <v>2527</v>
      </c>
      <c r="I31" s="296">
        <v>70</v>
      </c>
      <c r="J31" s="297">
        <v>1500</v>
      </c>
      <c r="K31" s="283" t="s">
        <v>390</v>
      </c>
      <c r="L31" s="298" t="s"/>
      <c r="M31" s="310">
        <v>21</v>
      </c>
      <c r="N31" s="305" t="s">
        <v>432</v>
      </c>
      <c r="O31" s="306" t="s">
        <v>433</v>
      </c>
      <c r="P31" s="305" t="s">
        <v>409</v>
      </c>
      <c r="Q31" s="305" t="s">
        <v>388</v>
      </c>
      <c r="R31" s="306">
        <v>1</v>
      </c>
      <c r="S31" s="307" t="s">
        <v>413</v>
      </c>
      <c r="T31" s="263" t="s"/>
      <c r="U31" s="263" t="s"/>
      <c r="V31" s="263" t="s"/>
      <c r="W31" s="263" t="s"/>
      <c r="X31" s="263" t="s"/>
      <c r="Y31" s="263" t="s"/>
    </row>
    <row r="32" spans="1:25" ht="32" customHeight="true">
      <c r="A32" s="201">
        <v>26</v>
      </c>
      <c r="B32" s="283" t="s">
        <v>434</v>
      </c>
      <c r="C32" s="295">
        <f>=I32*J32/10000</f>
        <v>74.074</v>
      </c>
      <c r="D32" s="295" t="s"/>
      <c r="E32" s="295" t="s"/>
      <c r="F32" s="295" t="s"/>
      <c r="G32" s="295">
        <f>=SUM(C32:F32)</f>
        <v>74.074</v>
      </c>
      <c r="H32" s="201" t="s">
        <v>2526</v>
      </c>
      <c r="I32" s="296">
        <f>=13*18.5*5</f>
        <v>1202.5</v>
      </c>
      <c r="J32" s="297">
        <v>616</v>
      </c>
      <c r="K32" s="283" t="s">
        <v>390</v>
      </c>
      <c r="L32" s="298" t="s"/>
      <c r="M32" s="309">
        <v>22</v>
      </c>
      <c r="N32" s="305" t="s">
        <v>434</v>
      </c>
      <c r="O32" s="306" t="s">
        <v>435</v>
      </c>
      <c r="P32" s="306" t="s">
        <v>387</v>
      </c>
      <c r="Q32" s="305" t="s">
        <v>388</v>
      </c>
      <c r="R32" s="306">
        <v>1</v>
      </c>
      <c r="S32" s="307" t="s">
        <v>413</v>
      </c>
      <c r="T32" s="263" t="s"/>
      <c r="U32" s="263" t="s"/>
      <c r="V32" s="263" t="s"/>
      <c r="W32" s="263" t="s"/>
      <c r="X32" s="263" t="s"/>
      <c r="Y32" s="263" t="s"/>
    </row>
    <row r="33" spans="1:25" ht="32" customHeight="true">
      <c r="A33" s="201">
        <v>27</v>
      </c>
      <c r="B33" s="283" t="s">
        <v>436</v>
      </c>
      <c r="C33" s="295">
        <f>=I33*J33/10000</f>
        <v>41.61564</v>
      </c>
      <c r="D33" s="295" t="s"/>
      <c r="E33" s="295" t="s"/>
      <c r="F33" s="295" t="s"/>
      <c r="G33" s="295">
        <f>=SUM(C33:F33)</f>
        <v>41.61564</v>
      </c>
      <c r="H33" s="201" t="s">
        <v>2526</v>
      </c>
      <c r="I33" s="296">
        <f>=8.8*15.5*5*0.9</f>
        <v>613.8</v>
      </c>
      <c r="J33" s="297">
        <v>678</v>
      </c>
      <c r="K33" s="283" t="s">
        <v>390</v>
      </c>
      <c r="L33" s="298" t="s"/>
      <c r="M33" s="310">
        <v>23</v>
      </c>
      <c r="N33" s="305" t="s">
        <v>436</v>
      </c>
      <c r="O33" s="306" t="s">
        <v>437</v>
      </c>
      <c r="P33" s="306" t="s">
        <v>387</v>
      </c>
      <c r="Q33" s="305" t="s">
        <v>410</v>
      </c>
      <c r="R33" s="306">
        <v>1</v>
      </c>
      <c r="S33" s="307" t="s">
        <v>413</v>
      </c>
      <c r="T33" s="263" t="s"/>
      <c r="U33" s="263" t="s"/>
      <c r="V33" s="263" t="s"/>
      <c r="W33" s="263" t="s"/>
      <c r="X33" s="263" t="s"/>
      <c r="Y33" s="263" t="s"/>
    </row>
    <row r="34" spans="1:25" ht="32" customHeight="true">
      <c r="A34" s="201">
        <v>28</v>
      </c>
      <c r="B34" s="283" t="s">
        <v>438</v>
      </c>
      <c r="C34" s="295">
        <v>602.18</v>
      </c>
      <c r="D34" s="295" t="s"/>
      <c r="E34" s="295" t="s"/>
      <c r="F34" s="295" t="s"/>
      <c r="G34" s="295">
        <f>=SUM(C34:F34)</f>
        <v>602.18</v>
      </c>
      <c r="H34" s="201" t="s"/>
      <c r="I34" s="296" t="s"/>
      <c r="J34" s="297" t="s"/>
      <c r="K34" s="297" t="s"/>
      <c r="L34" s="298" t="s"/>
      <c r="M34" s="309">
        <v>24</v>
      </c>
      <c r="N34" s="310" t="s">
        <v>439</v>
      </c>
      <c r="O34" s="309" t="s">
        <v>440</v>
      </c>
      <c r="P34" s="310" t="s">
        <v>409</v>
      </c>
      <c r="Q34" s="310" t="s">
        <v>388</v>
      </c>
      <c r="R34" s="309">
        <v>1</v>
      </c>
      <c r="S34" s="311" t="s">
        <v>441</v>
      </c>
      <c r="T34" s="263" t="s"/>
      <c r="U34" s="263" t="s"/>
      <c r="V34" s="263" t="s"/>
      <c r="W34" s="263" t="s"/>
      <c r="X34" s="263" t="s"/>
      <c r="Y34" s="263" t="s"/>
    </row>
    <row r="35" spans="1:25" ht="32" customHeight="true">
      <c r="A35" s="201">
        <v>29</v>
      </c>
      <c r="B35" s="283" t="s">
        <v>442</v>
      </c>
      <c r="C35" s="295">
        <f>=I35*J35/10000</f>
        <v>1600</v>
      </c>
      <c r="D35" s="295" t="s"/>
      <c r="E35" s="295" t="s"/>
      <c r="F35" s="295" t="s"/>
      <c r="G35" s="295">
        <f>=SUM(C35:F35)</f>
        <v>1600</v>
      </c>
      <c r="H35" s="201" t="s">
        <v>2527</v>
      </c>
      <c r="I35" s="296">
        <v>3200</v>
      </c>
      <c r="J35" s="297">
        <v>5000</v>
      </c>
      <c r="K35" s="312" t="s">
        <v>441</v>
      </c>
      <c r="L35" s="298" t="s"/>
      <c r="M35" s="300">
        <v>24</v>
      </c>
      <c r="N35" s="300" t="s">
        <v>439</v>
      </c>
      <c r="O35" s="300" t="s">
        <v>440</v>
      </c>
      <c r="P35" s="300" t="s">
        <v>409</v>
      </c>
      <c r="Q35" s="300" t="s">
        <v>388</v>
      </c>
      <c r="R35" s="300">
        <v>1</v>
      </c>
      <c r="S35" s="300" t="s">
        <v>441</v>
      </c>
      <c r="T35" s="263" t="s"/>
      <c r="U35" s="263" t="s"/>
      <c r="V35" s="263" t="s"/>
      <c r="W35" s="263" t="s"/>
      <c r="X35" s="263" t="s"/>
      <c r="Y35" s="263" t="s"/>
    </row>
    <row r="36" spans="1:25" ht="32" customHeight="true">
      <c r="A36" s="201">
        <v>30</v>
      </c>
      <c r="B36" s="283" t="s">
        <v>443</v>
      </c>
      <c r="C36" s="295">
        <f>=I36*J36/10000</f>
        <v>288</v>
      </c>
      <c r="D36" s="295" t="s"/>
      <c r="E36" s="295" t="s"/>
      <c r="F36" s="295" t="s"/>
      <c r="G36" s="295">
        <f>=SUM(C36:F36)</f>
        <v>288</v>
      </c>
      <c r="H36" s="201" t="s">
        <v>2527</v>
      </c>
      <c r="I36" s="296">
        <v>400</v>
      </c>
      <c r="J36" s="297">
        <v>7200</v>
      </c>
      <c r="K36" s="312" t="s"/>
      <c r="L36" s="298" t="s"/>
      <c r="M36" s="263" t="s"/>
      <c r="N36" s="263" t="s"/>
      <c r="O36" s="263" t="s"/>
      <c r="P36" s="263" t="s"/>
      <c r="Q36" s="263" t="s"/>
      <c r="R36" s="263" t="s"/>
      <c r="S36" s="263" t="s"/>
      <c r="T36" s="263" t="s"/>
      <c r="U36" s="263" t="s"/>
      <c r="V36" s="263" t="s"/>
      <c r="W36" s="263" t="s"/>
      <c r="X36" s="263" t="s"/>
      <c r="Y36" s="263" t="s"/>
    </row>
    <row r="37" spans="1:25" ht="32" customHeight="true">
      <c r="A37" s="201">
        <v>31</v>
      </c>
      <c r="B37" s="283" t="s">
        <v>284</v>
      </c>
      <c r="C37" s="295">
        <f>=I37*J37/10000</f>
        <v>1475.7624</v>
      </c>
      <c r="D37" s="295" t="s"/>
      <c r="E37" s="295" t="s"/>
      <c r="F37" s="295" t="s"/>
      <c r="G37" s="295">
        <f>=SUM(C37:F37)</f>
        <v>1475.7624</v>
      </c>
      <c r="H37" s="201" t="s">
        <v>273</v>
      </c>
      <c r="I37" s="296">
        <v>1960</v>
      </c>
      <c r="J37" s="297">
        <f>=4183*1.8</f>
        <v>7529.4</v>
      </c>
      <c r="K37" s="312" t="s">
        <v>444</v>
      </c>
      <c r="L37" s="298" t="s"/>
      <c r="M37" s="263" t="s"/>
      <c r="N37" s="263" t="s"/>
      <c r="O37" s="263" t="s"/>
      <c r="P37" s="263" t="s"/>
      <c r="Q37" s="263" t="s"/>
      <c r="R37" s="263" t="s"/>
      <c r="S37" s="263" t="s"/>
      <c r="T37" s="263" t="s"/>
      <c r="U37" s="263" t="s"/>
      <c r="V37" s="263" t="s"/>
      <c r="W37" s="263" t="s"/>
      <c r="X37" s="263" t="s"/>
      <c r="Y37" s="263" t="s"/>
    </row>
    <row r="38" spans="1:25" ht="32" customHeight="true">
      <c r="A38" s="201">
        <v>32</v>
      </c>
      <c r="B38" s="283" t="s">
        <v>445</v>
      </c>
      <c r="C38" s="295">
        <f>=I38*J38/10000</f>
        <v>120</v>
      </c>
      <c r="D38" s="295" t="s"/>
      <c r="E38" s="295" t="s"/>
      <c r="F38" s="295" t="s"/>
      <c r="G38" s="295">
        <f>=SUM(C38:F38)</f>
        <v>120</v>
      </c>
      <c r="H38" s="201" t="s">
        <v>2527</v>
      </c>
      <c r="I38" s="296">
        <v>400</v>
      </c>
      <c r="J38" s="297">
        <v>3000</v>
      </c>
      <c r="K38" s="312" t="s">
        <v>441</v>
      </c>
      <c r="L38" s="298" t="s"/>
      <c r="M38" s="263" t="s"/>
      <c r="N38" s="263" t="s"/>
      <c r="O38" s="263" t="s"/>
      <c r="P38" s="263" t="s"/>
      <c r="Q38" s="263" t="s"/>
      <c r="R38" s="263" t="s"/>
      <c r="S38" s="263" t="s"/>
      <c r="T38" s="263" t="s"/>
      <c r="U38" s="263" t="s"/>
      <c r="V38" s="263" t="s"/>
      <c r="W38" s="263" t="s"/>
      <c r="X38" s="263" t="s"/>
      <c r="Y38" s="263" t="s"/>
    </row>
    <row r="39" spans="1:25" ht="32" customHeight="true">
      <c r="A39" s="201">
        <v>33</v>
      </c>
      <c r="B39" s="283" t="s">
        <v>287</v>
      </c>
      <c r="C39" s="295">
        <f>=I39*J39/10000</f>
        <v>45</v>
      </c>
      <c r="D39" s="295" t="s"/>
      <c r="E39" s="295" t="s"/>
      <c r="F39" s="295" t="s"/>
      <c r="G39" s="295">
        <f>=SUM(C39:F39)</f>
        <v>45</v>
      </c>
      <c r="H39" s="201" t="s">
        <v>2527</v>
      </c>
      <c r="I39" s="296">
        <v>150</v>
      </c>
      <c r="J39" s="297">
        <v>3000</v>
      </c>
      <c r="K39" s="312" t="s">
        <v>441</v>
      </c>
      <c r="L39" s="298" t="s"/>
      <c r="M39" s="263" t="s"/>
      <c r="N39" s="263" t="s"/>
      <c r="O39" s="263" t="s"/>
      <c r="P39" s="263" t="s"/>
      <c r="Q39" s="263" t="s"/>
      <c r="R39" s="263" t="s"/>
      <c r="S39" s="263" t="s"/>
      <c r="T39" s="263" t="s"/>
      <c r="U39" s="263" t="s"/>
      <c r="V39" s="263" t="s"/>
      <c r="W39" s="263" t="s"/>
      <c r="X39" s="263" t="s"/>
      <c r="Y39" s="263" t="s"/>
    </row>
    <row r="40" spans="1:25" ht="32" customHeight="true">
      <c r="A40" s="201">
        <v>34</v>
      </c>
      <c r="B40" s="283" t="s">
        <v>446</v>
      </c>
      <c r="C40" s="295">
        <f>=I40*J40/10000</f>
        <v>90</v>
      </c>
      <c r="D40" s="295" t="s"/>
      <c r="E40" s="295" t="s"/>
      <c r="F40" s="295" t="s"/>
      <c r="G40" s="295">
        <f>=SUM(C40:F40)</f>
        <v>90</v>
      </c>
      <c r="H40" s="201" t="s">
        <v>2527</v>
      </c>
      <c r="I40" s="296">
        <v>300</v>
      </c>
      <c r="J40" s="297">
        <v>3000</v>
      </c>
      <c r="K40" s="312" t="s">
        <v>441</v>
      </c>
      <c r="L40" s="298" t="s"/>
      <c r="M40" s="263" t="s"/>
      <c r="N40" s="263" t="s"/>
      <c r="O40" s="263" t="s"/>
      <c r="P40" s="263" t="s"/>
      <c r="Q40" s="263" t="s"/>
      <c r="R40" s="263" t="s"/>
      <c r="S40" s="263" t="s"/>
      <c r="T40" s="263" t="s"/>
      <c r="U40" s="263" t="s"/>
      <c r="V40" s="263" t="s"/>
      <c r="W40" s="263" t="s"/>
      <c r="X40" s="263" t="s"/>
      <c r="Y40" s="263" t="s"/>
    </row>
    <row r="41" spans="1:25" ht="32" customHeight="true">
      <c r="A41" s="201">
        <v>35</v>
      </c>
      <c r="B41" s="283" t="s">
        <v>447</v>
      </c>
      <c r="C41" s="295">
        <f>=I41*J41/10000</f>
        <v>71</v>
      </c>
      <c r="D41" s="295" t="s"/>
      <c r="E41" s="295" t="s"/>
      <c r="F41" s="295" t="s"/>
      <c r="G41" s="295">
        <f>=SUM(C41:F41)</f>
        <v>71</v>
      </c>
      <c r="H41" s="201" t="s">
        <v>2527</v>
      </c>
      <c r="I41" s="296">
        <f>=300-16</f>
        <v>284</v>
      </c>
      <c r="J41" s="297">
        <v>2500</v>
      </c>
      <c r="K41" s="312" t="s">
        <v>441</v>
      </c>
      <c r="L41" s="298" t="s"/>
      <c r="M41" s="263" t="s"/>
      <c r="N41" s="263" t="s"/>
      <c r="O41" s="263" t="s"/>
      <c r="P41" s="263" t="s"/>
      <c r="Q41" s="263" t="s"/>
      <c r="R41" s="263" t="s"/>
      <c r="S41" s="263" t="s"/>
      <c r="T41" s="263" t="s"/>
      <c r="U41" s="263" t="s"/>
      <c r="V41" s="263" t="s"/>
      <c r="W41" s="263" t="s"/>
      <c r="X41" s="263" t="s"/>
      <c r="Y41" s="263" t="s"/>
    </row>
    <row r="42" spans="1:25" ht="32" customHeight="true">
      <c r="A42" s="201">
        <v>36</v>
      </c>
      <c r="B42" s="283" t="s">
        <v>448</v>
      </c>
      <c r="C42" s="295">
        <f>=I42*J42/10000</f>
        <v>25</v>
      </c>
      <c r="D42" s="295" t="s"/>
      <c r="E42" s="295" t="s"/>
      <c r="F42" s="295" t="s"/>
      <c r="G42" s="295">
        <f>=SUM(C42:F42)</f>
        <v>25</v>
      </c>
      <c r="H42" s="201" t="s">
        <v>388</v>
      </c>
      <c r="I42" s="296">
        <v>1</v>
      </c>
      <c r="J42" s="297">
        <v>250000</v>
      </c>
      <c r="K42" s="312" t="s">
        <v>441</v>
      </c>
      <c r="L42" s="298" t="s"/>
      <c r="M42" s="263" t="s"/>
      <c r="N42" s="263" t="s"/>
      <c r="O42" s="263" t="s"/>
      <c r="P42" s="263" t="s"/>
      <c r="Q42" s="263" t="s"/>
      <c r="R42" s="263" t="s"/>
      <c r="S42" s="263" t="s"/>
      <c r="T42" s="263" t="s"/>
      <c r="U42" s="263" t="s"/>
      <c r="V42" s="263" t="s"/>
      <c r="W42" s="263" t="s"/>
      <c r="X42" s="263" t="s"/>
      <c r="Y42" s="263" t="s"/>
    </row>
    <row r="43" spans="1:25" ht="32" customHeight="true">
      <c r="A43" s="201" t="s"/>
      <c r="B43" s="283" t="s"/>
      <c r="C43" s="295" t="s"/>
      <c r="D43" s="295" t="s"/>
      <c r="E43" s="295" t="s"/>
      <c r="F43" s="295" t="s"/>
      <c r="G43" s="295" t="s"/>
      <c r="H43" s="201" t="s"/>
      <c r="I43" s="296" t="s"/>
      <c r="J43" s="297" t="s"/>
      <c r="K43" s="312" t="s"/>
      <c r="L43" s="298" t="s"/>
      <c r="M43" s="263" t="s"/>
      <c r="N43" s="263" t="s"/>
      <c r="O43" s="263" t="s"/>
      <c r="P43" s="263" t="s"/>
      <c r="Q43" s="263" t="s"/>
      <c r="R43" s="263" t="s"/>
      <c r="S43" s="263" t="s"/>
      <c r="T43" s="263" t="s"/>
      <c r="U43" s="263" t="s"/>
      <c r="V43" s="263" t="s"/>
      <c r="W43" s="263" t="s"/>
      <c r="X43" s="263" t="s"/>
      <c r="Y43" s="263" t="s"/>
    </row>
    <row r="44" spans="1:25" ht="32" customHeight="true">
      <c r="A44" s="280" t="s">
        <v>449</v>
      </c>
      <c r="B44" s="278" t="s">
        <v>450</v>
      </c>
      <c r="C44" s="279">
        <f>=SUM(C45:C65)</f>
        <v>0</v>
      </c>
      <c r="D44" s="279" t="e">
        <f>=SUM(D45:D65)</f>
        <v>#VALUE!</v>
      </c>
      <c r="E44" s="279" t="e">
        <f>=SUM(E45:E65)</f>
        <v>#VALUE!</v>
      </c>
      <c r="F44" s="279" t="s"/>
      <c r="G44" s="279" t="e">
        <f>=SUM(C44:F44)</f>
        <v>#VALUE!</v>
      </c>
      <c r="H44" s="280" t="s">
        <v>2525</v>
      </c>
      <c r="I44" s="281">
        <v>100000</v>
      </c>
      <c r="J44" s="282" t="e">
        <f>=G44/I44*10000</f>
        <v>#VALUE!</v>
      </c>
      <c r="K44" s="282" t="s"/>
      <c r="L44" s="313" t="s"/>
      <c r="M44" s="263" t="s"/>
      <c r="N44" s="263" t="s"/>
      <c r="O44" s="263" t="s"/>
      <c r="P44" s="263" t="s"/>
      <c r="Q44" s="263" t="s"/>
      <c r="R44" s="263" t="s"/>
      <c r="S44" s="263" t="s"/>
      <c r="T44" s="263" t="s"/>
      <c r="U44" s="263" t="s"/>
      <c r="V44" s="263" t="s"/>
      <c r="W44" s="263" t="s"/>
      <c r="X44" s="263" t="s"/>
      <c r="Y44" s="263" t="s"/>
    </row>
    <row r="45" spans="1:25" ht="32" customHeight="true">
      <c r="A45" s="201">
        <v>1</v>
      </c>
      <c r="B45" s="283" t="s">
        <v>451</v>
      </c>
      <c r="C45" s="279" t="s"/>
      <c r="D45" s="295" t="e">
        <f>=#REF!H3</f>
        <v>#VALUE!</v>
      </c>
      <c r="E45" s="295" t="e">
        <f>=D45*0.15+50</f>
        <v>#VALUE!</v>
      </c>
      <c r="F45" s="295" t="s"/>
      <c r="G45" s="295" t="e">
        <f>=SUM(C45:F45)</f>
        <v>#VALUE!</v>
      </c>
      <c r="H45" s="201" t="s">
        <v>2533</v>
      </c>
      <c r="I45" s="314">
        <v>100000</v>
      </c>
      <c r="J45" s="297" t="e">
        <f>=G45/I45*10000</f>
        <v>#VALUE!</v>
      </c>
      <c r="K45" s="297" t="s"/>
      <c r="L45" s="298" t="s"/>
      <c r="M45" s="263" t="s"/>
      <c r="N45" s="263" t="s"/>
      <c r="O45" s="263" t="s"/>
      <c r="P45" s="263" t="s"/>
      <c r="Q45" s="263" t="s"/>
      <c r="R45" s="263" t="s"/>
      <c r="S45" s="263" t="s"/>
      <c r="T45" s="263" t="s"/>
      <c r="U45" s="263" t="s"/>
      <c r="V45" s="263" t="s"/>
      <c r="W45" s="263" t="s"/>
      <c r="X45" s="263" t="s"/>
      <c r="Y45" s="263" t="s"/>
    </row>
    <row r="46" spans="1:25" ht="32" customHeight="true">
      <c r="A46" s="201">
        <v>2</v>
      </c>
      <c r="B46" s="283" t="s">
        <v>452</v>
      </c>
      <c r="C46" s="279" t="s"/>
      <c r="D46" s="295" t="e">
        <f>=#REF!H9</f>
        <v>#VALUE!</v>
      </c>
      <c r="E46" s="295" t="e">
        <f>=D46*0.15+55</f>
        <v>#VALUE!</v>
      </c>
      <c r="F46" s="295" t="s"/>
      <c r="G46" s="295" t="e">
        <f>=SUM(C46:F46)</f>
        <v>#VALUE!</v>
      </c>
      <c r="H46" s="201" t="s">
        <v>2533</v>
      </c>
      <c r="I46" s="314">
        <v>100000</v>
      </c>
      <c r="J46" s="297" t="e">
        <f>=G46/I46*10000</f>
        <v>#VALUE!</v>
      </c>
      <c r="K46" s="297" t="s"/>
      <c r="L46" s="298" t="s"/>
      <c r="M46" s="263" t="s"/>
      <c r="N46" s="263" t="s"/>
      <c r="O46" s="263" t="s"/>
      <c r="P46" s="263" t="s"/>
      <c r="Q46" s="263" t="s"/>
      <c r="R46" s="263" t="s"/>
      <c r="S46" s="263" t="s"/>
      <c r="T46" s="263" t="s"/>
      <c r="U46" s="263" t="s"/>
      <c r="V46" s="263" t="s"/>
      <c r="W46" s="263" t="s"/>
      <c r="X46" s="263" t="s"/>
      <c r="Y46" s="263" t="s"/>
    </row>
    <row r="47" spans="1:25" ht="32" customHeight="true">
      <c r="A47" s="201">
        <v>3</v>
      </c>
      <c r="B47" s="283" t="s">
        <v>398</v>
      </c>
      <c r="C47" s="279" t="s"/>
      <c r="D47" s="295" t="e">
        <f>=#REF!H70</f>
        <v>#VALUE!</v>
      </c>
      <c r="E47" s="295" t="e">
        <f>=D47*0.15+80</f>
        <v>#VALUE!</v>
      </c>
      <c r="F47" s="295" t="s"/>
      <c r="G47" s="295" t="e">
        <f>=SUM(C47:F47)</f>
        <v>#VALUE!</v>
      </c>
      <c r="H47" s="201" t="s">
        <v>2533</v>
      </c>
      <c r="I47" s="314">
        <v>100000</v>
      </c>
      <c r="J47" s="297" t="e">
        <f>=G47/I47*10000</f>
        <v>#VALUE!</v>
      </c>
      <c r="K47" s="297" t="s"/>
      <c r="L47" s="298" t="s"/>
      <c r="M47" s="263" t="s"/>
      <c r="N47" s="263" t="s"/>
      <c r="O47" s="263" t="s"/>
      <c r="P47" s="263" t="s"/>
      <c r="Q47" s="263" t="s"/>
      <c r="R47" s="263" t="s"/>
      <c r="S47" s="263" t="s"/>
      <c r="T47" s="263" t="s"/>
      <c r="U47" s="263" t="s"/>
      <c r="V47" s="263" t="s"/>
      <c r="W47" s="263" t="s"/>
      <c r="X47" s="263" t="s"/>
      <c r="Y47" s="263" t="s"/>
    </row>
    <row r="48" spans="1:25" ht="32" customHeight="true">
      <c r="A48" s="201">
        <v>4</v>
      </c>
      <c r="B48" s="283" t="s">
        <v>400</v>
      </c>
      <c r="C48" s="279" t="s"/>
      <c r="D48" s="295" t="e">
        <f>=#REF!H100</f>
        <v>#VALUE!</v>
      </c>
      <c r="E48" s="295" t="e">
        <f>=D48*0.15+20</f>
        <v>#VALUE!</v>
      </c>
      <c r="F48" s="295" t="s"/>
      <c r="G48" s="295" t="e">
        <f>=SUM(C48:F48)</f>
        <v>#VALUE!</v>
      </c>
      <c r="H48" s="201" t="s">
        <v>2533</v>
      </c>
      <c r="I48" s="314">
        <v>100000</v>
      </c>
      <c r="J48" s="297" t="e">
        <f>=G48/I48*10000</f>
        <v>#VALUE!</v>
      </c>
      <c r="K48" s="297" t="s"/>
      <c r="L48" s="298" t="s"/>
      <c r="M48" s="263" t="s"/>
      <c r="N48" s="263" t="s"/>
      <c r="O48" s="263" t="s"/>
      <c r="P48" s="263" t="s"/>
      <c r="Q48" s="263" t="s"/>
      <c r="R48" s="263" t="s"/>
      <c r="S48" s="263" t="s"/>
      <c r="T48" s="263" t="s"/>
      <c r="U48" s="263" t="s"/>
      <c r="V48" s="263" t="s"/>
      <c r="W48" s="263" t="s"/>
      <c r="X48" s="263" t="s"/>
      <c r="Y48" s="263" t="s"/>
    </row>
    <row r="49" spans="1:25" ht="32" customHeight="true">
      <c r="A49" s="201">
        <v>5</v>
      </c>
      <c r="B49" s="283" t="s">
        <v>402</v>
      </c>
      <c r="C49" s="279" t="s"/>
      <c r="D49" s="295">
        <v>2663</v>
      </c>
      <c r="E49" s="295">
        <f>=D49*0.08+30</f>
        <v>243.04</v>
      </c>
      <c r="F49" s="295" t="s"/>
      <c r="G49" s="295">
        <f>=SUM(C49:F49)</f>
        <v>2906.04</v>
      </c>
      <c r="H49" s="201" t="s">
        <v>2533</v>
      </c>
      <c r="I49" s="314">
        <v>100000</v>
      </c>
      <c r="J49" s="297">
        <f>=G49/I49*10000</f>
        <v>290.604</v>
      </c>
      <c r="K49" s="297" t="s"/>
      <c r="L49" s="298" t="s"/>
      <c r="M49" s="263" t="s"/>
      <c r="N49" s="263" t="s"/>
      <c r="O49" s="263" t="s"/>
      <c r="P49" s="263" t="s"/>
      <c r="Q49" s="263" t="s"/>
      <c r="R49" s="263" t="s"/>
      <c r="S49" s="263" t="s"/>
      <c r="T49" s="263" t="s"/>
      <c r="U49" s="263" t="s"/>
      <c r="V49" s="263" t="s"/>
      <c r="W49" s="263" t="s"/>
      <c r="X49" s="263" t="s"/>
      <c r="Y49" s="263" t="s"/>
    </row>
    <row r="50" spans="1:25" ht="32" customHeight="true">
      <c r="A50" s="201">
        <v>6</v>
      </c>
      <c r="B50" s="283" t="s">
        <v>434</v>
      </c>
      <c r="C50" s="279" t="s"/>
      <c r="D50" s="295" t="e">
        <f>=#REF!H138</f>
        <v>#VALUE!</v>
      </c>
      <c r="E50" s="295" t="e">
        <f>=D50*0.08+5</f>
        <v>#VALUE!</v>
      </c>
      <c r="F50" s="295" t="s"/>
      <c r="G50" s="295" t="e">
        <f>=SUM(C50:F50)</f>
        <v>#VALUE!</v>
      </c>
      <c r="H50" s="201" t="s">
        <v>2533</v>
      </c>
      <c r="I50" s="314">
        <v>100000</v>
      </c>
      <c r="J50" s="297" t="e">
        <f>=G50/I50*10000</f>
        <v>#VALUE!</v>
      </c>
      <c r="K50" s="297" t="s"/>
      <c r="L50" s="298" t="s"/>
      <c r="M50" s="263" t="s"/>
      <c r="N50" s="263" t="s"/>
      <c r="O50" s="263" t="s"/>
      <c r="P50" s="263" t="s"/>
      <c r="Q50" s="263" t="s"/>
      <c r="R50" s="263" t="s"/>
      <c r="S50" s="263" t="s"/>
      <c r="T50" s="263" t="s"/>
      <c r="U50" s="263" t="s"/>
      <c r="V50" s="263" t="s"/>
      <c r="W50" s="263" t="s"/>
      <c r="X50" s="263" t="s"/>
      <c r="Y50" s="263" t="s"/>
    </row>
    <row r="51" spans="1:25" ht="32" customHeight="true">
      <c r="A51" s="201">
        <v>7</v>
      </c>
      <c r="B51" s="283" t="s">
        <v>453</v>
      </c>
      <c r="C51" s="279" t="s"/>
      <c r="D51" s="295" t="e">
        <f>=#REF!H142</f>
        <v>#VALUE!</v>
      </c>
      <c r="E51" s="295" t="e">
        <f>=D51*0.1+15</f>
        <v>#VALUE!</v>
      </c>
      <c r="F51" s="295" t="s"/>
      <c r="G51" s="295" t="e">
        <f>=SUM(C51:F51)</f>
        <v>#VALUE!</v>
      </c>
      <c r="H51" s="201" t="s">
        <v>2533</v>
      </c>
      <c r="I51" s="314">
        <v>100000</v>
      </c>
      <c r="J51" s="297" t="e">
        <f>=G51/I51*10000</f>
        <v>#VALUE!</v>
      </c>
      <c r="K51" s="297" t="s"/>
      <c r="L51" s="298" t="s"/>
      <c r="M51" s="263" t="s"/>
      <c r="N51" s="263" t="s"/>
      <c r="O51" s="263" t="s"/>
      <c r="P51" s="263" t="s"/>
      <c r="Q51" s="263" t="s"/>
      <c r="R51" s="263" t="s"/>
      <c r="S51" s="263" t="s"/>
      <c r="T51" s="263" t="s"/>
      <c r="U51" s="263" t="s"/>
      <c r="V51" s="263" t="s"/>
      <c r="W51" s="263" t="s"/>
      <c r="X51" s="263" t="s"/>
      <c r="Y51" s="263" t="s"/>
    </row>
    <row r="52" spans="1:25" ht="32" customHeight="true">
      <c r="A52" s="201">
        <v>8</v>
      </c>
      <c r="B52" s="283" t="s">
        <v>454</v>
      </c>
      <c r="C52" s="279" t="s"/>
      <c r="D52" s="295" t="e">
        <f>=#REF!H179</f>
        <v>#VALUE!</v>
      </c>
      <c r="E52" s="295" t="e">
        <f>=D52*0.15+25</f>
        <v>#VALUE!</v>
      </c>
      <c r="F52" s="295" t="s"/>
      <c r="G52" s="295" t="e">
        <f>=SUM(C52:F52)</f>
        <v>#VALUE!</v>
      </c>
      <c r="H52" s="201" t="s">
        <v>2533</v>
      </c>
      <c r="I52" s="314">
        <v>100000</v>
      </c>
      <c r="J52" s="297" t="e">
        <f>=G52/I52*10000</f>
        <v>#VALUE!</v>
      </c>
      <c r="K52" s="297" t="s"/>
      <c r="L52" s="298" t="s"/>
      <c r="M52" s="263" t="s"/>
      <c r="N52" s="263" t="s"/>
      <c r="O52" s="263" t="s"/>
      <c r="P52" s="263" t="s"/>
      <c r="Q52" s="263" t="s"/>
      <c r="R52" s="263" t="s"/>
      <c r="S52" s="263" t="s"/>
      <c r="T52" s="263" t="s"/>
      <c r="U52" s="263" t="s"/>
      <c r="V52" s="263" t="s"/>
      <c r="W52" s="263" t="s"/>
      <c r="X52" s="263" t="s"/>
      <c r="Y52" s="263" t="s"/>
    </row>
    <row r="53" spans="1:25" ht="32" customHeight="true">
      <c r="A53" s="201">
        <v>9</v>
      </c>
      <c r="B53" s="283" t="s">
        <v>420</v>
      </c>
      <c r="C53" s="279" t="s"/>
      <c r="D53" s="295" t="e">
        <f>=#REF!H192</f>
        <v>#VALUE!</v>
      </c>
      <c r="E53" s="295" t="e">
        <f>=D53*0.1+5</f>
        <v>#VALUE!</v>
      </c>
      <c r="F53" s="295" t="s"/>
      <c r="G53" s="295" t="e">
        <f>=SUM(C53:F53)</f>
        <v>#VALUE!</v>
      </c>
      <c r="H53" s="201" t="s">
        <v>2533</v>
      </c>
      <c r="I53" s="314">
        <v>100000</v>
      </c>
      <c r="J53" s="297" t="e">
        <f>=G53/I53*10000</f>
        <v>#VALUE!</v>
      </c>
      <c r="K53" s="297" t="s"/>
      <c r="L53" s="298" t="s"/>
      <c r="M53" s="263" t="s"/>
      <c r="N53" s="263" t="s"/>
      <c r="O53" s="263" t="s"/>
      <c r="P53" s="263" t="s"/>
      <c r="Q53" s="263" t="s"/>
      <c r="R53" s="263" t="s"/>
      <c r="S53" s="263" t="s"/>
      <c r="T53" s="263" t="s"/>
      <c r="U53" s="263" t="s"/>
      <c r="V53" s="263" t="s"/>
      <c r="W53" s="263" t="s"/>
      <c r="X53" s="263" t="s"/>
      <c r="Y53" s="263" t="s"/>
    </row>
    <row r="54" spans="1:25" ht="32" customHeight="true">
      <c r="A54" s="201">
        <v>10</v>
      </c>
      <c r="B54" s="283" t="s">
        <v>455</v>
      </c>
      <c r="C54" s="279" t="s"/>
      <c r="D54" s="295" t="e">
        <f>=#REF!H203</f>
        <v>#VALUE!</v>
      </c>
      <c r="E54" s="295" t="e">
        <f>=D54*0.15+3</f>
        <v>#VALUE!</v>
      </c>
      <c r="F54" s="295" t="s"/>
      <c r="G54" s="295" t="e">
        <f>=SUM(C54:F54)</f>
        <v>#VALUE!</v>
      </c>
      <c r="H54" s="201" t="s">
        <v>2533</v>
      </c>
      <c r="I54" s="314">
        <v>100000</v>
      </c>
      <c r="J54" s="297" t="e">
        <f>=G54/I54*10000</f>
        <v>#VALUE!</v>
      </c>
      <c r="K54" s="297" t="s"/>
      <c r="L54" s="298" t="s"/>
      <c r="M54" s="263" t="s"/>
      <c r="N54" s="263" t="s"/>
      <c r="O54" s="263" t="s"/>
      <c r="P54" s="263" t="s"/>
      <c r="Q54" s="263" t="s"/>
      <c r="R54" s="263" t="s"/>
      <c r="S54" s="263" t="s"/>
      <c r="T54" s="263" t="s"/>
      <c r="U54" s="263" t="s"/>
      <c r="V54" s="263" t="s"/>
      <c r="W54" s="263" t="s"/>
      <c r="X54" s="263" t="s"/>
      <c r="Y54" s="263" t="s"/>
    </row>
    <row r="55" spans="1:25" ht="32" customHeight="true">
      <c r="A55" s="201">
        <v>11</v>
      </c>
      <c r="B55" s="283" t="s">
        <v>456</v>
      </c>
      <c r="C55" s="279" t="s"/>
      <c r="D55" s="295">
        <v>2779.03</v>
      </c>
      <c r="E55" s="295">
        <v>2011.25</v>
      </c>
      <c r="F55" s="295" t="s"/>
      <c r="G55" s="295">
        <f>=SUM(C55:F55)</f>
        <v>4790.28</v>
      </c>
      <c r="H55" s="201" t="s">
        <v>2533</v>
      </c>
      <c r="I55" s="314">
        <v>100000</v>
      </c>
      <c r="J55" s="297">
        <f>=G55/I55*10000</f>
        <v>479.028</v>
      </c>
      <c r="K55" s="297" t="s"/>
      <c r="L55" s="298" t="s"/>
      <c r="M55" s="263" t="s"/>
      <c r="N55" s="263" t="s"/>
      <c r="O55" s="263" t="s"/>
      <c r="P55" s="263" t="s"/>
      <c r="Q55" s="263" t="s"/>
      <c r="R55" s="263" t="s"/>
      <c r="S55" s="263" t="s"/>
      <c r="T55" s="263" t="s"/>
      <c r="U55" s="263" t="s"/>
      <c r="V55" s="263" t="s"/>
      <c r="W55" s="263" t="s"/>
      <c r="X55" s="263" t="s"/>
      <c r="Y55" s="263" t="s"/>
    </row>
    <row r="56" spans="1:25" ht="32" customHeight="true">
      <c r="A56" s="201">
        <v>12</v>
      </c>
      <c r="B56" s="283" t="s">
        <v>457</v>
      </c>
      <c r="C56" s="279" t="s"/>
      <c r="D56" s="295" t="e">
        <f>=#REF!H225</f>
        <v>#VALUE!</v>
      </c>
      <c r="E56" s="295" t="e">
        <f>=D56*0.15+120</f>
        <v>#VALUE!</v>
      </c>
      <c r="F56" s="295" t="s"/>
      <c r="G56" s="295" t="e">
        <f>=SUM(C56:F56)</f>
        <v>#VALUE!</v>
      </c>
      <c r="H56" s="201" t="s">
        <v>2533</v>
      </c>
      <c r="I56" s="314">
        <v>100000</v>
      </c>
      <c r="J56" s="297" t="e">
        <f>=G56/I56*10000</f>
        <v>#VALUE!</v>
      </c>
      <c r="K56" s="297" t="s"/>
      <c r="L56" s="298" t="s"/>
      <c r="M56" s="263" t="s"/>
      <c r="N56" s="263" t="s"/>
      <c r="O56" s="263" t="s"/>
      <c r="P56" s="263" t="s"/>
      <c r="Q56" s="263" t="s"/>
      <c r="R56" s="263" t="s"/>
      <c r="S56" s="263" t="s"/>
      <c r="T56" s="263" t="s"/>
      <c r="U56" s="263" t="s"/>
      <c r="V56" s="263" t="s"/>
      <c r="W56" s="263" t="s"/>
      <c r="X56" s="263" t="s"/>
      <c r="Y56" s="263" t="s"/>
    </row>
    <row r="57" spans="1:25" ht="32" customHeight="true">
      <c r="A57" s="201">
        <v>13</v>
      </c>
      <c r="B57" s="283" t="s">
        <v>458</v>
      </c>
      <c r="C57" s="279" t="s"/>
      <c r="D57" s="295">
        <v>11.25</v>
      </c>
      <c r="E57" s="295" t="s"/>
      <c r="F57" s="295" t="s"/>
      <c r="G57" s="295">
        <f>=SUM(C57:F57)</f>
        <v>11.25</v>
      </c>
      <c r="H57" s="201" t="s">
        <v>2533</v>
      </c>
      <c r="I57" s="314">
        <v>100000</v>
      </c>
      <c r="J57" s="297">
        <f>=G57/I57*10000</f>
        <v>1.125</v>
      </c>
      <c r="K57" s="297" t="s"/>
      <c r="L57" s="298" t="s"/>
      <c r="M57" s="263" t="s"/>
      <c r="N57" s="263" t="s"/>
      <c r="O57" s="263" t="s"/>
      <c r="P57" s="263" t="s"/>
      <c r="Q57" s="263" t="s"/>
      <c r="R57" s="263" t="s"/>
      <c r="S57" s="263" t="s"/>
      <c r="T57" s="263" t="s"/>
      <c r="U57" s="263" t="s"/>
      <c r="V57" s="263" t="s"/>
      <c r="W57" s="263" t="s"/>
      <c r="X57" s="263" t="s"/>
      <c r="Y57" s="263" t="s"/>
    </row>
    <row r="58" spans="1:25" ht="32" customHeight="true">
      <c r="A58" s="201">
        <v>14</v>
      </c>
      <c r="B58" s="283" t="s">
        <v>459</v>
      </c>
      <c r="C58" s="279" t="s"/>
      <c r="D58" s="295">
        <v>69.12</v>
      </c>
      <c r="E58" s="295" t="s"/>
      <c r="F58" s="295" t="s"/>
      <c r="G58" s="295">
        <f>=SUM(C58:F58)</f>
        <v>69.12</v>
      </c>
      <c r="H58" s="201" t="s">
        <v>2533</v>
      </c>
      <c r="I58" s="314">
        <v>100000</v>
      </c>
      <c r="J58" s="297">
        <f>=G58/I58*10000</f>
        <v>6.912</v>
      </c>
      <c r="K58" s="297" t="s"/>
      <c r="L58" s="298" t="s"/>
      <c r="M58" s="263" t="s"/>
      <c r="N58" s="263" t="s"/>
      <c r="O58" s="263" t="s"/>
      <c r="P58" s="263" t="s"/>
      <c r="Q58" s="263" t="s"/>
      <c r="R58" s="263" t="s"/>
      <c r="S58" s="263" t="s"/>
      <c r="T58" s="263" t="s"/>
      <c r="U58" s="263" t="s"/>
      <c r="V58" s="263" t="s"/>
      <c r="W58" s="263" t="s"/>
      <c r="X58" s="263" t="s"/>
      <c r="Y58" s="263" t="s"/>
    </row>
    <row r="59" spans="1:25" ht="32" customHeight="true">
      <c r="A59" s="201">
        <v>15</v>
      </c>
      <c r="B59" s="283" t="s">
        <v>460</v>
      </c>
      <c r="C59" s="279" t="s"/>
      <c r="D59" s="295">
        <v>180</v>
      </c>
      <c r="E59" s="295" t="s"/>
      <c r="F59" s="295" t="s"/>
      <c r="G59" s="295">
        <f>=SUM(C59:F59)</f>
        <v>180</v>
      </c>
      <c r="H59" s="201" t="s">
        <v>2533</v>
      </c>
      <c r="I59" s="314">
        <v>100000</v>
      </c>
      <c r="J59" s="297">
        <f>=G59/I59*10000</f>
        <v>18</v>
      </c>
      <c r="K59" s="297" t="s"/>
      <c r="L59" s="298" t="s"/>
      <c r="M59" s="263" t="s"/>
      <c r="N59" s="263" t="s"/>
      <c r="O59" s="263" t="s"/>
      <c r="P59" s="263" t="s"/>
      <c r="Q59" s="263" t="s"/>
      <c r="R59" s="263" t="s"/>
      <c r="S59" s="263" t="s"/>
      <c r="T59" s="263" t="s"/>
      <c r="U59" s="263" t="s"/>
      <c r="V59" s="263" t="s"/>
      <c r="W59" s="263" t="s"/>
      <c r="X59" s="263" t="s"/>
      <c r="Y59" s="263" t="s"/>
    </row>
    <row r="60" spans="1:25" ht="32" customHeight="true">
      <c r="A60" s="201">
        <v>16</v>
      </c>
      <c r="B60" s="283" t="s">
        <v>461</v>
      </c>
      <c r="C60" s="279" t="s"/>
      <c r="D60" s="295" t="s"/>
      <c r="E60" s="295">
        <v>620.77</v>
      </c>
      <c r="F60" s="295" t="s"/>
      <c r="G60" s="295">
        <f>=SUM(C60:F60)</f>
        <v>620.77</v>
      </c>
      <c r="H60" s="201" t="s">
        <v>2533</v>
      </c>
      <c r="I60" s="314">
        <v>100000</v>
      </c>
      <c r="J60" s="297">
        <f>=G60/I60*10000</f>
        <v>62.077</v>
      </c>
      <c r="K60" s="297" t="s"/>
      <c r="L60" s="298" t="s"/>
      <c r="M60" s="263" t="s"/>
      <c r="N60" s="263" t="s"/>
      <c r="O60" s="263" t="s"/>
      <c r="P60" s="263" t="s"/>
      <c r="Q60" s="263" t="s"/>
      <c r="R60" s="263" t="s"/>
      <c r="S60" s="263" t="s"/>
      <c r="T60" s="263" t="s"/>
      <c r="U60" s="263" t="s"/>
      <c r="V60" s="263" t="s"/>
      <c r="W60" s="263" t="s"/>
      <c r="X60" s="263" t="s"/>
      <c r="Y60" s="263" t="s"/>
    </row>
    <row r="61" spans="1:25" ht="32" customHeight="true">
      <c r="A61" s="201">
        <v>17</v>
      </c>
      <c r="B61" s="283" t="s">
        <v>462</v>
      </c>
      <c r="C61" s="279" t="s"/>
      <c r="D61" s="295">
        <v>1338.79</v>
      </c>
      <c r="E61" s="295">
        <f>=D61*0.15+1200</f>
        <v>1400.8185</v>
      </c>
      <c r="F61" s="295" t="s"/>
      <c r="G61" s="295">
        <f>=SUM(C61:F61)</f>
        <v>2739.6085</v>
      </c>
      <c r="H61" s="201" t="s">
        <v>2533</v>
      </c>
      <c r="I61" s="314">
        <v>100000</v>
      </c>
      <c r="J61" s="297">
        <f>=G61/I61*10000</f>
        <v>273.96085</v>
      </c>
      <c r="K61" s="297" t="s"/>
      <c r="L61" s="298" t="s"/>
      <c r="M61" s="263" t="s"/>
      <c r="N61" s="263" t="s"/>
      <c r="O61" s="263" t="s"/>
      <c r="P61" s="263" t="s"/>
      <c r="Q61" s="263" t="s"/>
      <c r="R61" s="263" t="s"/>
      <c r="S61" s="263" t="s"/>
      <c r="T61" s="263" t="s"/>
      <c r="U61" s="263" t="s"/>
      <c r="V61" s="263" t="s"/>
      <c r="W61" s="263" t="s"/>
      <c r="X61" s="263" t="s"/>
      <c r="Y61" s="263" t="s"/>
    </row>
    <row r="62" spans="1:25" ht="32" customHeight="true">
      <c r="A62" s="201">
        <v>18</v>
      </c>
      <c r="B62" s="283" t="s">
        <v>463</v>
      </c>
      <c r="C62" s="279" t="s"/>
      <c r="D62" s="295" t="s"/>
      <c r="E62" s="295">
        <f>=I62*J62/10000</f>
        <v>540</v>
      </c>
      <c r="F62" s="295" t="s"/>
      <c r="G62" s="295">
        <f>=SUM(C62:F62)</f>
        <v>540</v>
      </c>
      <c r="H62" s="201" t="s">
        <v>273</v>
      </c>
      <c r="I62" s="314">
        <v>3000</v>
      </c>
      <c r="J62" s="297">
        <v>1800</v>
      </c>
      <c r="K62" s="297" t="s"/>
      <c r="L62" s="298" t="s"/>
      <c r="M62" s="263" t="s"/>
      <c r="N62" s="263" t="s"/>
      <c r="O62" s="263" t="s"/>
      <c r="P62" s="263" t="s"/>
      <c r="Q62" s="263" t="s"/>
      <c r="R62" s="263" t="s"/>
      <c r="S62" s="263" t="s"/>
      <c r="T62" s="263" t="s"/>
      <c r="U62" s="263" t="s"/>
      <c r="V62" s="263" t="s"/>
      <c r="W62" s="263" t="s"/>
      <c r="X62" s="263" t="s"/>
      <c r="Y62" s="263" t="s"/>
    </row>
    <row r="63" spans="1:25" ht="32" customHeight="true">
      <c r="A63" s="201">
        <v>19</v>
      </c>
      <c r="B63" s="283" t="s">
        <v>464</v>
      </c>
      <c r="C63" s="279" t="s"/>
      <c r="D63" s="295">
        <v>2310.77</v>
      </c>
      <c r="E63" s="295">
        <f>=D63*0.15+600</f>
        <v>946.6155</v>
      </c>
      <c r="F63" s="295" t="s"/>
      <c r="G63" s="295">
        <f>=SUM(C63:F63)</f>
        <v>3257.3855</v>
      </c>
      <c r="H63" s="201" t="s">
        <v>2533</v>
      </c>
      <c r="I63" s="314">
        <v>100000</v>
      </c>
      <c r="J63" s="297">
        <f>=G63/I63*10000</f>
        <v>325.73855</v>
      </c>
      <c r="K63" s="297" t="s"/>
      <c r="L63" s="298" t="s"/>
      <c r="M63" s="263" t="s"/>
      <c r="N63" s="263" t="s"/>
      <c r="O63" s="263" t="s"/>
      <c r="P63" s="263" t="s"/>
      <c r="Q63" s="263" t="s"/>
      <c r="R63" s="263" t="s"/>
      <c r="S63" s="263" t="s"/>
      <c r="T63" s="263" t="s"/>
      <c r="U63" s="263" t="s"/>
      <c r="V63" s="263" t="s"/>
      <c r="W63" s="263" t="s"/>
      <c r="X63" s="263" t="s"/>
      <c r="Y63" s="263" t="s"/>
    </row>
    <row r="64" spans="1:25" ht="32" customHeight="true">
      <c r="A64" s="201">
        <v>20</v>
      </c>
      <c r="B64" s="283" t="s">
        <v>465</v>
      </c>
      <c r="C64" s="279" t="s"/>
      <c r="D64" s="295">
        <v>216.75</v>
      </c>
      <c r="E64" s="295">
        <v>201.12</v>
      </c>
      <c r="F64" s="295" t="s"/>
      <c r="G64" s="295">
        <f>=SUM(C64:F64)</f>
        <v>417.87</v>
      </c>
      <c r="H64" s="201" t="s">
        <v>2533</v>
      </c>
      <c r="I64" s="314">
        <v>100000</v>
      </c>
      <c r="J64" s="297">
        <f>=G64/I64*10000</f>
        <v>41.787</v>
      </c>
      <c r="K64" s="297" t="s"/>
      <c r="L64" s="298" t="s"/>
      <c r="M64" s="263" t="s"/>
      <c r="N64" s="263" t="s"/>
      <c r="O64" s="263" t="s"/>
      <c r="P64" s="263" t="s"/>
      <c r="Q64" s="263" t="s"/>
      <c r="R64" s="263" t="s"/>
      <c r="S64" s="263" t="s"/>
      <c r="T64" s="263" t="s"/>
      <c r="U64" s="263" t="s"/>
      <c r="V64" s="263" t="s"/>
      <c r="W64" s="263" t="s"/>
      <c r="X64" s="263" t="s"/>
      <c r="Y64" s="263" t="s"/>
    </row>
    <row r="65" spans="1:25" ht="32" customHeight="true">
      <c r="A65" s="201">
        <v>21</v>
      </c>
      <c r="B65" s="283" t="s">
        <v>466</v>
      </c>
      <c r="C65" s="279" t="s"/>
      <c r="D65" s="295">
        <v>216.95</v>
      </c>
      <c r="E65" s="295" t="s"/>
      <c r="F65" s="295" t="s"/>
      <c r="G65" s="295">
        <f>=SUM(C65:F65)</f>
        <v>216.95</v>
      </c>
      <c r="H65" s="201" t="s">
        <v>2533</v>
      </c>
      <c r="I65" s="314">
        <v>100000</v>
      </c>
      <c r="J65" s="297">
        <f>=G65/I65*10000</f>
        <v>21.695</v>
      </c>
      <c r="K65" s="297" t="s"/>
      <c r="L65" s="298" t="s"/>
      <c r="M65" s="263" t="s"/>
      <c r="N65" s="263" t="s"/>
      <c r="O65" s="263" t="s"/>
      <c r="P65" s="263" t="s"/>
      <c r="Q65" s="263" t="s"/>
      <c r="R65" s="263" t="s"/>
      <c r="S65" s="263" t="s"/>
      <c r="T65" s="263" t="s"/>
      <c r="U65" s="263" t="s"/>
      <c r="V65" s="263" t="s"/>
      <c r="W65" s="263" t="s"/>
      <c r="X65" s="263" t="s"/>
      <c r="Y65" s="263" t="s"/>
    </row>
    <row r="66" spans="1:25" ht="32" customHeight="true">
      <c r="A66" s="201" t="s"/>
      <c r="B66" s="283" t="s"/>
      <c r="C66" s="295">
        <f>=I66*J66/10000</f>
        <v>0</v>
      </c>
      <c r="D66" s="295" t="s"/>
      <c r="E66" s="295" t="s"/>
      <c r="F66" s="295" t="s"/>
      <c r="G66" s="295">
        <f>=SUM(C66:F66)</f>
        <v>0</v>
      </c>
      <c r="H66" s="201" t="s"/>
      <c r="I66" s="296" t="s"/>
      <c r="J66" s="297" t="s"/>
      <c r="K66" s="297" t="s"/>
      <c r="L66" s="298" t="s"/>
      <c r="M66" s="263" t="s"/>
      <c r="N66" s="315" t="s"/>
      <c r="O66" s="315" t="s"/>
      <c r="P66" s="315" t="s"/>
      <c r="Q66" s="315" t="s"/>
      <c r="R66" s="316" t="s"/>
      <c r="S66" s="316" t="s"/>
      <c r="T66" s="315" t="s"/>
      <c r="U66" s="315" t="s"/>
      <c r="V66" s="315" t="s"/>
      <c r="W66" s="315" t="s"/>
      <c r="X66" s="263" t="s"/>
      <c r="Y66" s="263" t="s"/>
    </row>
    <row r="67" spans="1:25" ht="32" customHeight="true">
      <c r="A67" s="288" t="s">
        <v>467</v>
      </c>
      <c r="B67" s="278" t="s">
        <v>468</v>
      </c>
      <c r="C67" s="279">
        <f>=SUM(C68:C95)</f>
        <v>4061.41469</v>
      </c>
      <c r="D67" s="279">
        <f>=SUM(D68:D95)</f>
        <v>0</v>
      </c>
      <c r="E67" s="279">
        <f>=SUM(E68:E95)</f>
        <v>287.80398</v>
      </c>
      <c r="F67" s="279">
        <f>=SUM(F68:F95)</f>
        <v>0</v>
      </c>
      <c r="G67" s="279">
        <f>=SUM(C67:F67)</f>
        <v>4349.21867</v>
      </c>
      <c r="H67" s="280" t="s">
        <v>2525</v>
      </c>
      <c r="I67" s="281">
        <v>100000</v>
      </c>
      <c r="J67" s="282">
        <f>=G67/I67*10000</f>
        <v>434.921867</v>
      </c>
      <c r="K67" s="282" t="s"/>
      <c r="L67" s="313" t="s"/>
      <c r="M67" s="263" t="s"/>
      <c r="N67" s="315" t="s">
        <v>296</v>
      </c>
      <c r="O67" s="315" t="s">
        <v>7</v>
      </c>
      <c r="P67" s="315" t="s">
        <v>8</v>
      </c>
      <c r="Q67" s="315" t="s">
        <v>258</v>
      </c>
      <c r="R67" s="316">
        <f>=P83+P84</f>
        <v>928.64</v>
      </c>
      <c r="S67" s="316" t="s"/>
      <c r="T67" s="315" t="s">
        <v>296</v>
      </c>
      <c r="U67" s="315" t="s">
        <v>7</v>
      </c>
      <c r="V67" s="315" t="s">
        <v>8</v>
      </c>
      <c r="W67" s="315" t="s">
        <v>258</v>
      </c>
      <c r="X67" s="263" t="s"/>
      <c r="Y67" s="263" t="s"/>
    </row>
    <row r="68" spans="1:25" ht="32" customHeight="true">
      <c r="A68" s="201">
        <v>1</v>
      </c>
      <c r="B68" s="283" t="s">
        <v>469</v>
      </c>
      <c r="C68" s="295">
        <f>=I68*J68/10000</f>
        <v>101.36215</v>
      </c>
      <c r="D68" s="295" t="s"/>
      <c r="E68" s="295" t="s"/>
      <c r="F68" s="295" t="s"/>
      <c r="G68" s="295">
        <f>=SUM(C68:F68)</f>
        <v>101.36215</v>
      </c>
      <c r="H68" s="201" t="s">
        <v>470</v>
      </c>
      <c r="I68" s="296">
        <v>4407.05</v>
      </c>
      <c r="J68" s="297">
        <v>230</v>
      </c>
      <c r="K68" s="312" t="s"/>
      <c r="L68" s="298" t="s"/>
      <c r="M68" s="263" t="s"/>
      <c r="N68" s="317" t="s">
        <v>469</v>
      </c>
      <c r="O68" s="317" t="s">
        <v>470</v>
      </c>
      <c r="P68" s="318">
        <v>2552.96</v>
      </c>
      <c r="Q68" s="317" t="s"/>
      <c r="R68" s="319" t="s"/>
      <c r="S68" s="316" t="s"/>
      <c r="T68" s="315" t="s">
        <v>469</v>
      </c>
      <c r="U68" s="315" t="s">
        <v>470</v>
      </c>
      <c r="V68" s="320">
        <v>4407.05</v>
      </c>
      <c r="W68" s="315" t="s"/>
      <c r="X68" s="263" t="s"/>
      <c r="Y68" s="263" t="s"/>
    </row>
    <row r="69" spans="1:25" ht="32" customHeight="true">
      <c r="A69" s="201">
        <v>2</v>
      </c>
      <c r="B69" s="283" t="s">
        <v>471</v>
      </c>
      <c r="C69" s="295">
        <f>=I69*J69/10000</f>
        <v>15.0467</v>
      </c>
      <c r="D69" s="295" t="s"/>
      <c r="E69" s="295" t="s"/>
      <c r="F69" s="295" t="s"/>
      <c r="G69" s="295">
        <f>=SUM(C69:F69)</f>
        <v>15.0467</v>
      </c>
      <c r="H69" s="201" t="s">
        <v>470</v>
      </c>
      <c r="I69" s="296">
        <v>354.04</v>
      </c>
      <c r="J69" s="297">
        <v>425</v>
      </c>
      <c r="K69" s="312" t="s">
        <v>472</v>
      </c>
      <c r="L69" s="298" t="s"/>
      <c r="M69" s="263" t="s"/>
      <c r="N69" s="315" t="s">
        <v>471</v>
      </c>
      <c r="O69" s="315" t="s">
        <v>470</v>
      </c>
      <c r="P69" s="320">
        <v>126.7</v>
      </c>
      <c r="Q69" s="315" t="s">
        <v>472</v>
      </c>
      <c r="R69" s="316" t="s"/>
      <c r="S69" s="316" t="s"/>
      <c r="T69" s="315" t="s">
        <v>471</v>
      </c>
      <c r="U69" s="315" t="s">
        <v>470</v>
      </c>
      <c r="V69" s="320">
        <v>354.04</v>
      </c>
      <c r="W69" s="315" t="s">
        <v>472</v>
      </c>
      <c r="X69" s="263" t="s"/>
      <c r="Y69" s="263" t="s"/>
    </row>
    <row r="70" spans="1:25" ht="32" customHeight="true">
      <c r="A70" s="201">
        <v>3</v>
      </c>
      <c r="B70" s="283" t="s">
        <v>473</v>
      </c>
      <c r="C70" s="295">
        <f>=I70*J70/10000</f>
        <v>34.3962</v>
      </c>
      <c r="D70" s="295" t="s"/>
      <c r="E70" s="295" t="s"/>
      <c r="F70" s="295" t="s"/>
      <c r="G70" s="295">
        <f>=SUM(C70:F70)</f>
        <v>34.3962</v>
      </c>
      <c r="H70" s="201" t="s">
        <v>470</v>
      </c>
      <c r="I70" s="296">
        <v>191.09</v>
      </c>
      <c r="J70" s="297">
        <v>1800</v>
      </c>
      <c r="K70" s="312" t="s"/>
      <c r="L70" s="298" t="s"/>
      <c r="M70" s="263" t="s"/>
      <c r="N70" s="315" t="s"/>
      <c r="O70" s="315" t="s"/>
      <c r="P70" s="320" t="s"/>
      <c r="Q70" s="315" t="s"/>
      <c r="R70" s="316" t="s"/>
      <c r="S70" s="316" t="s"/>
      <c r="T70" s="315" t="s">
        <v>473</v>
      </c>
      <c r="U70" s="315" t="s">
        <v>470</v>
      </c>
      <c r="V70" s="320">
        <v>191.09</v>
      </c>
      <c r="W70" s="315" t="s"/>
      <c r="X70" s="263" t="s"/>
      <c r="Y70" s="263" t="s"/>
    </row>
    <row r="71" spans="1:25" ht="32" customHeight="true">
      <c r="A71" s="201">
        <v>4</v>
      </c>
      <c r="B71" s="283" t="s">
        <v>474</v>
      </c>
      <c r="C71" s="295">
        <f>=I71*J71/10000</f>
        <v>1.9264</v>
      </c>
      <c r="D71" s="295" t="s"/>
      <c r="E71" s="295" t="s"/>
      <c r="F71" s="295" t="s"/>
      <c r="G71" s="295">
        <f>=SUM(C71:F71)</f>
        <v>1.9264</v>
      </c>
      <c r="H71" s="201" t="s">
        <v>470</v>
      </c>
      <c r="I71" s="296">
        <v>28</v>
      </c>
      <c r="J71" s="297">
        <v>688</v>
      </c>
      <c r="K71" s="312" t="s"/>
      <c r="L71" s="298" t="s"/>
      <c r="M71" s="263" t="s"/>
      <c r="N71" s="315" t="s">
        <v>474</v>
      </c>
      <c r="O71" s="315" t="s">
        <v>470</v>
      </c>
      <c r="P71" s="320">
        <v>13</v>
      </c>
      <c r="Q71" s="315" t="s"/>
      <c r="R71" s="316" t="s"/>
      <c r="S71" s="316" t="s"/>
      <c r="T71" s="315" t="s">
        <v>474</v>
      </c>
      <c r="U71" s="315" t="s">
        <v>470</v>
      </c>
      <c r="V71" s="320">
        <v>28</v>
      </c>
      <c r="W71" s="315" t="s"/>
      <c r="X71" s="263" t="s"/>
      <c r="Y71" s="263" t="s"/>
    </row>
    <row r="72" spans="1:25" ht="32" customHeight="true">
      <c r="A72" s="201">
        <v>5</v>
      </c>
      <c r="B72" s="283" t="s">
        <v>475</v>
      </c>
      <c r="C72" s="295">
        <f>=I72*J72/10000</f>
        <v>4.16</v>
      </c>
      <c r="D72" s="295" t="s"/>
      <c r="E72" s="295" t="s"/>
      <c r="F72" s="295" t="s"/>
      <c r="G72" s="295">
        <f>=SUM(C72:F72)</f>
        <v>4.16</v>
      </c>
      <c r="H72" s="201" t="s">
        <v>470</v>
      </c>
      <c r="I72" s="296">
        <v>80</v>
      </c>
      <c r="J72" s="297">
        <v>520</v>
      </c>
      <c r="K72" s="312" t="s"/>
      <c r="L72" s="298" t="s"/>
      <c r="M72" s="263" t="s"/>
      <c r="N72" s="315" t="s">
        <v>475</v>
      </c>
      <c r="O72" s="315" t="s">
        <v>470</v>
      </c>
      <c r="P72" s="320">
        <v>187.07</v>
      </c>
      <c r="Q72" s="315" t="s"/>
      <c r="R72" s="316" t="s"/>
      <c r="S72" s="316" t="s"/>
      <c r="T72" s="315" t="s">
        <v>475</v>
      </c>
      <c r="U72" s="315" t="s">
        <v>273</v>
      </c>
      <c r="V72" s="320">
        <v>80</v>
      </c>
      <c r="W72" s="315" t="s">
        <v>476</v>
      </c>
      <c r="X72" s="263" t="s"/>
      <c r="Y72" s="263" t="s"/>
    </row>
    <row r="73" spans="1:25" ht="32" customHeight="true">
      <c r="A73" s="201">
        <v>6</v>
      </c>
      <c r="B73" s="283" t="s">
        <v>478</v>
      </c>
      <c r="C73" s="295">
        <f>=I73*J73/10000</f>
        <v>965.68375</v>
      </c>
      <c r="D73" s="295" t="s"/>
      <c r="E73" s="295" t="s"/>
      <c r="F73" s="295" t="s"/>
      <c r="G73" s="295">
        <f>=SUM(C73:F73)</f>
        <v>965.68375</v>
      </c>
      <c r="H73" s="201" t="s">
        <v>470</v>
      </c>
      <c r="I73" s="296">
        <v>38627.35</v>
      </c>
      <c r="J73" s="297">
        <v>250</v>
      </c>
      <c r="K73" s="312" t="s"/>
      <c r="L73" s="298" t="s"/>
      <c r="M73" s="263" t="s"/>
      <c r="N73" s="317" t="s">
        <v>478</v>
      </c>
      <c r="O73" s="317" t="s">
        <v>470</v>
      </c>
      <c r="P73" s="318">
        <v>41197.66</v>
      </c>
      <c r="Q73" s="317" t="s"/>
      <c r="R73" s="319" t="s"/>
      <c r="S73" s="321" t="s"/>
      <c r="T73" s="315" t="s">
        <v>478</v>
      </c>
      <c r="U73" s="315" t="s">
        <v>470</v>
      </c>
      <c r="V73" s="320">
        <v>38627.35</v>
      </c>
      <c r="W73" s="315" t="s"/>
      <c r="X73" s="263" t="s"/>
      <c r="Y73" s="263" t="s"/>
    </row>
    <row r="74" spans="1:25" ht="32" customHeight="true">
      <c r="A74" s="201">
        <v>7</v>
      </c>
      <c r="B74" s="283" t="s">
        <v>479</v>
      </c>
      <c r="C74" s="295">
        <f>=I74*J74/10000</f>
        <v>37.371284</v>
      </c>
      <c r="D74" s="295" t="s"/>
      <c r="E74" s="295" t="s"/>
      <c r="F74" s="295" t="s"/>
      <c r="G74" s="295">
        <f>=SUM(C74:F74)</f>
        <v>37.371284</v>
      </c>
      <c r="H74" s="201" t="s">
        <v>470</v>
      </c>
      <c r="I74" s="296">
        <v>907.07</v>
      </c>
      <c r="J74" s="297">
        <v>412</v>
      </c>
      <c r="K74" s="312" t="s">
        <v>480</v>
      </c>
      <c r="L74" s="298" t="s"/>
      <c r="M74" s="263" t="s"/>
      <c r="N74" s="315" t="s">
        <v>479</v>
      </c>
      <c r="O74" s="315" t="s">
        <v>470</v>
      </c>
      <c r="P74" s="320">
        <v>1789.14</v>
      </c>
      <c r="Q74" s="315" t="s">
        <v>481</v>
      </c>
      <c r="R74" s="321" t="s"/>
      <c r="S74" s="321" t="s"/>
      <c r="T74" s="315" t="s">
        <v>479</v>
      </c>
      <c r="U74" s="315" t="s">
        <v>470</v>
      </c>
      <c r="V74" s="320">
        <v>907.07</v>
      </c>
      <c r="W74" s="315" t="s">
        <v>481</v>
      </c>
      <c r="X74" s="263" t="s"/>
      <c r="Y74" s="263" t="s"/>
    </row>
    <row r="75" spans="1:25" ht="32" customHeight="true">
      <c r="A75" s="201">
        <v>8</v>
      </c>
      <c r="B75" s="283" t="s">
        <v>482</v>
      </c>
      <c r="C75" s="295">
        <f>=I75*J75/10000</f>
        <v>400.05</v>
      </c>
      <c r="D75" s="295" t="s"/>
      <c r="E75" s="295" t="s"/>
      <c r="F75" s="295" t="s"/>
      <c r="G75" s="295">
        <f>=SUM(C75:F75)</f>
        <v>400.05</v>
      </c>
      <c r="H75" s="201" t="s">
        <v>470</v>
      </c>
      <c r="I75" s="296">
        <v>8890</v>
      </c>
      <c r="J75" s="297">
        <v>450</v>
      </c>
      <c r="K75" s="312" t="s"/>
      <c r="L75" s="298" t="s"/>
      <c r="M75" s="263" t="s"/>
      <c r="N75" s="315" t="s">
        <v>483</v>
      </c>
      <c r="O75" s="315" t="s">
        <v>470</v>
      </c>
      <c r="P75" s="320">
        <v>6792.04</v>
      </c>
      <c r="Q75" s="315" t="s"/>
      <c r="R75" s="321" t="s"/>
      <c r="S75" s="321" t="s"/>
      <c r="T75" s="315" t="s">
        <v>482</v>
      </c>
      <c r="U75" s="315" t="s">
        <v>470</v>
      </c>
      <c r="V75" s="320">
        <v>8890</v>
      </c>
      <c r="W75" s="315" t="s">
        <v>484</v>
      </c>
      <c r="X75" s="263" t="s"/>
      <c r="Y75" s="263" t="s"/>
    </row>
    <row r="76" spans="1:25" ht="32" customHeight="true">
      <c r="A76" s="201">
        <v>9</v>
      </c>
      <c r="B76" s="283" t="s">
        <v>485</v>
      </c>
      <c r="C76" s="295">
        <f>=I76*J76/10000</f>
        <v>88.81691</v>
      </c>
      <c r="D76" s="295" t="s"/>
      <c r="E76" s="295" t="s"/>
      <c r="F76" s="295" t="s"/>
      <c r="G76" s="295">
        <f>=SUM(C76:F76)</f>
        <v>88.81691</v>
      </c>
      <c r="H76" s="201" t="s">
        <v>470</v>
      </c>
      <c r="I76" s="296">
        <v>869.05</v>
      </c>
      <c r="J76" s="297">
        <v>1022</v>
      </c>
      <c r="K76" s="312" t="s">
        <v>2534</v>
      </c>
      <c r="L76" s="298" t="s"/>
      <c r="M76" s="263" t="s"/>
      <c r="N76" s="315" t="s">
        <v>485</v>
      </c>
      <c r="O76" s="315" t="s">
        <v>470</v>
      </c>
      <c r="P76" s="320">
        <v>7393.87</v>
      </c>
      <c r="Q76" s="322" t="s">
        <v>486</v>
      </c>
      <c r="R76" s="321">
        <f>=339.99+336.05+179.81+611.73</f>
        <v>1467.58</v>
      </c>
      <c r="S76" s="321" t="s"/>
      <c r="T76" s="315" t="s">
        <v>485</v>
      </c>
      <c r="U76" s="315" t="s">
        <v>470</v>
      </c>
      <c r="V76" s="320">
        <v>869.05</v>
      </c>
      <c r="W76" s="322" t="s">
        <v>486</v>
      </c>
      <c r="X76" s="263" t="s"/>
      <c r="Y76" s="263" t="s"/>
    </row>
    <row r="77" spans="1:25" ht="32" customHeight="true">
      <c r="A77" s="201">
        <v>10</v>
      </c>
      <c r="B77" s="283" t="s">
        <v>487</v>
      </c>
      <c r="C77" s="295">
        <f>=I77*J77/10000</f>
        <v>30.305</v>
      </c>
      <c r="D77" s="295" t="s"/>
      <c r="E77" s="295" t="s"/>
      <c r="F77" s="295" t="s"/>
      <c r="G77" s="295">
        <f>=SUM(C77:F77)</f>
        <v>30.305</v>
      </c>
      <c r="H77" s="201" t="s">
        <v>470</v>
      </c>
      <c r="I77" s="296">
        <v>797.5</v>
      </c>
      <c r="J77" s="297">
        <v>380</v>
      </c>
      <c r="K77" s="312" t="s"/>
      <c r="L77" s="298" t="s"/>
      <c r="M77" s="263" t="s"/>
      <c r="N77" s="317" t="s">
        <v>487</v>
      </c>
      <c r="O77" s="317" t="s">
        <v>470</v>
      </c>
      <c r="P77" s="318">
        <v>797.5</v>
      </c>
      <c r="Q77" s="317" t="s"/>
      <c r="R77" s="319" t="s"/>
      <c r="S77" s="316" t="s"/>
      <c r="T77" s="315" t="s">
        <v>487</v>
      </c>
      <c r="U77" s="315" t="s">
        <v>470</v>
      </c>
      <c r="V77" s="320">
        <v>797.5</v>
      </c>
      <c r="W77" s="315" t="s"/>
      <c r="X77" s="263" t="s"/>
      <c r="Y77" s="263" t="s"/>
    </row>
    <row r="78" spans="1:25" ht="32" customHeight="true">
      <c r="A78" s="201">
        <v>11</v>
      </c>
      <c r="B78" s="283" t="s">
        <v>488</v>
      </c>
      <c r="C78" s="295">
        <f>=I78*J78/10000</f>
        <v>534.007008</v>
      </c>
      <c r="D78" s="295" t="s"/>
      <c r="E78" s="295" t="s"/>
      <c r="F78" s="295" t="s"/>
      <c r="G78" s="295">
        <f>=SUM(C78:F78)</f>
        <v>534.007008</v>
      </c>
      <c r="H78" s="201" t="s">
        <v>470</v>
      </c>
      <c r="I78" s="296">
        <v>6449.36</v>
      </c>
      <c r="J78" s="297">
        <v>828</v>
      </c>
      <c r="K78" s="312" t="s"/>
      <c r="L78" s="298" t="s"/>
      <c r="M78" s="263" t="s"/>
      <c r="N78" s="317" t="s">
        <v>488</v>
      </c>
      <c r="O78" s="317" t="s">
        <v>470</v>
      </c>
      <c r="P78" s="318">
        <v>4488.35</v>
      </c>
      <c r="Q78" s="317" t="s"/>
      <c r="R78" s="319" t="s"/>
      <c r="S78" s="316" t="s"/>
      <c r="T78" s="315" t="s">
        <v>488</v>
      </c>
      <c r="U78" s="315" t="s">
        <v>470</v>
      </c>
      <c r="V78" s="320">
        <v>6449.36</v>
      </c>
      <c r="W78" s="315" t="s"/>
      <c r="X78" s="263" t="s"/>
      <c r="Y78" s="263" t="s"/>
    </row>
    <row r="79" spans="1:25" ht="32" customHeight="true">
      <c r="A79" s="201">
        <v>12</v>
      </c>
      <c r="B79" s="283" t="s">
        <v>489</v>
      </c>
      <c r="C79" s="295">
        <f>=I79*J79/10000</f>
        <v>6</v>
      </c>
      <c r="D79" s="295" t="s"/>
      <c r="E79" s="295" t="s"/>
      <c r="F79" s="295" t="s"/>
      <c r="G79" s="295">
        <f>=SUM(C79:F79)</f>
        <v>6</v>
      </c>
      <c r="H79" s="201" t="s">
        <v>470</v>
      </c>
      <c r="I79" s="296">
        <v>30</v>
      </c>
      <c r="J79" s="297">
        <v>2000</v>
      </c>
      <c r="K79" s="312" t="s"/>
      <c r="L79" s="298" t="s"/>
      <c r="M79" s="263" t="s"/>
      <c r="N79" s="315" t="s">
        <v>489</v>
      </c>
      <c r="O79" s="315" t="s">
        <v>470</v>
      </c>
      <c r="P79" s="320">
        <v>108.05</v>
      </c>
      <c r="Q79" s="315" t="s"/>
      <c r="R79" s="316" t="s"/>
      <c r="S79" s="316" t="s"/>
      <c r="T79" s="315" t="s">
        <v>489</v>
      </c>
      <c r="U79" s="315" t="s">
        <v>470</v>
      </c>
      <c r="V79" s="320">
        <v>30</v>
      </c>
      <c r="W79" s="315" t="s"/>
      <c r="X79" s="263" t="s"/>
      <c r="Y79" s="263" t="s"/>
    </row>
    <row r="80" spans="1:25" ht="32" customHeight="true">
      <c r="A80" s="201">
        <v>13</v>
      </c>
      <c r="B80" s="283" t="s">
        <v>490</v>
      </c>
      <c r="C80" s="295">
        <f>=I80*J80/10000</f>
        <v>84.3</v>
      </c>
      <c r="D80" s="295" t="s"/>
      <c r="E80" s="295" t="s"/>
      <c r="F80" s="295" t="s"/>
      <c r="G80" s="295">
        <f>=SUM(C80:F80)</f>
        <v>84.3</v>
      </c>
      <c r="H80" s="201" t="s">
        <v>470</v>
      </c>
      <c r="I80" s="296">
        <v>1053.75</v>
      </c>
      <c r="J80" s="297">
        <v>800</v>
      </c>
      <c r="K80" s="312" t="s"/>
      <c r="L80" s="298" t="s"/>
      <c r="M80" s="263" t="s"/>
      <c r="N80" s="315" t="s">
        <v>490</v>
      </c>
      <c r="O80" s="315" t="s">
        <v>470</v>
      </c>
      <c r="P80" s="320">
        <v>1053.75</v>
      </c>
      <c r="Q80" s="315" t="s"/>
      <c r="R80" s="316" t="s"/>
      <c r="S80" s="316" t="s"/>
      <c r="T80" s="315" t="s">
        <v>490</v>
      </c>
      <c r="U80" s="315" t="s">
        <v>470</v>
      </c>
      <c r="V80" s="320">
        <v>1053.75</v>
      </c>
      <c r="W80" s="315" t="s"/>
      <c r="X80" s="263" t="s"/>
      <c r="Y80" s="263" t="s"/>
    </row>
    <row r="81" spans="1:25" ht="32" customHeight="true">
      <c r="A81" s="201">
        <v>14</v>
      </c>
      <c r="B81" s="283" t="s">
        <v>491</v>
      </c>
      <c r="C81" s="295">
        <f>=I81*J81/10000</f>
        <v>154.38992</v>
      </c>
      <c r="D81" s="295" t="s"/>
      <c r="E81" s="295" t="s"/>
      <c r="F81" s="295" t="s"/>
      <c r="G81" s="295">
        <f>=SUM(C81:F81)</f>
        <v>154.38992</v>
      </c>
      <c r="H81" s="201" t="s">
        <v>470</v>
      </c>
      <c r="I81" s="296">
        <v>2270.44</v>
      </c>
      <c r="J81" s="297">
        <v>680</v>
      </c>
      <c r="K81" s="312" t="s">
        <v>492</v>
      </c>
      <c r="L81" s="298" t="s"/>
      <c r="M81" s="263" t="s"/>
      <c r="N81" s="315" t="s">
        <v>491</v>
      </c>
      <c r="O81" s="315" t="s">
        <v>470</v>
      </c>
      <c r="P81" s="320">
        <v>2975.4</v>
      </c>
      <c r="Q81" s="315" t="s">
        <v>492</v>
      </c>
      <c r="R81" s="316" t="s"/>
      <c r="S81" s="316" t="s"/>
      <c r="T81" s="315" t="s">
        <v>491</v>
      </c>
      <c r="U81" s="315" t="s">
        <v>470</v>
      </c>
      <c r="V81" s="320">
        <v>2270.44</v>
      </c>
      <c r="W81" s="315" t="s">
        <v>492</v>
      </c>
      <c r="X81" s="263" t="s"/>
      <c r="Y81" s="263" t="s"/>
    </row>
    <row r="82" spans="1:25" ht="32" customHeight="true">
      <c r="A82" s="201">
        <v>15</v>
      </c>
      <c r="B82" s="283" t="s">
        <v>493</v>
      </c>
      <c r="C82" s="295">
        <f>=I82*J82/10000</f>
        <v>27.210918</v>
      </c>
      <c r="D82" s="295" t="s"/>
      <c r="E82" s="295" t="s"/>
      <c r="F82" s="295" t="s"/>
      <c r="G82" s="295">
        <f>=SUM(C82:F82)</f>
        <v>27.210918</v>
      </c>
      <c r="H82" s="201" t="s">
        <v>470</v>
      </c>
      <c r="I82" s="296">
        <v>329.43</v>
      </c>
      <c r="J82" s="297">
        <v>826</v>
      </c>
      <c r="K82" s="312" t="s">
        <v>492</v>
      </c>
      <c r="L82" s="298" t="s"/>
      <c r="M82" s="263" t="s"/>
      <c r="N82" s="315" t="s">
        <v>493</v>
      </c>
      <c r="O82" s="315" t="s">
        <v>470</v>
      </c>
      <c r="P82" s="320">
        <v>518.49</v>
      </c>
      <c r="Q82" s="315" t="s">
        <v>492</v>
      </c>
      <c r="R82" s="316" t="s"/>
      <c r="S82" s="316" t="s"/>
      <c r="T82" s="315" t="s">
        <v>493</v>
      </c>
      <c r="U82" s="315" t="s">
        <v>470</v>
      </c>
      <c r="V82" s="320">
        <v>329.43</v>
      </c>
      <c r="W82" s="315" t="s">
        <v>492</v>
      </c>
      <c r="X82" s="263" t="s"/>
      <c r="Y82" s="263" t="s"/>
    </row>
    <row r="83" spans="1:25" ht="32" customHeight="true">
      <c r="A83" s="201">
        <v>16</v>
      </c>
      <c r="B83" s="283" t="s">
        <v>494</v>
      </c>
      <c r="C83" s="295">
        <f>=I83*J83/10000</f>
        <v>223.3595</v>
      </c>
      <c r="D83" s="295" t="s"/>
      <c r="E83" s="295" t="s"/>
      <c r="F83" s="295" t="s"/>
      <c r="G83" s="295">
        <f>=SUM(C83:F83)</f>
        <v>223.3595</v>
      </c>
      <c r="H83" s="201" t="s">
        <v>470</v>
      </c>
      <c r="I83" s="296">
        <v>638.17</v>
      </c>
      <c r="J83" s="297">
        <v>3500</v>
      </c>
      <c r="K83" s="312" t="s">
        <v>495</v>
      </c>
      <c r="L83" s="298" t="s"/>
      <c r="M83" s="263" t="s"/>
      <c r="N83" s="315" t="s">
        <v>494</v>
      </c>
      <c r="O83" s="315" t="s">
        <v>470</v>
      </c>
      <c r="P83" s="320">
        <v>784.64</v>
      </c>
      <c r="Q83" s="315" t="s">
        <v>495</v>
      </c>
      <c r="R83" s="316" t="s"/>
      <c r="S83" s="316" t="s"/>
      <c r="T83" s="315" t="s">
        <v>494</v>
      </c>
      <c r="U83" s="315" t="s">
        <v>470</v>
      </c>
      <c r="V83" s="320">
        <v>638.17</v>
      </c>
      <c r="W83" s="315" t="s">
        <v>495</v>
      </c>
      <c r="X83" s="263" t="s"/>
      <c r="Y83" s="263" t="s"/>
    </row>
    <row r="84" spans="1:25" ht="32" customHeight="true">
      <c r="A84" s="201">
        <v>17</v>
      </c>
      <c r="B84" s="283" t="s">
        <v>496</v>
      </c>
      <c r="C84" s="295">
        <f>=I84*J84/10000</f>
        <v>10</v>
      </c>
      <c r="D84" s="295" t="s"/>
      <c r="E84" s="295" t="s"/>
      <c r="F84" s="295" t="s"/>
      <c r="G84" s="295">
        <f>=SUM(C84:F84)</f>
        <v>10</v>
      </c>
      <c r="H84" s="201" t="s">
        <v>470</v>
      </c>
      <c r="I84" s="296">
        <v>25</v>
      </c>
      <c r="J84" s="297">
        <v>4000</v>
      </c>
      <c r="K84" s="312" t="s"/>
      <c r="L84" s="298" t="s"/>
      <c r="M84" s="263" t="s"/>
      <c r="N84" s="315" t="s">
        <v>496</v>
      </c>
      <c r="O84" s="315" t="s">
        <v>470</v>
      </c>
      <c r="P84" s="320">
        <v>144</v>
      </c>
      <c r="Q84" s="315" t="s"/>
      <c r="R84" s="316" t="s"/>
      <c r="S84" s="316" t="s"/>
      <c r="T84" s="315" t="s">
        <v>496</v>
      </c>
      <c r="U84" s="315" t="s">
        <v>470</v>
      </c>
      <c r="V84" s="320">
        <v>25</v>
      </c>
      <c r="W84" s="315" t="s"/>
      <c r="X84" s="263" t="s"/>
      <c r="Y84" s="263" t="s"/>
    </row>
    <row r="85" spans="1:25" ht="32" customHeight="true">
      <c r="A85" s="201">
        <v>18</v>
      </c>
      <c r="B85" s="283" t="s">
        <v>497</v>
      </c>
      <c r="C85" s="295">
        <f>=I85*J85/10000</f>
        <v>5.8296</v>
      </c>
      <c r="D85" s="295" t="s"/>
      <c r="E85" s="295" t="s"/>
      <c r="F85" s="295" t="s"/>
      <c r="G85" s="295">
        <f>=SUM(C85:F85)</f>
        <v>5.8296</v>
      </c>
      <c r="H85" s="201" t="s">
        <v>470</v>
      </c>
      <c r="I85" s="296">
        <v>72.87</v>
      </c>
      <c r="J85" s="297">
        <v>800</v>
      </c>
      <c r="K85" s="312" t="s"/>
      <c r="L85" s="298" t="s"/>
      <c r="M85" s="263" t="s"/>
      <c r="N85" s="315" t="s">
        <v>497</v>
      </c>
      <c r="O85" s="315" t="s">
        <v>470</v>
      </c>
      <c r="P85" s="320">
        <v>109.39</v>
      </c>
      <c r="Q85" s="315" t="s"/>
      <c r="R85" s="316" t="s"/>
      <c r="S85" s="316" t="s"/>
      <c r="T85" s="315" t="s">
        <v>497</v>
      </c>
      <c r="U85" s="315" t="s">
        <v>470</v>
      </c>
      <c r="V85" s="320">
        <v>72.87</v>
      </c>
      <c r="W85" s="315" t="s"/>
      <c r="X85" s="263" t="s"/>
      <c r="Y85" s="263" t="s"/>
    </row>
    <row r="86" spans="1:25" ht="32" customHeight="true">
      <c r="A86" s="201">
        <v>19</v>
      </c>
      <c r="B86" s="283" t="s">
        <v>498</v>
      </c>
      <c r="C86" s="295">
        <f>=I86*J86/10000</f>
        <v>14</v>
      </c>
      <c r="D86" s="295" t="s"/>
      <c r="E86" s="295" t="s"/>
      <c r="F86" s="295" t="s"/>
      <c r="G86" s="295">
        <f>=SUM(C86:F86)</f>
        <v>14</v>
      </c>
      <c r="H86" s="201" t="s">
        <v>470</v>
      </c>
      <c r="I86" s="296">
        <v>40</v>
      </c>
      <c r="J86" s="297">
        <v>3500</v>
      </c>
      <c r="K86" s="312" t="s"/>
      <c r="L86" s="298" t="s"/>
      <c r="M86" s="263" t="s"/>
      <c r="N86" s="315" t="s">
        <v>498</v>
      </c>
      <c r="O86" s="315" t="s">
        <v>470</v>
      </c>
      <c r="P86" s="320">
        <v>40</v>
      </c>
      <c r="Q86" s="315" t="s"/>
      <c r="R86" s="316" t="s"/>
      <c r="S86" s="316" t="s"/>
      <c r="T86" s="315" t="s">
        <v>498</v>
      </c>
      <c r="U86" s="315" t="s">
        <v>470</v>
      </c>
      <c r="V86" s="320">
        <v>40</v>
      </c>
      <c r="W86" s="315" t="s"/>
      <c r="X86" s="263" t="s"/>
      <c r="Y86" s="263" t="s"/>
    </row>
    <row r="87" spans="1:25" ht="32" customHeight="true">
      <c r="A87" s="201">
        <v>20</v>
      </c>
      <c r="B87" s="283" t="s">
        <v>499</v>
      </c>
      <c r="C87" s="295">
        <f>=I87*J87/10000</f>
        <v>4.9</v>
      </c>
      <c r="D87" s="295" t="s"/>
      <c r="E87" s="295" t="s"/>
      <c r="F87" s="295" t="s"/>
      <c r="G87" s="295">
        <f>=SUM(C87:F87)</f>
        <v>4.9</v>
      </c>
      <c r="H87" s="201" t="s">
        <v>470</v>
      </c>
      <c r="I87" s="296">
        <v>12.25</v>
      </c>
      <c r="J87" s="297">
        <v>4000</v>
      </c>
      <c r="K87" s="312" t="s">
        <v>500</v>
      </c>
      <c r="L87" s="298" t="s"/>
      <c r="M87" s="263" t="s"/>
      <c r="N87" s="315" t="s">
        <v>499</v>
      </c>
      <c r="O87" s="315" t="s">
        <v>470</v>
      </c>
      <c r="P87" s="320">
        <v>12.25</v>
      </c>
      <c r="Q87" s="315" t="s">
        <v>500</v>
      </c>
      <c r="R87" s="321" t="s"/>
      <c r="S87" s="316" t="s"/>
      <c r="T87" s="315" t="s">
        <v>499</v>
      </c>
      <c r="U87" s="315" t="s">
        <v>470</v>
      </c>
      <c r="V87" s="320">
        <v>12.25</v>
      </c>
      <c r="W87" s="315" t="s">
        <v>500</v>
      </c>
      <c r="X87" s="263" t="s"/>
      <c r="Y87" s="263" t="s"/>
    </row>
    <row r="88" spans="1:25" ht="32" customHeight="true">
      <c r="A88" s="201">
        <v>21</v>
      </c>
      <c r="B88" s="283" t="s">
        <v>501</v>
      </c>
      <c r="C88" s="295">
        <f>=I88*J88/10000</f>
        <v>52.0704</v>
      </c>
      <c r="D88" s="295" t="s"/>
      <c r="E88" s="295" t="s"/>
      <c r="F88" s="295" t="s"/>
      <c r="G88" s="295">
        <f>=SUM(C88:F88)</f>
        <v>52.0704</v>
      </c>
      <c r="H88" s="201" t="s">
        <v>470</v>
      </c>
      <c r="I88" s="296">
        <v>289.28</v>
      </c>
      <c r="J88" s="297">
        <v>1800</v>
      </c>
      <c r="K88" s="312" t="s">
        <v>503</v>
      </c>
      <c r="L88" s="298" t="s"/>
      <c r="M88" s="263" t="s"/>
      <c r="N88" s="315" t="s">
        <v>502</v>
      </c>
      <c r="O88" s="315" t="s">
        <v>470</v>
      </c>
      <c r="P88" s="320">
        <v>460.93</v>
      </c>
      <c r="Q88" s="315" t="s">
        <v>503</v>
      </c>
      <c r="R88" s="321" t="s"/>
      <c r="S88" s="321" t="s"/>
      <c r="T88" s="315" t="s">
        <v>501</v>
      </c>
      <c r="U88" s="315" t="s">
        <v>470</v>
      </c>
      <c r="V88" s="320">
        <v>289.28</v>
      </c>
      <c r="W88" s="322" t="s">
        <v>504</v>
      </c>
      <c r="X88" s="263" t="s"/>
      <c r="Y88" s="263" t="s"/>
    </row>
    <row r="89" spans="1:25" ht="32" customHeight="true">
      <c r="A89" s="201">
        <v>22</v>
      </c>
      <c r="B89" s="283" t="s">
        <v>505</v>
      </c>
      <c r="C89" s="295">
        <f>=I89*J89/10000</f>
        <v>87.95715</v>
      </c>
      <c r="D89" s="295" t="s"/>
      <c r="E89" s="295" t="s"/>
      <c r="F89" s="295" t="s"/>
      <c r="G89" s="295">
        <f>=SUM(C89:F89)</f>
        <v>87.95715</v>
      </c>
      <c r="H89" s="201" t="s">
        <v>470</v>
      </c>
      <c r="I89" s="296">
        <v>1034.79</v>
      </c>
      <c r="J89" s="297">
        <v>850</v>
      </c>
      <c r="K89" s="312" t="s">
        <v>506</v>
      </c>
      <c r="L89" s="298" t="s"/>
      <c r="M89" s="263" t="s"/>
      <c r="N89" s="315" t="s">
        <v>505</v>
      </c>
      <c r="O89" s="315" t="s">
        <v>470</v>
      </c>
      <c r="P89" s="320">
        <v>1529.24</v>
      </c>
      <c r="Q89" s="315" t="s">
        <v>506</v>
      </c>
      <c r="R89" s="316" t="s"/>
      <c r="S89" s="321" t="s"/>
      <c r="T89" s="315" t="s">
        <v>505</v>
      </c>
      <c r="U89" s="315" t="s">
        <v>470</v>
      </c>
      <c r="V89" s="320">
        <v>1034.79</v>
      </c>
      <c r="W89" s="315" t="s">
        <v>506</v>
      </c>
      <c r="X89" s="263" t="s"/>
      <c r="Y89" s="263" t="s"/>
    </row>
    <row r="90" spans="1:25" ht="32" customHeight="true">
      <c r="A90" s="201">
        <v>23</v>
      </c>
      <c r="B90" s="283" t="s">
        <v>507</v>
      </c>
      <c r="C90" s="295">
        <f>=I90*J90/10000</f>
        <v>294.03808</v>
      </c>
      <c r="D90" s="295" t="s"/>
      <c r="E90" s="295" t="s"/>
      <c r="F90" s="295" t="s"/>
      <c r="G90" s="295">
        <f>=SUM(C90:F90)</f>
        <v>294.03808</v>
      </c>
      <c r="H90" s="201" t="s">
        <v>470</v>
      </c>
      <c r="I90" s="296">
        <v>2625.34</v>
      </c>
      <c r="J90" s="297">
        <v>1120</v>
      </c>
      <c r="K90" s="312" t="s">
        <v>508</v>
      </c>
      <c r="L90" s="298" t="s"/>
      <c r="M90" s="263" t="s"/>
      <c r="N90" s="315" t="s">
        <v>507</v>
      </c>
      <c r="O90" s="315" t="s">
        <v>470</v>
      </c>
      <c r="P90" s="320">
        <v>4652.3</v>
      </c>
      <c r="Q90" s="322" t="s">
        <v>508</v>
      </c>
      <c r="R90" s="316" t="s"/>
      <c r="S90" s="321" t="s"/>
      <c r="T90" s="315" t="s">
        <v>507</v>
      </c>
      <c r="U90" s="315" t="s">
        <v>470</v>
      </c>
      <c r="V90" s="320">
        <v>2625.34</v>
      </c>
      <c r="W90" s="322" t="s">
        <v>508</v>
      </c>
      <c r="X90" s="263" t="s"/>
      <c r="Y90" s="263" t="s"/>
    </row>
    <row r="91" spans="1:25" ht="32" customHeight="true">
      <c r="A91" s="201">
        <v>24</v>
      </c>
      <c r="B91" s="283" t="s">
        <v>509</v>
      </c>
      <c r="C91" s="295">
        <f>=I91*J91/10000</f>
        <v>4.8</v>
      </c>
      <c r="D91" s="295" t="s"/>
      <c r="E91" s="295" t="s"/>
      <c r="F91" s="295" t="s"/>
      <c r="G91" s="295">
        <f>=SUM(C91:F91)</f>
        <v>4.8</v>
      </c>
      <c r="H91" s="201" t="s">
        <v>470</v>
      </c>
      <c r="I91" s="296">
        <v>24</v>
      </c>
      <c r="J91" s="297">
        <v>2000</v>
      </c>
      <c r="K91" s="312" t="s">
        <v>508</v>
      </c>
      <c r="L91" s="298" t="s"/>
      <c r="M91" s="263" t="s"/>
      <c r="N91" s="315" t="s">
        <v>510</v>
      </c>
      <c r="O91" s="315" t="s">
        <v>470</v>
      </c>
      <c r="P91" s="320">
        <v>165.77</v>
      </c>
      <c r="Q91" s="322" t="s">
        <v>508</v>
      </c>
      <c r="R91" s="316" t="s"/>
      <c r="S91" s="321" t="s"/>
      <c r="T91" s="315" t="s">
        <v>509</v>
      </c>
      <c r="U91" s="315" t="s">
        <v>470</v>
      </c>
      <c r="V91" s="320">
        <v>24</v>
      </c>
      <c r="W91" s="322" t="s"/>
      <c r="X91" s="263" t="s"/>
      <c r="Y91" s="263" t="s"/>
    </row>
    <row r="92" spans="1:25" ht="32" customHeight="true">
      <c r="A92" s="201">
        <v>25</v>
      </c>
      <c r="B92" s="283" t="s">
        <v>511</v>
      </c>
      <c r="C92" s="295">
        <f>=I92*J92/10000</f>
        <v>3</v>
      </c>
      <c r="D92" s="295" t="s"/>
      <c r="E92" s="295" t="s"/>
      <c r="F92" s="295" t="s"/>
      <c r="G92" s="295">
        <f>=SUM(C92:F92)</f>
        <v>3</v>
      </c>
      <c r="H92" s="201" t="s">
        <v>45</v>
      </c>
      <c r="I92" s="296">
        <v>1</v>
      </c>
      <c r="J92" s="297">
        <v>30000</v>
      </c>
      <c r="K92" s="312" t="s">
        <v>512</v>
      </c>
      <c r="L92" s="298" t="s"/>
      <c r="M92" s="263" t="s"/>
      <c r="N92" s="315" t="s">
        <v>511</v>
      </c>
      <c r="O92" s="315" t="s">
        <v>45</v>
      </c>
      <c r="P92" s="315">
        <v>1</v>
      </c>
      <c r="Q92" s="315" t="s">
        <v>512</v>
      </c>
      <c r="R92" s="316" t="s"/>
      <c r="S92" s="316" t="s"/>
      <c r="T92" s="315" t="s">
        <v>511</v>
      </c>
      <c r="U92" s="315" t="s">
        <v>45</v>
      </c>
      <c r="V92" s="315">
        <v>1</v>
      </c>
      <c r="W92" s="315" t="s">
        <v>512</v>
      </c>
      <c r="X92" s="263" t="s"/>
      <c r="Y92" s="263" t="s"/>
    </row>
    <row r="93" spans="1:25" ht="32" customHeight="true">
      <c r="A93" s="201">
        <v>26</v>
      </c>
      <c r="B93" s="283" t="s">
        <v>513</v>
      </c>
      <c r="C93" s="295">
        <f>=I93*J93/10000</f>
        <v>45</v>
      </c>
      <c r="D93" s="295" t="s"/>
      <c r="E93" s="295" t="s"/>
      <c r="F93" s="295" t="s"/>
      <c r="G93" s="295">
        <f>=SUM(C93:F93)</f>
        <v>45</v>
      </c>
      <c r="H93" s="201" t="s">
        <v>514</v>
      </c>
      <c r="I93" s="296">
        <v>1</v>
      </c>
      <c r="J93" s="297">
        <v>450000</v>
      </c>
      <c r="K93" s="312" t="s">
        <v>515</v>
      </c>
      <c r="L93" s="298" t="s"/>
      <c r="M93" s="263" t="s"/>
      <c r="N93" s="315" t="s">
        <v>513</v>
      </c>
      <c r="O93" s="315" t="s">
        <v>514</v>
      </c>
      <c r="P93" s="315">
        <v>1</v>
      </c>
      <c r="Q93" s="315" t="s">
        <v>515</v>
      </c>
      <c r="R93" s="316" t="s"/>
      <c r="S93" s="316" t="s"/>
      <c r="T93" s="315" t="s">
        <v>513</v>
      </c>
      <c r="U93" s="315" t="s">
        <v>514</v>
      </c>
      <c r="V93" s="315">
        <v>1</v>
      </c>
      <c r="W93" s="315" t="s">
        <v>515</v>
      </c>
      <c r="X93" s="263" t="s"/>
      <c r="Y93" s="263" t="s"/>
    </row>
    <row r="94" spans="1:25" ht="32" customHeight="true">
      <c r="A94" s="201">
        <v>27</v>
      </c>
      <c r="B94" s="283" t="s">
        <v>516</v>
      </c>
      <c r="C94" s="295">
        <f>=I94*J94/10000</f>
        <v>287.80398</v>
      </c>
      <c r="D94" s="295" t="s"/>
      <c r="E94" s="295">
        <f>=I94*J94/10000</f>
        <v>287.80398</v>
      </c>
      <c r="F94" s="295" t="s"/>
      <c r="G94" s="295">
        <f>=SUM(C94:F94)</f>
        <v>575.60796</v>
      </c>
      <c r="H94" s="201" t="s">
        <v>470</v>
      </c>
      <c r="I94" s="296">
        <v>63956.44</v>
      </c>
      <c r="J94" s="297">
        <v>45</v>
      </c>
      <c r="K94" s="312" t="s">
        <v>517</v>
      </c>
      <c r="L94" s="298" t="s"/>
      <c r="M94" s="263" t="s"/>
      <c r="N94" s="317" t="s">
        <v>516</v>
      </c>
      <c r="O94" s="317" t="s">
        <v>470</v>
      </c>
      <c r="P94" s="317">
        <v>63956.44</v>
      </c>
      <c r="Q94" s="317" t="s">
        <v>517</v>
      </c>
      <c r="R94" s="319" t="s"/>
      <c r="S94" s="316" t="s"/>
      <c r="T94" s="315" t="s">
        <v>516</v>
      </c>
      <c r="U94" s="315" t="s">
        <v>470</v>
      </c>
      <c r="V94" s="315">
        <v>63956.44</v>
      </c>
      <c r="W94" s="315" t="s">
        <v>517</v>
      </c>
      <c r="X94" s="263" t="s"/>
      <c r="Y94" s="263" t="s"/>
    </row>
    <row r="95" spans="1:25" ht="32" customHeight="true">
      <c r="A95" s="201">
        <v>28</v>
      </c>
      <c r="B95" s="283" t="s">
        <v>518</v>
      </c>
      <c r="C95" s="295">
        <f>=I95*J95/10000</f>
        <v>543.62974</v>
      </c>
      <c r="D95" s="295" t="s"/>
      <c r="E95" s="295" t="s"/>
      <c r="F95" s="295" t="s"/>
      <c r="G95" s="295">
        <f>=SUM(C95:F95)</f>
        <v>543.62974</v>
      </c>
      <c r="H95" s="201" t="s">
        <v>470</v>
      </c>
      <c r="I95" s="296">
        <f>=I94</f>
        <v>63956.44</v>
      </c>
      <c r="J95" s="297">
        <v>85</v>
      </c>
      <c r="K95" s="312" t="s">
        <v>519</v>
      </c>
      <c r="L95" s="298" t="s"/>
      <c r="M95" s="263" t="s"/>
      <c r="N95" s="317" t="s">
        <v>518</v>
      </c>
      <c r="O95" s="317" t="s">
        <v>470</v>
      </c>
      <c r="P95" s="317">
        <v>63956.44</v>
      </c>
      <c r="Q95" s="317" t="s">
        <v>519</v>
      </c>
      <c r="R95" s="319" t="s"/>
      <c r="S95" s="316" t="s"/>
      <c r="T95" s="315" t="s">
        <v>518</v>
      </c>
      <c r="U95" s="315" t="s">
        <v>470</v>
      </c>
      <c r="V95" s="315">
        <v>63956.44</v>
      </c>
      <c r="W95" s="315" t="s">
        <v>519</v>
      </c>
      <c r="X95" s="263" t="s"/>
      <c r="Y95" s="263" t="s"/>
    </row>
    <row r="96" spans="1:25" ht="32" customHeight="true">
      <c r="A96" s="201" t="s"/>
      <c r="B96" s="283" t="s"/>
      <c r="C96" s="295" t="s"/>
      <c r="D96" s="295" t="s"/>
      <c r="E96" s="295" t="s"/>
      <c r="F96" s="295" t="s"/>
      <c r="G96" s="295" t="s"/>
      <c r="H96" s="201" t="s"/>
      <c r="I96" s="296" t="s"/>
      <c r="J96" s="297" t="s"/>
      <c r="K96" s="312" t="s"/>
      <c r="L96" s="298" t="s"/>
      <c r="M96" s="263" t="s"/>
      <c r="N96" s="315" t="s"/>
      <c r="O96" s="315" t="s"/>
      <c r="P96" s="315" t="s"/>
      <c r="Q96" s="315" t="s"/>
      <c r="R96" s="316" t="s"/>
      <c r="S96" s="316" t="s"/>
      <c r="T96" s="315" t="s"/>
      <c r="U96" s="315" t="s"/>
      <c r="V96" s="315" t="s"/>
      <c r="W96" s="315" t="s"/>
      <c r="X96" s="263" t="s"/>
      <c r="Y96" s="263" t="s"/>
    </row>
    <row r="97" spans="1:25" ht="32" customHeight="true">
      <c r="A97" s="323" t="s">
        <v>520</v>
      </c>
      <c r="B97" s="280" t="s">
        <v>521</v>
      </c>
      <c r="C97" s="268" t="s"/>
      <c r="D97" s="268" t="s"/>
      <c r="E97" s="268" t="s"/>
      <c r="F97" s="324" t="e">
        <f>=SUM(F98:F117)-F100</f>
        <v>#VALUE!</v>
      </c>
      <c r="G97" s="324" t="e">
        <f>=F97</f>
        <v>#VALUE!</v>
      </c>
      <c r="H97" s="280" t="s">
        <v>2525</v>
      </c>
      <c r="I97" s="281">
        <v>100000</v>
      </c>
      <c r="J97" s="282" t="e">
        <f>=G97/I97*10000</f>
        <v>#VALUE!</v>
      </c>
      <c r="K97" s="325" t="s"/>
      <c r="L97" s="263" t="s"/>
      <c r="M97" s="263" t="s"/>
      <c r="N97" s="263" t="s"/>
      <c r="O97" s="263" t="s"/>
      <c r="P97" s="263" t="s"/>
      <c r="Q97" s="263" t="s"/>
      <c r="R97" s="263" t="s"/>
      <c r="S97" s="263" t="s"/>
      <c r="T97" s="315" t="s"/>
      <c r="U97" s="315" t="s"/>
      <c r="V97" s="315" t="s"/>
      <c r="W97" s="315" t="s"/>
      <c r="X97" s="263" t="s"/>
      <c r="Y97" s="263" t="s"/>
    </row>
    <row r="98" spans="1:25" ht="32" customHeight="true">
      <c r="A98" s="326" t="s">
        <v>522</v>
      </c>
      <c r="B98" s="327" t="s">
        <v>523</v>
      </c>
      <c r="C98" s="268" t="s"/>
      <c r="D98" s="268" t="s"/>
      <c r="E98" s="268" t="s"/>
      <c r="F98" s="296" t="e">
        <f>=#REF!F20</f>
        <v>#VALUE!</v>
      </c>
      <c r="G98" s="296" t="e">
        <f>=F98</f>
        <v>#VALUE!</v>
      </c>
      <c r="H98" s="328" t="s"/>
      <c r="I98" s="328" t="s"/>
      <c r="J98" s="325" t="s"/>
      <c r="K98" s="325" t="s"/>
      <c r="L98" s="329">
        <v>284.60115552679</v>
      </c>
      <c r="M98" s="263" t="s"/>
      <c r="N98" s="263" t="s"/>
      <c r="O98" s="263" t="s"/>
      <c r="P98" s="263" t="s"/>
      <c r="Q98" s="263" t="s"/>
      <c r="R98" s="263" t="s"/>
      <c r="S98" s="263" t="s"/>
      <c r="T98" s="263" t="s"/>
      <c r="U98" s="263" t="s"/>
      <c r="V98" s="263" t="s"/>
      <c r="W98" s="263" t="s"/>
      <c r="X98" s="263" t="s"/>
      <c r="Y98" s="263" t="s"/>
    </row>
    <row r="99" spans="1:25" ht="32" customHeight="true">
      <c r="A99" s="326" t="s">
        <v>524</v>
      </c>
      <c r="B99" s="327" t="s">
        <v>525</v>
      </c>
      <c r="C99" s="268" t="s"/>
      <c r="D99" s="268" t="s"/>
      <c r="E99" s="268" t="s"/>
      <c r="F99" s="296" t="e">
        <f>=#REF!I19*0.8</f>
        <v>#VALUE!</v>
      </c>
      <c r="G99" s="296" t="e">
        <f>=F99</f>
        <v>#VALUE!</v>
      </c>
      <c r="H99" s="270" t="s"/>
      <c r="I99" s="270" t="s"/>
      <c r="J99" s="330" t="s"/>
      <c r="K99" s="330" t="s"/>
      <c r="L99" s="263" t="s"/>
      <c r="M99" s="263" t="s"/>
      <c r="N99" s="263" t="s"/>
      <c r="O99" s="263" t="s"/>
      <c r="P99" s="263" t="s"/>
      <c r="Q99" s="263" t="s"/>
      <c r="R99" s="263" t="s"/>
      <c r="S99" s="263" t="s"/>
      <c r="T99" s="263" t="s"/>
      <c r="U99" s="263" t="s"/>
      <c r="V99" s="263" t="s"/>
      <c r="W99" s="263" t="s"/>
      <c r="X99" s="263" t="s"/>
      <c r="Y99" s="263" t="s"/>
    </row>
    <row r="100" spans="1:25" ht="32" customHeight="true">
      <c r="A100" s="326" t="s">
        <v>526</v>
      </c>
      <c r="B100" s="327" t="s">
        <v>527</v>
      </c>
      <c r="C100" s="268" t="s"/>
      <c r="D100" s="268" t="s"/>
      <c r="E100" s="268" t="s"/>
      <c r="F100" s="296" t="e">
        <f>=SUM(F101)</f>
        <v>#VALUE!</v>
      </c>
      <c r="G100" s="296" t="e">
        <f>=F100</f>
        <v>#VALUE!</v>
      </c>
      <c r="H100" s="328" t="s"/>
      <c r="I100" s="328" t="s"/>
      <c r="J100" s="325" t="s"/>
      <c r="K100" s="325" t="s"/>
      <c r="L100" s="263" t="s"/>
      <c r="M100" s="263" t="s"/>
      <c r="N100" s="263" t="s"/>
      <c r="O100" s="263" t="s"/>
      <c r="P100" s="263" t="s"/>
      <c r="Q100" s="263" t="s"/>
      <c r="R100" s="263" t="s"/>
      <c r="S100" s="263" t="s"/>
      <c r="T100" s="263" t="s"/>
      <c r="U100" s="263" t="s"/>
      <c r="V100" s="263" t="s"/>
      <c r="W100" s="263" t="s"/>
      <c r="X100" s="263" t="s"/>
      <c r="Y100" s="263" t="s"/>
    </row>
    <row r="101" spans="1:25" ht="32" customHeight="true">
      <c r="A101" s="326" t="s">
        <v>528</v>
      </c>
      <c r="B101" s="327" t="s">
        <v>2371</v>
      </c>
      <c r="C101" s="268" t="s"/>
      <c r="D101" s="268" t="s"/>
      <c r="E101" s="268" t="s"/>
      <c r="F101" s="296" t="e">
        <f>=#REF!D20</f>
        <v>#VALUE!</v>
      </c>
      <c r="G101" s="296" t="e">
        <f>=F101</f>
        <v>#VALUE!</v>
      </c>
      <c r="H101" s="328" t="s"/>
      <c r="I101" s="328" t="s"/>
      <c r="J101" s="325" t="s"/>
      <c r="K101" s="325" t="s"/>
      <c r="L101" s="263" t="s"/>
      <c r="M101" s="263" t="s"/>
      <c r="N101" s="263" t="s"/>
      <c r="O101" s="263" t="s"/>
      <c r="P101" s="263" t="s"/>
      <c r="Q101" s="263" t="s"/>
      <c r="R101" s="263" t="s"/>
      <c r="S101" s="263" t="s"/>
      <c r="T101" s="263" t="s"/>
      <c r="U101" s="263" t="s"/>
      <c r="V101" s="263" t="s"/>
      <c r="W101" s="263" t="s"/>
      <c r="X101" s="263" t="s"/>
      <c r="Y101" s="263" t="s"/>
    </row>
    <row r="102" spans="1:25" ht="32" customHeight="true">
      <c r="A102" s="326" t="s">
        <v>530</v>
      </c>
      <c r="B102" s="327" t="s">
        <v>531</v>
      </c>
      <c r="C102" s="268" t="s"/>
      <c r="D102" s="268" t="s"/>
      <c r="E102" s="268" t="s"/>
      <c r="F102" s="296" t="e">
        <f>=G4*0.008</f>
        <v>#VALUE!</v>
      </c>
      <c r="G102" s="296" t="e">
        <f>=F102</f>
        <v>#VALUE!</v>
      </c>
      <c r="H102" s="328" t="s"/>
      <c r="I102" s="328" t="s"/>
      <c r="J102" s="325" t="s"/>
      <c r="K102" s="325" t="s"/>
      <c r="L102" s="331">
        <v>581.6</v>
      </c>
      <c r="M102" s="263" t="s"/>
      <c r="N102" s="263">
        <v>304.8</v>
      </c>
      <c r="O102" s="263" t="s"/>
      <c r="P102" s="263" t="s"/>
      <c r="Q102" s="263" t="s"/>
      <c r="R102" s="263" t="s"/>
      <c r="S102" s="263" t="s"/>
      <c r="T102" s="263" t="s"/>
      <c r="U102" s="263" t="s"/>
      <c r="V102" s="263" t="s"/>
      <c r="W102" s="263" t="s"/>
      <c r="X102" s="263" t="s"/>
      <c r="Y102" s="263" t="s"/>
    </row>
    <row r="103" spans="1:25" ht="32" customHeight="true">
      <c r="A103" s="326" t="s">
        <v>532</v>
      </c>
      <c r="B103" s="327" t="s">
        <v>533</v>
      </c>
      <c r="C103" s="268" t="s"/>
      <c r="D103" s="268" t="s"/>
      <c r="E103" s="268" t="s"/>
      <c r="F103" s="296" t="e">
        <f>=#REF!I19*1.18</f>
        <v>#VALUE!</v>
      </c>
      <c r="G103" s="296" t="e">
        <f>=F103</f>
        <v>#VALUE!</v>
      </c>
      <c r="H103" s="328" t="s"/>
      <c r="I103" s="328" t="s"/>
      <c r="J103" s="325" t="s"/>
      <c r="K103" s="325" t="s"/>
      <c r="L103" s="331">
        <v>2439.5</v>
      </c>
      <c r="M103" s="263">
        <f>=L103*1.1</f>
        <v>2683.45</v>
      </c>
      <c r="N103" s="263">
        <v>566.8</v>
      </c>
      <c r="O103" s="263" t="s"/>
      <c r="P103" s="263" t="s"/>
      <c r="Q103" s="263" t="s"/>
      <c r="R103" s="263" t="s"/>
      <c r="S103" s="263" t="s"/>
      <c r="T103" s="263" t="s"/>
      <c r="U103" s="263" t="s"/>
      <c r="V103" s="263" t="s"/>
      <c r="W103" s="263" t="s"/>
      <c r="X103" s="263" t="s"/>
      <c r="Y103" s="263" t="s"/>
    </row>
    <row r="104" spans="1:25" ht="32" customHeight="true">
      <c r="A104" s="326" t="s">
        <v>534</v>
      </c>
      <c r="B104" s="327" t="s">
        <v>535</v>
      </c>
      <c r="C104" s="268" t="s"/>
      <c r="D104" s="268" t="s"/>
      <c r="E104" s="268" t="s"/>
      <c r="F104" s="296" t="e">
        <f>=(F102+F103)*0.065</f>
        <v>#VALUE!</v>
      </c>
      <c r="G104" s="296" t="e">
        <f>=F104</f>
        <v>#VALUE!</v>
      </c>
      <c r="H104" s="270" t="s"/>
      <c r="I104" s="270" t="s"/>
      <c r="J104" s="330" t="s"/>
      <c r="K104" s="330" t="s"/>
      <c r="L104" s="263">
        <f>=(L102+L103)*6.5/100</f>
        <v>196.3715</v>
      </c>
      <c r="M104" s="263" t="s"/>
      <c r="N104" s="263" t="e">
        <f>=(F102+357.11)*6.5/100</f>
        <v>#VALUE!</v>
      </c>
      <c r="O104" s="263" t="s"/>
      <c r="P104" s="263" t="e">
        <f>=(((566.8-304.8)/(2-1)*(G4/10000-1)+304.8)*1*1.15*1)</f>
        <v>#VALUE!</v>
      </c>
      <c r="Q104" s="263" t="e">
        <f>=P104*0.8</f>
        <v>#VALUE!</v>
      </c>
      <c r="R104" s="263" t="s"/>
      <c r="S104" s="263" t="s"/>
      <c r="T104" s="263" t="s"/>
      <c r="U104" s="263" t="s"/>
      <c r="V104" s="263" t="s"/>
      <c r="W104" s="263" t="s"/>
      <c r="X104" s="263" t="s"/>
      <c r="Y104" s="263" t="s"/>
    </row>
    <row r="105" spans="1:25" ht="32" customHeight="true">
      <c r="A105" s="326" t="s">
        <v>536</v>
      </c>
      <c r="B105" s="327" t="s">
        <v>537</v>
      </c>
      <c r="C105" s="268" t="s"/>
      <c r="D105" s="268" t="s"/>
      <c r="E105" s="268" t="s"/>
      <c r="F105" s="296" t="e">
        <f>=#REF!E11</f>
        <v>#VALUE!</v>
      </c>
      <c r="G105" s="296" t="e">
        <f>=F105</f>
        <v>#VALUE!</v>
      </c>
      <c r="H105" s="270" t="s"/>
      <c r="I105" s="270" t="s"/>
      <c r="J105" s="330" t="s"/>
      <c r="K105" s="330" t="s"/>
      <c r="L105" s="263" t="s"/>
      <c r="M105" s="263" t="s"/>
      <c r="N105" s="263" t="s"/>
      <c r="O105" s="263" t="s"/>
      <c r="P105" s="263" t="e">
        <f>=P104*0.1</f>
        <v>#VALUE!</v>
      </c>
      <c r="Q105" s="263" t="e">
        <f>=P104+Q104</f>
        <v>#VALUE!</v>
      </c>
      <c r="R105" s="263" t="s"/>
      <c r="S105" s="263" t="s"/>
      <c r="T105" s="263" t="s"/>
      <c r="U105" s="263" t="s"/>
      <c r="V105" s="263" t="s"/>
      <c r="W105" s="263" t="s"/>
      <c r="X105" s="263" t="s"/>
      <c r="Y105" s="263" t="s"/>
    </row>
    <row r="106" spans="1:25" ht="32" customHeight="true">
      <c r="A106" s="326" t="s">
        <v>538</v>
      </c>
      <c r="B106" s="327" t="s">
        <v>539</v>
      </c>
      <c r="C106" s="268" t="s"/>
      <c r="D106" s="268" t="s"/>
      <c r="E106" s="268" t="s"/>
      <c r="F106" s="296" t="e">
        <f>=0.5%*G4</f>
        <v>#VALUE!</v>
      </c>
      <c r="G106" s="296" t="e">
        <f>=F106</f>
        <v>#VALUE!</v>
      </c>
      <c r="H106" s="270" t="s"/>
      <c r="I106" s="270" t="s"/>
      <c r="J106" s="330" t="s"/>
      <c r="K106" s="330" t="s"/>
      <c r="L106" s="263" t="s"/>
      <c r="M106" s="263" t="s"/>
      <c r="N106" s="263" t="s"/>
      <c r="O106" s="263" t="s"/>
      <c r="P106" s="263" t="e">
        <f>=P104+P105</f>
        <v>#VALUE!</v>
      </c>
      <c r="Q106" s="263" t="e">
        <f>=Q105*6.5/100</f>
        <v>#VALUE!</v>
      </c>
      <c r="R106" s="263" t="s"/>
      <c r="S106" s="263" t="s"/>
      <c r="T106" s="263" t="s"/>
      <c r="U106" s="263" t="s"/>
      <c r="V106" s="263" t="s"/>
      <c r="W106" s="263" t="s"/>
      <c r="X106" s="263" t="s"/>
      <c r="Y106" s="263" t="s"/>
    </row>
    <row r="107" spans="1:25" ht="32" customHeight="true">
      <c r="A107" s="326" t="s">
        <v>540</v>
      </c>
      <c r="B107" s="327" t="s">
        <v>541</v>
      </c>
      <c r="C107" s="268" t="s"/>
      <c r="D107" s="268" t="s"/>
      <c r="E107" s="268" t="s"/>
      <c r="F107" s="296" t="e">
        <f>=0.3%*G4</f>
        <v>#VALUE!</v>
      </c>
      <c r="G107" s="296" t="e">
        <f>=F107</f>
        <v>#VALUE!</v>
      </c>
      <c r="H107" s="270" t="s"/>
      <c r="I107" s="270" t="s"/>
      <c r="J107" s="330" t="s"/>
      <c r="K107" s="330" t="s"/>
      <c r="L107" s="263" t="s"/>
      <c r="M107" s="263" t="s"/>
      <c r="N107" s="263" t="s"/>
      <c r="O107" s="263" t="s"/>
      <c r="P107" s="263" t="s"/>
      <c r="Q107" s="263" t="s"/>
      <c r="R107" s="263" t="s"/>
      <c r="S107" s="263" t="s"/>
      <c r="T107" s="263" t="s"/>
      <c r="U107" s="263" t="s"/>
      <c r="V107" s="263" t="s"/>
      <c r="W107" s="263" t="s"/>
      <c r="X107" s="263" t="s"/>
      <c r="Y107" s="263" t="s"/>
    </row>
    <row r="108" spans="1:25" ht="32" customHeight="true">
      <c r="A108" s="326" t="s">
        <v>542</v>
      </c>
      <c r="B108" s="327" t="s">
        <v>543</v>
      </c>
      <c r="C108" s="268" t="s"/>
      <c r="D108" s="268" t="s"/>
      <c r="E108" s="268" t="s"/>
      <c r="F108" s="296">
        <f>=((104-95)/(5-4)*(C4/10000-4)+95)*0.8</f>
        <v>78.167849451988</v>
      </c>
      <c r="G108" s="296">
        <f>=F108</f>
        <v>78.167849451988</v>
      </c>
      <c r="H108" s="270" t="s"/>
      <c r="I108" s="270" t="s"/>
      <c r="J108" s="330" t="s"/>
      <c r="K108" s="330" t="s"/>
      <c r="L108" s="263" t="s"/>
      <c r="M108" s="263" t="s"/>
      <c r="N108" s="263" t="s"/>
      <c r="O108" s="263" t="s"/>
      <c r="P108" s="263" t="s"/>
      <c r="Q108" s="263" t="s"/>
      <c r="R108" s="263" t="s"/>
      <c r="S108" s="263" t="s"/>
      <c r="T108" s="263" t="s"/>
      <c r="U108" s="263" t="s"/>
      <c r="V108" s="263" t="s"/>
      <c r="W108" s="263" t="s"/>
      <c r="X108" s="263" t="s"/>
      <c r="Y108" s="263" t="s"/>
    </row>
    <row r="109" spans="1:25" ht="32" customHeight="true">
      <c r="A109" s="326" t="s">
        <v>544</v>
      </c>
      <c r="B109" s="327" t="s">
        <v>545</v>
      </c>
      <c r="C109" s="268" t="s"/>
      <c r="D109" s="268" t="s"/>
      <c r="E109" s="268" t="s"/>
      <c r="F109" s="296" t="e">
        <f>=#REF!H18</f>
        <v>#VALUE!</v>
      </c>
      <c r="G109" s="296" t="e">
        <f>=F109</f>
        <v>#VALUE!</v>
      </c>
      <c r="H109" s="328" t="s"/>
      <c r="I109" s="328" t="s"/>
      <c r="J109" s="325" t="s"/>
      <c r="K109" s="325" t="s"/>
      <c r="L109" s="263" t="s"/>
      <c r="M109" s="263" t="s"/>
      <c r="N109" s="263" t="s"/>
      <c r="O109" s="263" t="s"/>
      <c r="P109" s="263" t="s"/>
      <c r="Q109" s="263" t="s"/>
      <c r="R109" s="263" t="s"/>
      <c r="S109" s="263" t="s"/>
      <c r="T109" s="263" t="s"/>
      <c r="U109" s="263" t="s"/>
      <c r="V109" s="263" t="s"/>
      <c r="W109" s="263" t="s"/>
      <c r="X109" s="263" t="s"/>
      <c r="Y109" s="263" t="s"/>
    </row>
    <row r="110" spans="1:25" ht="32" customHeight="true">
      <c r="A110" s="326" t="s">
        <v>546</v>
      </c>
      <c r="B110" s="327" t="s">
        <v>547</v>
      </c>
      <c r="C110" s="268" t="s"/>
      <c r="D110" s="268" t="s"/>
      <c r="E110" s="268" t="s"/>
      <c r="F110" s="296" t="e">
        <f>=(C4+E4)*2%</f>
        <v>#VALUE!</v>
      </c>
      <c r="G110" s="296" t="e">
        <f>=F110</f>
        <v>#VALUE!</v>
      </c>
      <c r="H110" s="270" t="s"/>
      <c r="I110" s="270" t="s"/>
      <c r="J110" s="330" t="s"/>
      <c r="K110" s="330" t="s"/>
      <c r="L110" s="263" t="s"/>
      <c r="M110" s="263" t="s"/>
      <c r="N110" s="263" t="s"/>
      <c r="O110" s="263" t="s"/>
      <c r="P110" s="263" t="s"/>
      <c r="Q110" s="263" t="s"/>
      <c r="R110" s="263" t="s"/>
      <c r="S110" s="263" t="s"/>
      <c r="T110" s="263" t="s"/>
      <c r="U110" s="263" t="s"/>
      <c r="V110" s="263" t="s"/>
      <c r="W110" s="263" t="s"/>
      <c r="X110" s="263" t="s"/>
      <c r="Y110" s="263" t="s"/>
    </row>
    <row r="111" spans="1:25" ht="32" customHeight="true">
      <c r="A111" s="326" t="s">
        <v>548</v>
      </c>
      <c r="B111" s="327" t="s">
        <v>549</v>
      </c>
      <c r="C111" s="268" t="s"/>
      <c r="D111" s="268" t="s"/>
      <c r="E111" s="268" t="s"/>
      <c r="F111" s="296">
        <v>25</v>
      </c>
      <c r="G111" s="296">
        <f>=F111</f>
        <v>25</v>
      </c>
      <c r="H111" s="270" t="s"/>
      <c r="I111" s="270" t="s"/>
      <c r="J111" s="330" t="s"/>
      <c r="K111" s="330" t="s"/>
      <c r="L111" s="263" t="s"/>
      <c r="M111" s="263" t="s"/>
      <c r="N111" s="263" t="s"/>
      <c r="O111" s="263" t="s"/>
      <c r="P111" s="263" t="s"/>
      <c r="Q111" s="263" t="s"/>
      <c r="R111" s="263" t="s"/>
      <c r="S111" s="263" t="s"/>
      <c r="T111" s="263" t="s"/>
      <c r="U111" s="263" t="s"/>
      <c r="V111" s="263" t="s"/>
      <c r="W111" s="263" t="s"/>
      <c r="X111" s="263" t="s"/>
      <c r="Y111" s="263" t="s"/>
    </row>
    <row r="112" spans="1:25" ht="32" customHeight="true">
      <c r="A112" s="326" t="s">
        <v>550</v>
      </c>
      <c r="B112" s="327" t="s">
        <v>551</v>
      </c>
      <c r="C112" s="268" t="s"/>
      <c r="D112" s="268" t="s"/>
      <c r="E112" s="268" t="s"/>
      <c r="F112" s="296" t="e">
        <f>=D4*0.01</f>
        <v>#VALUE!</v>
      </c>
      <c r="G112" s="296" t="e">
        <f>=F112</f>
        <v>#VALUE!</v>
      </c>
      <c r="H112" s="270" t="s"/>
      <c r="I112" s="270" t="s"/>
      <c r="J112" s="330" t="s"/>
      <c r="K112" s="330" t="s"/>
      <c r="L112" s="263" t="s"/>
      <c r="M112" s="263" t="s"/>
      <c r="N112" s="263" t="s"/>
      <c r="O112" s="263" t="s"/>
      <c r="P112" s="263" t="s"/>
      <c r="Q112" s="263" t="s"/>
      <c r="R112" s="263" t="s"/>
      <c r="S112" s="263" t="s"/>
      <c r="T112" s="263" t="s"/>
      <c r="U112" s="263" t="s"/>
      <c r="V112" s="263" t="s"/>
      <c r="W112" s="263" t="s"/>
      <c r="X112" s="263" t="s"/>
      <c r="Y112" s="263" t="s"/>
    </row>
    <row r="113" spans="1:25" ht="32" customHeight="true">
      <c r="A113" s="326" t="s">
        <v>552</v>
      </c>
      <c r="B113" s="327" t="s">
        <v>553</v>
      </c>
      <c r="C113" s="268" t="s"/>
      <c r="D113" s="268" t="s"/>
      <c r="E113" s="268" t="s"/>
      <c r="F113" s="296">
        <f>=40*0.6*5</f>
        <v>120</v>
      </c>
      <c r="G113" s="296">
        <f>=F113</f>
        <v>120</v>
      </c>
      <c r="H113" s="270" t="s"/>
      <c r="I113" s="270" t="s"/>
      <c r="J113" s="330" t="s"/>
      <c r="K113" s="330" t="s"/>
      <c r="L113" s="263" t="s"/>
      <c r="M113" s="263" t="s"/>
      <c r="N113" s="263" t="s"/>
      <c r="O113" s="263" t="s"/>
      <c r="P113" s="263" t="s"/>
      <c r="Q113" s="263" t="s"/>
      <c r="R113" s="263" t="s"/>
      <c r="S113" s="263" t="s"/>
      <c r="T113" s="263" t="s"/>
      <c r="U113" s="263" t="s"/>
      <c r="V113" s="263" t="s"/>
      <c r="W113" s="263" t="s"/>
      <c r="X113" s="263" t="s"/>
      <c r="Y113" s="263" t="s"/>
    </row>
    <row r="114" spans="1:25" ht="32" customHeight="true">
      <c r="A114" s="326" t="s">
        <v>554</v>
      </c>
      <c r="B114" s="327" t="s">
        <v>555</v>
      </c>
      <c r="C114" s="268" t="s"/>
      <c r="D114" s="268" t="s"/>
      <c r="E114" s="268" t="s"/>
      <c r="F114" s="296">
        <f>=40*0.2</f>
        <v>8</v>
      </c>
      <c r="G114" s="296">
        <f>=F114</f>
        <v>8</v>
      </c>
      <c r="H114" s="270" t="s"/>
      <c r="I114" s="270" t="s"/>
      <c r="J114" s="330" t="s"/>
      <c r="K114" s="330" t="s"/>
      <c r="L114" s="263" t="s"/>
      <c r="M114" s="263" t="s"/>
      <c r="N114" s="263" t="s"/>
      <c r="O114" s="263" t="s"/>
      <c r="P114" s="263" t="s"/>
      <c r="Q114" s="263" t="s"/>
      <c r="R114" s="263" t="s"/>
      <c r="S114" s="263" t="s"/>
      <c r="T114" s="263" t="s"/>
      <c r="U114" s="263" t="s"/>
      <c r="V114" s="263" t="s"/>
      <c r="W114" s="263" t="s"/>
      <c r="X114" s="263" t="s"/>
      <c r="Y114" s="263" t="s"/>
    </row>
    <row r="115" spans="1:25" ht="32" customHeight="true">
      <c r="A115" s="326" t="s">
        <v>556</v>
      </c>
      <c r="B115" s="327" t="s">
        <v>557</v>
      </c>
      <c r="C115" s="268" t="s"/>
      <c r="D115" s="268" t="s"/>
      <c r="E115" s="268" t="s"/>
      <c r="F115" s="296">
        <v>8</v>
      </c>
      <c r="G115" s="296">
        <f>=F115</f>
        <v>8</v>
      </c>
      <c r="H115" s="270" t="s"/>
      <c r="I115" s="270" t="s"/>
      <c r="J115" s="330" t="s"/>
      <c r="K115" s="330" t="s"/>
      <c r="L115" s="263" t="s"/>
      <c r="M115" s="263" t="s"/>
      <c r="N115" s="263" t="s"/>
      <c r="O115" s="263" t="s"/>
      <c r="P115" s="263" t="s"/>
      <c r="Q115" s="263" t="s"/>
      <c r="R115" s="263" t="s"/>
      <c r="S115" s="263" t="s"/>
      <c r="T115" s="263" t="s"/>
      <c r="U115" s="263" t="s"/>
      <c r="V115" s="263" t="s"/>
      <c r="W115" s="263" t="s"/>
      <c r="X115" s="263" t="s"/>
      <c r="Y115" s="263" t="s"/>
    </row>
    <row r="116" spans="1:25" ht="32" customHeight="true">
      <c r="A116" s="326" t="s">
        <v>558</v>
      </c>
      <c r="B116" s="327" t="s">
        <v>559</v>
      </c>
      <c r="C116" s="268" t="s"/>
      <c r="D116" s="268" t="s"/>
      <c r="E116" s="268" t="s"/>
      <c r="F116" s="296">
        <f>=I116*J116/10000</f>
        <v>42</v>
      </c>
      <c r="G116" s="296">
        <f>=F116</f>
        <v>42</v>
      </c>
      <c r="H116" s="270" t="s">
        <v>560</v>
      </c>
      <c r="I116" s="270">
        <v>2500</v>
      </c>
      <c r="J116" s="330">
        <v>168</v>
      </c>
      <c r="K116" s="330" t="s"/>
      <c r="L116" s="263" t="s"/>
      <c r="M116" s="263" t="s"/>
      <c r="N116" s="263" t="s"/>
      <c r="O116" s="263" t="s"/>
      <c r="P116" s="263" t="s"/>
      <c r="Q116" s="263" t="s"/>
      <c r="R116" s="263" t="s"/>
      <c r="S116" s="263" t="s"/>
      <c r="T116" s="263" t="s"/>
      <c r="U116" s="263" t="s"/>
      <c r="V116" s="263" t="s"/>
      <c r="W116" s="263" t="s"/>
      <c r="X116" s="263" t="s"/>
      <c r="Y116" s="263" t="s"/>
    </row>
    <row r="117" spans="1:25" ht="32" customHeight="true">
      <c r="A117" s="326" t="s">
        <v>561</v>
      </c>
      <c r="B117" s="327" t="s">
        <v>562</v>
      </c>
      <c r="C117" s="268" t="s"/>
      <c r="D117" s="268" t="s"/>
      <c r="E117" s="268" t="s"/>
      <c r="F117" s="296">
        <v>20</v>
      </c>
      <c r="G117" s="296">
        <f>=F117</f>
        <v>20</v>
      </c>
      <c r="H117" s="270" t="s"/>
      <c r="I117" s="270" t="s"/>
      <c r="J117" s="330" t="s"/>
      <c r="K117" s="330" t="s"/>
      <c r="L117" s="263" t="s"/>
      <c r="M117" s="263" t="s"/>
      <c r="N117" s="263" t="s"/>
      <c r="O117" s="263" t="s"/>
      <c r="P117" s="263" t="s"/>
      <c r="Q117" s="263" t="s"/>
      <c r="R117" s="263" t="s"/>
      <c r="S117" s="263" t="s"/>
      <c r="T117" s="263" t="s"/>
      <c r="U117" s="263" t="s"/>
      <c r="V117" s="263" t="s"/>
      <c r="W117" s="263" t="s"/>
      <c r="X117" s="263" t="s"/>
      <c r="Y117" s="263" t="s"/>
    </row>
    <row r="118" spans="1:25" ht="32" customHeight="true">
      <c r="A118" s="323" t="s"/>
      <c r="B118" s="332" t="s">
        <v>563</v>
      </c>
      <c r="C118" s="279">
        <f>=C97+C4</f>
        <v>43010.90201665</v>
      </c>
      <c r="D118" s="279" t="e">
        <f>=D97+D4</f>
        <v>#VALUE!</v>
      </c>
      <c r="E118" s="279" t="e">
        <f>=E97+E4</f>
        <v>#VALUE!</v>
      </c>
      <c r="F118" s="279" t="e">
        <f>=F97+F4</f>
        <v>#VALUE!</v>
      </c>
      <c r="G118" s="279" t="e">
        <f>=SUM(C118:F118)</f>
        <v>#VALUE!</v>
      </c>
      <c r="H118" s="328" t="s"/>
      <c r="I118" s="328" t="s"/>
      <c r="J118" s="325" t="s"/>
      <c r="K118" s="325" t="s"/>
      <c r="L118" s="263" t="s"/>
      <c r="M118" s="263" t="s"/>
      <c r="N118" s="263" t="s"/>
      <c r="O118" s="263" t="s"/>
      <c r="P118" s="263" t="s"/>
      <c r="Q118" s="263" t="s"/>
      <c r="R118" s="263" t="s"/>
      <c r="S118" s="263" t="s"/>
      <c r="T118" s="263" t="s"/>
      <c r="U118" s="263" t="s"/>
      <c r="V118" s="263" t="s"/>
      <c r="W118" s="263" t="s"/>
      <c r="X118" s="263" t="s"/>
      <c r="Y118" s="263" t="s"/>
    </row>
    <row r="119" spans="1:25" ht="32" customHeight="true">
      <c r="A119" s="326" t="s"/>
      <c r="B119" s="327" t="s"/>
      <c r="C119" s="268" t="s"/>
      <c r="D119" s="268" t="s"/>
      <c r="E119" s="268" t="s"/>
      <c r="F119" s="296" t="s"/>
      <c r="G119" s="296" t="s"/>
      <c r="H119" s="270" t="s"/>
      <c r="I119" s="270" t="s"/>
      <c r="J119" s="330" t="s"/>
      <c r="K119" s="330" t="s"/>
      <c r="L119" s="263" t="s"/>
      <c r="M119" s="263" t="s"/>
      <c r="N119" s="263" t="s"/>
      <c r="O119" s="263" t="s"/>
      <c r="P119" s="263" t="s"/>
      <c r="Q119" s="263" t="s"/>
      <c r="R119" s="263" t="s"/>
      <c r="S119" s="263" t="s"/>
      <c r="T119" s="263" t="s"/>
      <c r="U119" s="263" t="s"/>
      <c r="V119" s="263" t="s"/>
      <c r="W119" s="263" t="s"/>
      <c r="X119" s="263" t="s"/>
      <c r="Y119" s="263" t="s"/>
    </row>
    <row r="120" spans="1:25" ht="32" customHeight="true">
      <c r="A120" s="323" t="s">
        <v>564</v>
      </c>
      <c r="B120" s="280" t="s">
        <v>565</v>
      </c>
      <c r="C120" s="268" t="s"/>
      <c r="D120" s="268" t="s"/>
      <c r="E120" s="268" t="s"/>
      <c r="F120" s="328" t="s"/>
      <c r="G120" s="328" t="e">
        <f>=G121</f>
        <v>#VALUE!</v>
      </c>
      <c r="H120" s="280" t="s">
        <v>2525</v>
      </c>
      <c r="I120" s="281">
        <v>100000</v>
      </c>
      <c r="J120" s="282" t="e">
        <f>=G120/I120*10000</f>
        <v>#VALUE!</v>
      </c>
      <c r="K120" s="325" t="s"/>
      <c r="L120" s="263" t="s"/>
      <c r="M120" s="263" t="s"/>
      <c r="N120" s="263" t="s"/>
      <c r="O120" s="263" t="s"/>
      <c r="P120" s="263" t="s"/>
      <c r="Q120" s="263" t="s"/>
      <c r="R120" s="263" t="s"/>
      <c r="S120" s="263" t="s"/>
      <c r="T120" s="263" t="s"/>
      <c r="U120" s="263" t="s"/>
      <c r="V120" s="263" t="s"/>
      <c r="W120" s="263" t="s"/>
      <c r="X120" s="263" t="s"/>
      <c r="Y120" s="263" t="s"/>
    </row>
    <row r="121" spans="1:25" ht="32" customHeight="true">
      <c r="A121" s="326" t="s">
        <v>522</v>
      </c>
      <c r="B121" s="327" t="s">
        <v>2535</v>
      </c>
      <c r="C121" s="268" t="s"/>
      <c r="D121" s="268" t="s"/>
      <c r="E121" s="268" t="s"/>
      <c r="F121" s="270" t="s"/>
      <c r="G121" s="270" t="e">
        <f>=(G4+G97)*0.05</f>
        <v>#VALUE!</v>
      </c>
      <c r="H121" s="270" t="s"/>
      <c r="I121" s="270" t="s"/>
      <c r="J121" s="330" t="s"/>
      <c r="K121" s="330" t="s"/>
      <c r="L121" s="275" t="e">
        <f>=G118-#REF!</f>
        <v>#REF!</v>
      </c>
      <c r="M121" s="263" t="s"/>
      <c r="N121" s="263" t="s"/>
      <c r="O121" s="263" t="s"/>
      <c r="P121" s="263" t="s"/>
      <c r="Q121" s="263" t="s"/>
      <c r="R121" s="263" t="s"/>
      <c r="S121" s="263" t="s"/>
      <c r="T121" s="263" t="s"/>
      <c r="U121" s="263" t="s"/>
      <c r="V121" s="263" t="s"/>
      <c r="W121" s="263" t="s"/>
      <c r="X121" s="263" t="s"/>
      <c r="Y121" s="263" t="s"/>
    </row>
    <row r="122" spans="1:25" ht="32" customHeight="true">
      <c r="A122" s="326" t="s"/>
      <c r="B122" s="327" t="s"/>
      <c r="C122" s="268" t="s"/>
      <c r="D122" s="268" t="s"/>
      <c r="E122" s="268" t="s"/>
      <c r="F122" s="270" t="s"/>
      <c r="G122" s="270" t="s"/>
      <c r="H122" s="270" t="s"/>
      <c r="I122" s="270" t="s"/>
      <c r="J122" s="330" t="s"/>
      <c r="K122" s="330" t="s"/>
      <c r="L122" s="275" t="s"/>
      <c r="M122" s="263" t="s"/>
      <c r="N122" s="263" t="s"/>
      <c r="O122" s="263" t="s"/>
      <c r="P122" s="263" t="s"/>
      <c r="Q122" s="263" t="s"/>
      <c r="R122" s="263" t="s"/>
      <c r="S122" s="263" t="s"/>
      <c r="T122" s="263" t="s"/>
      <c r="U122" s="263" t="s"/>
      <c r="V122" s="263" t="s"/>
      <c r="W122" s="263" t="s"/>
      <c r="X122" s="263" t="s"/>
      <c r="Y122" s="263" t="s"/>
    </row>
    <row r="123" spans="1:25" ht="32" customHeight="true">
      <c r="A123" s="323" t="s">
        <v>566</v>
      </c>
      <c r="B123" s="280" t="s">
        <v>567</v>
      </c>
      <c r="C123" s="268" t="s"/>
      <c r="D123" s="268" t="s"/>
      <c r="E123" s="268" t="s"/>
      <c r="F123" s="328" t="s"/>
      <c r="G123" s="333" t="e">
        <f>=G118+G121</f>
        <v>#VALUE!</v>
      </c>
      <c r="H123" s="280" t="s">
        <v>2525</v>
      </c>
      <c r="I123" s="281">
        <v>100000</v>
      </c>
      <c r="J123" s="282" t="e">
        <f>=G123/I123*10000</f>
        <v>#VALUE!</v>
      </c>
      <c r="K123" s="325" t="s"/>
      <c r="L123" s="334" t="s"/>
      <c r="M123" s="275" t="e">
        <f>=P4-G123</f>
        <v>#VALUE!</v>
      </c>
      <c r="N123" s="263" t="s"/>
      <c r="O123" s="263" t="s"/>
      <c r="P123" s="263" t="s"/>
      <c r="Q123" s="263" t="s"/>
      <c r="R123" s="263" t="s"/>
      <c r="S123" s="263" t="s"/>
      <c r="T123" s="263" t="s"/>
      <c r="U123" s="263" t="s"/>
      <c r="V123" s="263">
        <f>=686.38*0.9453</f>
        <v>648.835014</v>
      </c>
      <c r="W123" s="263" t="s"/>
      <c r="X123" s="263" t="s"/>
      <c r="Y123" s="263" t="s"/>
    </row>
    <row r="124" spans="1:25" ht="32" customHeight="true">
      <c r="A124" s="323" t="s"/>
      <c r="B124" s="280" t="s"/>
      <c r="C124" s="268" t="s"/>
      <c r="D124" s="268" t="s"/>
      <c r="E124" s="268" t="s"/>
      <c r="F124" s="328" t="s"/>
      <c r="G124" s="328" t="s"/>
      <c r="H124" s="328" t="s"/>
      <c r="I124" s="328" t="s"/>
      <c r="J124" s="325" t="s"/>
      <c r="K124" s="325" t="s"/>
      <c r="L124" s="263" t="s"/>
      <c r="M124" s="263" t="s"/>
      <c r="N124" s="276" t="e">
        <f>=G123*0.8</f>
        <v>#VALUE!</v>
      </c>
      <c r="O124" s="263" t="s"/>
      <c r="P124" s="263" t="s"/>
      <c r="Q124" s="263" t="s"/>
      <c r="R124" s="263" t="s"/>
      <c r="S124" s="263" t="s"/>
      <c r="T124" s="263" t="s"/>
      <c r="U124" s="263" t="s"/>
      <c r="V124" s="263" t="s"/>
      <c r="W124" s="263" t="s"/>
      <c r="X124" s="263" t="s"/>
      <c r="Y124" s="263" t="s"/>
    </row>
    <row r="125" spans="1:25" ht="32" customHeight="true">
      <c r="A125" s="323" t="s">
        <v>568</v>
      </c>
      <c r="B125" s="280" t="s">
        <v>569</v>
      </c>
      <c r="C125" s="268" t="s"/>
      <c r="D125" s="268" t="s"/>
      <c r="E125" s="268" t="s"/>
      <c r="F125" s="328" t="s"/>
      <c r="G125" s="328" t="e">
        <f>=O127</f>
        <v>#VALUE!</v>
      </c>
      <c r="H125" s="280" t="s">
        <v>2525</v>
      </c>
      <c r="I125" s="281">
        <v>100000</v>
      </c>
      <c r="J125" s="282" t="e">
        <f>=G125/I125*10000</f>
        <v>#VALUE!</v>
      </c>
      <c r="K125" s="325" t="s"/>
      <c r="L125" s="263" t="s"/>
      <c r="M125" s="263" t="s"/>
      <c r="N125" s="276" t="e">
        <f>=N124*0.5</f>
        <v>#VALUE!</v>
      </c>
      <c r="O125" s="275" t="e">
        <f>=N125*0.049/2</f>
        <v>#VALUE!</v>
      </c>
      <c r="P125" s="263" t="s"/>
      <c r="Q125" s="263" t="s"/>
      <c r="R125" s="263" t="s"/>
      <c r="S125" s="263" t="s"/>
      <c r="T125" s="263" t="s"/>
      <c r="U125" s="263" t="s"/>
      <c r="V125" s="263" t="s"/>
      <c r="W125" s="263" t="s"/>
      <c r="X125" s="263" t="s"/>
      <c r="Y125" s="263" t="s"/>
    </row>
    <row r="126" spans="1:25" ht="32" customHeight="true">
      <c r="A126" s="323" t="s"/>
      <c r="B126" s="280" t="s"/>
      <c r="C126" s="268" t="s"/>
      <c r="D126" s="268" t="s"/>
      <c r="E126" s="268" t="s"/>
      <c r="F126" s="328" t="s"/>
      <c r="G126" s="328" t="s"/>
      <c r="H126" s="328" t="s"/>
      <c r="I126" s="328" t="s"/>
      <c r="J126" s="325" t="s"/>
      <c r="K126" s="325" t="s"/>
      <c r="L126" s="263" t="s"/>
      <c r="M126" s="263" t="s"/>
      <c r="N126" s="276" t="e">
        <f>=N124*0.5</f>
        <v>#VALUE!</v>
      </c>
      <c r="O126" s="275" t="e">
        <f>=N126*0.049/2+N125*0.049</f>
        <v>#VALUE!</v>
      </c>
      <c r="P126" s="263" t="s"/>
      <c r="Q126" s="263" t="s"/>
      <c r="R126" s="263" t="s"/>
      <c r="S126" s="263" t="s"/>
      <c r="T126" s="263" t="s"/>
      <c r="U126" s="263" t="s"/>
      <c r="V126" s="263" t="s"/>
      <c r="W126" s="263" t="s"/>
      <c r="X126" s="263" t="s"/>
      <c r="Y126" s="263" t="s"/>
    </row>
    <row r="127" spans="1:25" ht="32" customHeight="true">
      <c r="A127" s="323" t="s">
        <v>570</v>
      </c>
      <c r="B127" s="280" t="s">
        <v>571</v>
      </c>
      <c r="C127" s="268" t="s"/>
      <c r="D127" s="268" t="s"/>
      <c r="E127" s="268" t="s"/>
      <c r="F127" s="328" t="s"/>
      <c r="G127" s="328">
        <v>339.08</v>
      </c>
      <c r="H127" s="280" t="s">
        <v>2525</v>
      </c>
      <c r="I127" s="281">
        <v>100000</v>
      </c>
      <c r="J127" s="282">
        <f>=G127/I127*10000</f>
        <v>33.908</v>
      </c>
      <c r="K127" s="325" t="s"/>
      <c r="L127" s="263" t="s"/>
      <c r="M127" s="263" t="s"/>
      <c r="N127" s="263" t="s"/>
      <c r="O127" s="275" t="e">
        <f>=SUM(O125:O126)</f>
        <v>#VALUE!</v>
      </c>
      <c r="P127" s="263" t="s"/>
      <c r="Q127" s="263" t="s"/>
      <c r="R127" s="263" t="s"/>
      <c r="S127" s="263" t="s"/>
      <c r="T127" s="263" t="s"/>
      <c r="U127" s="263" t="s"/>
      <c r="V127" s="263" t="s"/>
      <c r="W127" s="263" t="s"/>
      <c r="X127" s="263" t="s"/>
      <c r="Y127" s="263" t="s"/>
    </row>
    <row r="128" spans="1:25" ht="32" customHeight="true">
      <c r="A128" s="323" t="s"/>
      <c r="B128" s="280" t="s"/>
      <c r="C128" s="268" t="s"/>
      <c r="D128" s="268" t="s"/>
      <c r="E128" s="268" t="s"/>
      <c r="F128" s="328" t="s"/>
      <c r="G128" s="328" t="s"/>
      <c r="H128" s="328" t="s"/>
      <c r="I128" s="328" t="s"/>
      <c r="J128" s="325" t="s"/>
      <c r="K128" s="325" t="s"/>
      <c r="L128" s="263" t="s"/>
      <c r="M128" s="263" t="s"/>
      <c r="N128" s="263" t="s"/>
      <c r="O128" s="263" t="s"/>
      <c r="P128" s="263" t="s"/>
      <c r="Q128" s="263" t="s"/>
      <c r="R128" s="263" t="s"/>
      <c r="S128" s="263" t="s"/>
      <c r="T128" s="263" t="s"/>
      <c r="U128" s="263" t="s"/>
      <c r="V128" s="263" t="s"/>
      <c r="W128" s="263" t="s"/>
      <c r="X128" s="263" t="s"/>
      <c r="Y128" s="263" t="s"/>
    </row>
    <row r="129" spans="1:25" ht="32" customHeight="true">
      <c r="A129" s="323" t="s">
        <v>572</v>
      </c>
      <c r="B129" s="280" t="s">
        <v>573</v>
      </c>
      <c r="C129" s="268" t="s"/>
      <c r="D129" s="268" t="s"/>
      <c r="E129" s="268" t="s"/>
      <c r="F129" s="328" t="s"/>
      <c r="G129" s="333" t="e">
        <f>=G123+G125+G127</f>
        <v>#VALUE!</v>
      </c>
      <c r="H129" s="280" t="s">
        <v>2525</v>
      </c>
      <c r="I129" s="281">
        <v>100000</v>
      </c>
      <c r="J129" s="282" t="e">
        <f>=G129/I129*10000</f>
        <v>#VALUE!</v>
      </c>
      <c r="K129" s="325" t="s"/>
      <c r="L129" s="263" t="s"/>
      <c r="M129" s="263" t="s"/>
      <c r="N129" s="263" t="s"/>
      <c r="O129" s="263" t="s"/>
      <c r="P129" s="263" t="s"/>
      <c r="Q129" s="263" t="s"/>
      <c r="R129" s="263" t="s"/>
      <c r="S129" s="263" t="s"/>
      <c r="T129" s="263" t="s"/>
      <c r="U129" s="263" t="s"/>
      <c r="V129" s="263" t="s"/>
      <c r="W129" s="263" t="s"/>
      <c r="X129" s="263" t="s"/>
      <c r="Y129" s="263" t="s"/>
    </row>
    <row r="130" spans="1:25" ht="32" customHeight="true">
      <c r="A130" s="335" t="s"/>
      <c r="B130" s="336" t="s"/>
      <c r="C130" s="263" t="s"/>
      <c r="D130" s="263" t="s"/>
      <c r="E130" s="263" t="s"/>
      <c r="F130" s="337" t="s"/>
      <c r="G130" s="337" t="s"/>
      <c r="H130" s="337" t="s"/>
      <c r="I130" s="337" t="s"/>
      <c r="J130" s="338" t="s"/>
      <c r="K130" s="338" t="s"/>
      <c r="L130" s="263" t="s"/>
      <c r="M130" s="263" t="s"/>
      <c r="N130" s="263" t="s"/>
      <c r="O130" s="263" t="s"/>
      <c r="P130" s="263" t="s"/>
      <c r="Q130" s="263" t="s"/>
      <c r="R130" s="263" t="s"/>
      <c r="S130" s="263" t="s"/>
      <c r="T130" s="263" t="s"/>
      <c r="U130" s="263" t="s"/>
      <c r="V130" s="263" t="s"/>
      <c r="W130" s="263" t="s"/>
      <c r="X130" s="263" t="s"/>
      <c r="Y130" s="263" t="s"/>
    </row>
    <row r="131" spans="1:25" ht="32" customHeight="true">
      <c r="A131" s="335" t="s"/>
      <c r="B131" s="336" t="s"/>
      <c r="C131" s="263" t="s"/>
      <c r="D131" s="263" t="s"/>
      <c r="E131" s="263" t="s"/>
      <c r="F131" s="337" t="s"/>
      <c r="G131" s="337" t="s"/>
      <c r="H131" s="337" t="s"/>
      <c r="I131" s="337" t="s"/>
      <c r="J131" s="338" t="s"/>
      <c r="K131" s="338" t="s"/>
      <c r="L131" s="263" t="s"/>
      <c r="M131" s="263" t="s"/>
      <c r="N131" s="263" t="s"/>
      <c r="O131" s="263" t="s"/>
      <c r="P131" s="263" t="s"/>
      <c r="Q131" s="263" t="s"/>
      <c r="R131" s="263" t="s"/>
      <c r="S131" s="263" t="s"/>
      <c r="T131" s="263" t="s"/>
      <c r="U131" s="263" t="s"/>
      <c r="V131" s="263" t="s"/>
      <c r="W131" s="263" t="s"/>
      <c r="X131" s="263" t="s"/>
      <c r="Y131" s="263" t="s"/>
    </row>
    <row r="132" spans="1:25" customHeight="false">
      <c r="A132" s="263" t="s"/>
      <c r="B132" s="339" t="s"/>
      <c r="C132" s="263" t="s"/>
      <c r="D132" s="263" t="s"/>
      <c r="E132" s="263" t="s"/>
      <c r="F132" s="263" t="s"/>
      <c r="G132" s="263" t="s"/>
      <c r="H132" s="263" t="s"/>
      <c r="I132" s="263" t="s"/>
      <c r="J132" s="340" t="s"/>
      <c r="K132" s="340" t="s"/>
      <c r="L132" s="341" t="s"/>
      <c r="M132" s="263" t="s"/>
      <c r="N132" s="263" t="s"/>
      <c r="O132" s="263" t="s"/>
      <c r="P132" s="263" t="s"/>
      <c r="Q132" s="263" t="s"/>
      <c r="R132" s="263" t="s"/>
      <c r="S132" s="263" t="s"/>
      <c r="T132" s="263" t="s"/>
      <c r="U132" s="263" t="s"/>
      <c r="V132" s="263">
        <f>=686.38*0.973</f>
        <v>667.84774</v>
      </c>
      <c r="W132" s="263" t="s"/>
      <c r="X132" s="263" t="s"/>
      <c r="Y132" s="263" t="s"/>
    </row>
    <row r="133" spans="1:25" customHeight="false">
      <c r="A133" s="263" t="s"/>
      <c r="B133" s="339" t="s"/>
      <c r="C133" s="263" t="s"/>
      <c r="D133" s="263" t="s"/>
      <c r="E133" s="263" t="s"/>
      <c r="F133" s="263" t="s"/>
      <c r="G133" s="342">
        <v>87775.9095150932</v>
      </c>
      <c r="H133" s="263" t="s"/>
      <c r="I133" s="263" t="s"/>
      <c r="J133" s="340" t="s"/>
      <c r="K133" s="340" t="s"/>
      <c r="L133" s="263" t="s"/>
      <c r="M133" s="263" t="s"/>
      <c r="N133" s="263" t="s"/>
      <c r="O133" s="263" t="s"/>
      <c r="P133" s="263" t="s"/>
      <c r="Q133" s="263" t="s"/>
      <c r="R133" s="263" t="s"/>
      <c r="S133" s="263" t="s"/>
      <c r="T133" s="263" t="s"/>
      <c r="U133" s="263" t="s"/>
      <c r="V133" s="263">
        <f>=686.38*0.9668</f>
        <v>663.592184</v>
      </c>
      <c r="W133" s="263" t="s"/>
      <c r="X133" s="263" t="s"/>
      <c r="Y133" s="263" t="s"/>
    </row>
    <row r="134" spans="1:25" customHeight="false">
      <c r="A134" s="263" t="s"/>
      <c r="B134" s="339" t="s"/>
      <c r="C134" s="263" t="s"/>
      <c r="D134" s="263" t="s"/>
      <c r="E134" s="263" t="s"/>
      <c r="F134" s="263" t="s"/>
      <c r="G134" s="263" t="s"/>
      <c r="H134" s="263" t="s"/>
      <c r="I134" s="263" t="s"/>
      <c r="J134" s="340" t="s"/>
      <c r="K134" s="340" t="s"/>
      <c r="L134" s="263" t="s"/>
      <c r="M134" s="263" t="s"/>
      <c r="N134" s="263" t="s"/>
      <c r="O134" s="263" t="s"/>
      <c r="P134" s="263" t="s"/>
      <c r="Q134" s="263" t="s"/>
      <c r="R134" s="263" t="s"/>
      <c r="S134" s="263" t="s"/>
      <c r="T134" s="263" t="s"/>
      <c r="U134" s="263" t="s"/>
      <c r="V134" s="263" t="s"/>
      <c r="W134" s="263" t="s"/>
      <c r="X134" s="263" t="s"/>
      <c r="Y134" s="263" t="s"/>
    </row>
    <row r="135" spans="1:25" customHeight="false">
      <c r="A135" s="263" t="s"/>
      <c r="B135" s="339" t="s"/>
      <c r="C135" s="263" t="s"/>
      <c r="D135" s="263" t="s"/>
      <c r="E135" s="263" t="s"/>
      <c r="F135" s="263" t="s"/>
      <c r="G135" s="263" t="s"/>
      <c r="H135" s="263" t="s"/>
      <c r="I135" s="263" t="s"/>
      <c r="J135" s="340" t="s"/>
      <c r="K135" s="340" t="s"/>
      <c r="L135" s="263">
        <f>=1262.56</f>
        <v>1262.56</v>
      </c>
      <c r="M135" s="263" t="s"/>
      <c r="N135" s="263" t="s"/>
      <c r="O135" s="263" t="s"/>
      <c r="P135" s="263" t="s"/>
      <c r="Q135" s="263" t="s"/>
      <c r="R135" s="263" t="s"/>
      <c r="S135" s="263" t="s"/>
      <c r="T135" s="263" t="s"/>
      <c r="U135" s="263" t="s"/>
      <c r="V135" s="263" t="s"/>
      <c r="W135" s="263" t="s"/>
      <c r="X135" s="263" t="s"/>
      <c r="Y135" s="263" t="s"/>
    </row>
    <row r="136" spans="1:25" customHeight="false">
      <c r="A136" s="263" t="s"/>
      <c r="B136" s="339" t="s"/>
      <c r="C136" s="263" t="s"/>
      <c r="D136" s="263" t="s"/>
      <c r="E136" s="263" t="s"/>
      <c r="F136" s="263" t="s"/>
      <c r="G136" s="263" t="s"/>
      <c r="H136" s="263" t="s"/>
      <c r="I136" s="263" t="s"/>
      <c r="J136" s="340" t="s"/>
      <c r="K136" s="340" t="s"/>
      <c r="L136" s="263" t="s"/>
      <c r="M136" s="263" t="s"/>
      <c r="N136" s="263" t="s"/>
      <c r="O136" s="263" t="s"/>
      <c r="P136" s="263" t="s"/>
      <c r="Q136" s="263" t="s"/>
      <c r="R136" s="263" t="s"/>
      <c r="S136" s="263" t="s"/>
      <c r="T136" s="263" t="s"/>
      <c r="U136" s="263" t="s"/>
      <c r="V136" s="263" t="s"/>
      <c r="W136" s="263" t="s"/>
      <c r="X136" s="263" t="s"/>
      <c r="Y136" s="263" t="s"/>
    </row>
    <row r="137" spans="1:25" customHeight="false">
      <c r="A137" s="263" t="s"/>
      <c r="B137" s="339" t="s"/>
      <c r="C137" s="263" t="s"/>
      <c r="D137" s="263" t="s"/>
      <c r="E137" s="263" t="s"/>
      <c r="F137" s="263" t="s"/>
      <c r="G137" s="263" t="s"/>
      <c r="H137" s="263" t="s"/>
      <c r="I137" s="263" t="s"/>
      <c r="J137" s="340" t="s"/>
      <c r="K137" s="340" t="s"/>
      <c r="L137" s="263" t="s"/>
      <c r="M137" s="263" t="s"/>
      <c r="N137" s="263" t="s"/>
      <c r="O137" s="263" t="s"/>
      <c r="P137" s="263" t="s"/>
      <c r="Q137" s="263" t="s"/>
      <c r="R137" s="263" t="s"/>
      <c r="S137" s="263" t="s"/>
      <c r="T137" s="263" t="s"/>
      <c r="U137" s="263" t="s"/>
      <c r="V137" s="263" t="s"/>
      <c r="W137" s="263" t="s"/>
      <c r="X137" s="263" t="s"/>
      <c r="Y137" s="263" t="s"/>
    </row>
    <row r="138" spans="1:25" customHeight="false">
      <c r="A138" s="263" t="s"/>
      <c r="B138" s="339" t="s"/>
      <c r="C138" s="263" t="s"/>
      <c r="D138" s="263" t="s"/>
      <c r="E138" s="263" t="s"/>
      <c r="F138" s="263" t="s"/>
      <c r="G138" s="263" t="s"/>
      <c r="H138" s="263" t="s"/>
      <c r="I138" s="263" t="s"/>
      <c r="J138" s="340" t="s"/>
      <c r="K138" s="340" t="s"/>
      <c r="L138" s="263" t="s"/>
      <c r="M138" s="263" t="s"/>
      <c r="N138" s="263" t="s"/>
      <c r="O138" s="263" t="s"/>
      <c r="P138" s="263" t="s"/>
      <c r="Q138" s="263" t="s"/>
      <c r="R138" s="263" t="s"/>
      <c r="S138" s="263" t="s"/>
      <c r="T138" s="263" t="s"/>
      <c r="U138" s="263" t="s"/>
      <c r="V138" s="263" t="s"/>
      <c r="W138" s="263" t="s"/>
      <c r="X138" s="263" t="s"/>
      <c r="Y138" s="263" t="s"/>
    </row>
    <row r="139" spans="1:25" customHeight="false">
      <c r="A139" s="263" t="s"/>
      <c r="B139" s="339" t="s"/>
      <c r="C139" s="263" t="s"/>
      <c r="D139" s="263" t="s"/>
      <c r="E139" s="263" t="s"/>
      <c r="F139" s="263" t="s"/>
      <c r="G139" s="263" t="s"/>
      <c r="H139" s="263" t="s"/>
      <c r="I139" s="263" t="s"/>
      <c r="J139" s="340" t="s"/>
      <c r="K139" s="340" t="s"/>
      <c r="L139" s="263" t="s"/>
      <c r="M139" s="263" t="s"/>
      <c r="N139" s="263" t="s"/>
      <c r="O139" s="263" t="s"/>
      <c r="P139" s="263" t="s"/>
      <c r="Q139" s="263" t="s"/>
      <c r="R139" s="263" t="s"/>
      <c r="S139" s="263" t="s"/>
      <c r="T139" s="263" t="s"/>
      <c r="U139" s="263" t="s"/>
      <c r="V139" s="263" t="s"/>
      <c r="W139" s="263" t="s"/>
      <c r="X139" s="263" t="s"/>
      <c r="Y139" s="263" t="s"/>
    </row>
    <row r="140" spans="1:25" customHeight="false">
      <c r="A140" s="263" t="s"/>
      <c r="B140" s="339" t="s"/>
      <c r="C140" s="263" t="s"/>
      <c r="D140" s="263" t="s"/>
      <c r="E140" s="263" t="s"/>
      <c r="F140" s="263" t="s"/>
      <c r="G140" s="263" t="s"/>
      <c r="H140" s="263" t="s"/>
      <c r="I140" s="263" t="s"/>
      <c r="J140" s="340" t="s"/>
      <c r="K140" s="340" t="s"/>
      <c r="L140" s="263" t="s"/>
      <c r="M140" s="263" t="s"/>
      <c r="N140" s="263" t="s"/>
      <c r="O140" s="263" t="s"/>
      <c r="P140" s="263" t="s"/>
      <c r="Q140" s="263" t="s"/>
      <c r="R140" s="263" t="s"/>
      <c r="S140" s="263" t="s"/>
      <c r="T140" s="263" t="s"/>
      <c r="U140" s="263" t="s"/>
      <c r="V140" s="263" t="s"/>
      <c r="W140" s="263" t="s"/>
      <c r="X140" s="263" t="s"/>
      <c r="Y140" s="263" t="s"/>
    </row>
    <row r="141" spans="1:25" customHeight="false">
      <c r="A141" s="263" t="s"/>
      <c r="B141" s="339" t="s"/>
      <c r="C141" s="263" t="s"/>
      <c r="D141" s="263" t="s"/>
      <c r="E141" s="263" t="s"/>
      <c r="F141" s="263" t="s"/>
      <c r="G141" s="263" t="s"/>
      <c r="H141" s="263" t="s"/>
      <c r="I141" s="263" t="s"/>
      <c r="J141" s="340" t="s"/>
      <c r="K141" s="340" t="s"/>
      <c r="L141" s="263" t="s"/>
      <c r="M141" s="263" t="s"/>
      <c r="N141" s="263" t="s"/>
      <c r="O141" s="263" t="s"/>
      <c r="P141" s="263" t="s"/>
      <c r="Q141" s="263" t="s"/>
      <c r="R141" s="263" t="s"/>
      <c r="S141" s="263" t="s"/>
      <c r="T141" s="263" t="s"/>
      <c r="U141" s="263" t="s"/>
      <c r="V141" s="263" t="s"/>
      <c r="W141" s="263" t="s"/>
      <c r="X141" s="263" t="s"/>
      <c r="Y141" s="263" t="s"/>
    </row>
    <row r="142" spans="1:25" customHeight="false">
      <c r="A142" s="263" t="s"/>
      <c r="B142" s="339" t="s"/>
      <c r="C142" s="263" t="s"/>
      <c r="D142" s="263" t="s"/>
      <c r="E142" s="263" t="s"/>
      <c r="F142" s="263" t="s"/>
      <c r="G142" s="263" t="s"/>
      <c r="H142" s="263" t="s"/>
      <c r="I142" s="263" t="s"/>
      <c r="J142" s="340" t="s"/>
      <c r="K142" s="340" t="s"/>
      <c r="L142" s="263" t="s"/>
      <c r="M142" s="263" t="s"/>
      <c r="N142" s="263" t="s"/>
      <c r="O142" s="263" t="s"/>
      <c r="P142" s="263" t="s"/>
      <c r="Q142" s="263" t="s"/>
      <c r="R142" s="263" t="s"/>
      <c r="S142" s="263" t="s"/>
      <c r="T142" s="263" t="s"/>
      <c r="U142" s="263" t="s"/>
      <c r="V142" s="263" t="s"/>
      <c r="W142" s="263" t="s"/>
      <c r="X142" s="263" t="s"/>
      <c r="Y142" s="263" t="s"/>
    </row>
    <row r="143" spans="1:25" customHeight="false">
      <c r="A143" s="263" t="s"/>
      <c r="B143" s="339" t="s"/>
      <c r="C143" s="263" t="s"/>
      <c r="D143" s="263" t="s"/>
      <c r="E143" s="263" t="s"/>
      <c r="F143" s="263" t="s"/>
      <c r="G143" s="263" t="s"/>
      <c r="H143" s="263" t="s"/>
      <c r="I143" s="263" t="s"/>
      <c r="J143" s="340" t="s"/>
      <c r="K143" s="340" t="s"/>
      <c r="L143" s="263" t="s"/>
      <c r="M143" s="263" t="s"/>
      <c r="N143" s="263" t="s"/>
      <c r="O143" s="263" t="s"/>
      <c r="P143" s="263" t="s"/>
      <c r="Q143" s="263" t="s"/>
      <c r="R143" s="263" t="s"/>
      <c r="S143" s="263" t="s"/>
      <c r="T143" s="263" t="s"/>
      <c r="U143" s="263" t="s"/>
      <c r="V143" s="263" t="s"/>
      <c r="W143" s="263" t="s"/>
      <c r="X143" s="263" t="s"/>
      <c r="Y143" s="263" t="s"/>
    </row>
    <row r="144" spans="1:25" customHeight="false">
      <c r="A144" s="263" t="s"/>
      <c r="B144" s="263" t="s"/>
      <c r="C144" s="263" t="s"/>
      <c r="D144" s="263" t="s"/>
      <c r="E144" s="263" t="s"/>
      <c r="F144" s="263" t="s"/>
      <c r="G144" s="263" t="s"/>
      <c r="H144" s="263" t="s"/>
      <c r="I144" s="263" t="s"/>
      <c r="J144" s="340" t="s"/>
      <c r="K144" s="340" t="s"/>
      <c r="L144" s="263" t="s"/>
      <c r="M144" s="263" t="s"/>
      <c r="N144" s="263" t="s"/>
      <c r="O144" s="263" t="s"/>
      <c r="P144" s="263" t="s"/>
      <c r="Q144" s="263" t="s"/>
      <c r="R144" s="263" t="s"/>
      <c r="S144" s="263" t="s"/>
      <c r="T144" s="263" t="s"/>
      <c r="U144" s="263" t="s"/>
      <c r="V144" s="263" t="s"/>
      <c r="W144" s="263" t="s"/>
      <c r="X144" s="263" t="s"/>
      <c r="Y144" s="263" t="s"/>
    </row>
    <row r="145" spans="1:25" customHeight="false">
      <c r="A145" s="263" t="s"/>
      <c r="B145" s="263" t="s"/>
      <c r="C145" s="263" t="s"/>
      <c r="D145" s="263" t="s"/>
      <c r="E145" s="263" t="s"/>
      <c r="F145" s="263" t="s"/>
      <c r="G145" s="263" t="s"/>
      <c r="H145" s="263" t="s"/>
      <c r="I145" s="263" t="s"/>
      <c r="J145" s="340" t="s"/>
      <c r="K145" s="340" t="s"/>
      <c r="L145" s="263" t="s"/>
      <c r="M145" s="263" t="s"/>
      <c r="N145" s="263" t="s"/>
      <c r="O145" s="263" t="s"/>
      <c r="P145" s="263" t="s"/>
      <c r="Q145" s="263" t="s"/>
      <c r="R145" s="263" t="s"/>
      <c r="S145" s="263" t="s"/>
      <c r="T145" s="263" t="s"/>
      <c r="U145" s="263" t="s"/>
      <c r="V145" s="263" t="s"/>
      <c r="W145" s="263" t="s"/>
      <c r="X145" s="263" t="s"/>
      <c r="Y145" s="263" t="s"/>
    </row>
    <row r="146" spans="1:25" customHeight="false">
      <c r="A146" s="263" t="s"/>
      <c r="B146" s="263" t="s"/>
      <c r="C146" s="263" t="s"/>
      <c r="D146" s="263" t="s"/>
      <c r="E146" s="263" t="s"/>
      <c r="F146" s="263" t="s"/>
      <c r="G146" s="263" t="s"/>
      <c r="H146" s="263" t="s"/>
      <c r="I146" s="263" t="s"/>
      <c r="J146" s="340" t="s"/>
      <c r="K146" s="340" t="s"/>
      <c r="L146" s="263" t="s"/>
      <c r="M146" s="263" t="s"/>
      <c r="N146" s="263" t="s"/>
      <c r="O146" s="263" t="s"/>
      <c r="P146" s="263" t="s"/>
      <c r="Q146" s="263" t="s"/>
      <c r="R146" s="263" t="s"/>
      <c r="S146" s="263" t="s"/>
      <c r="T146" s="263" t="s"/>
      <c r="U146" s="263" t="s"/>
      <c r="V146" s="263" t="s"/>
      <c r="W146" s="263" t="s"/>
      <c r="X146" s="263" t="s"/>
      <c r="Y146" s="263" t="s"/>
    </row>
    <row r="147" spans="1:25" customHeight="false">
      <c r="A147" s="263" t="s"/>
      <c r="B147" s="263" t="s"/>
      <c r="C147" s="263" t="s"/>
      <c r="D147" s="263" t="s"/>
      <c r="E147" s="263" t="s"/>
      <c r="F147" s="263" t="s"/>
      <c r="G147" s="263" t="s"/>
      <c r="H147" s="263" t="s"/>
      <c r="I147" s="263" t="s"/>
      <c r="J147" s="340" t="s"/>
      <c r="K147" s="340" t="s"/>
      <c r="L147" s="263" t="s"/>
      <c r="M147" s="263" t="s"/>
      <c r="N147" s="263" t="s"/>
      <c r="O147" s="263" t="s"/>
      <c r="P147" s="263" t="s"/>
      <c r="Q147" s="263" t="s"/>
      <c r="R147" s="263" t="s"/>
      <c r="S147" s="263" t="s"/>
      <c r="T147" s="263" t="s"/>
      <c r="U147" s="263" t="s"/>
      <c r="V147" s="263" t="s"/>
      <c r="W147" s="263" t="s"/>
      <c r="X147" s="263" t="s"/>
      <c r="Y147" s="263" t="s"/>
    </row>
    <row r="148" spans="1:25" customHeight="false">
      <c r="A148" s="263" t="s"/>
      <c r="B148" s="263" t="s"/>
      <c r="C148" s="263" t="s"/>
      <c r="D148" s="263" t="s"/>
      <c r="E148" s="263" t="s"/>
      <c r="F148" s="263" t="s"/>
      <c r="G148" s="263" t="s"/>
      <c r="H148" s="263" t="s"/>
      <c r="I148" s="263" t="s"/>
      <c r="J148" s="340" t="s"/>
      <c r="K148" s="340" t="s"/>
      <c r="L148" s="263" t="s"/>
      <c r="M148" s="263" t="s"/>
      <c r="N148" s="263" t="s"/>
      <c r="O148" s="263" t="s"/>
      <c r="P148" s="263" t="s"/>
      <c r="Q148" s="263" t="s"/>
      <c r="R148" s="263" t="s"/>
      <c r="S148" s="263" t="s"/>
      <c r="T148" s="263" t="s"/>
      <c r="U148" s="263" t="s"/>
      <c r="V148" s="263" t="s"/>
      <c r="W148" s="263" t="s"/>
      <c r="X148" s="263" t="s"/>
      <c r="Y148" s="263" t="s"/>
    </row>
    <row r="149" spans="1:25" customHeight="false">
      <c r="A149" s="263" t="s"/>
      <c r="B149" s="263" t="s"/>
      <c r="C149" s="263" t="s"/>
      <c r="D149" s="263" t="s"/>
      <c r="E149" s="263" t="s"/>
      <c r="F149" s="263" t="s"/>
      <c r="G149" s="263" t="s"/>
      <c r="H149" s="263" t="s"/>
      <c r="I149" s="263" t="s"/>
      <c r="J149" s="340" t="s"/>
      <c r="K149" s="340" t="s"/>
      <c r="L149" s="263" t="s"/>
      <c r="M149" s="263" t="s"/>
      <c r="N149" s="263" t="s"/>
      <c r="O149" s="263" t="s"/>
      <c r="P149" s="263" t="s"/>
      <c r="Q149" s="263" t="s"/>
      <c r="R149" s="263" t="s"/>
      <c r="S149" s="263" t="s"/>
      <c r="T149" s="263" t="s"/>
      <c r="U149" s="263" t="s"/>
      <c r="V149" s="263" t="s"/>
      <c r="W149" s="263" t="s"/>
      <c r="X149" s="263" t="s"/>
      <c r="Y149" s="263" t="s"/>
    </row>
    <row r="150" spans="1:25" customHeight="false">
      <c r="A150" s="263" t="s"/>
      <c r="B150" s="263" t="s"/>
      <c r="C150" s="263" t="s"/>
      <c r="D150" s="263" t="s"/>
      <c r="E150" s="263" t="s"/>
      <c r="F150" s="263" t="s"/>
      <c r="G150" s="263" t="s"/>
      <c r="H150" s="263" t="s"/>
      <c r="I150" s="263" t="s"/>
      <c r="J150" s="340" t="s"/>
      <c r="K150" s="340" t="s"/>
      <c r="L150" s="263" t="s"/>
      <c r="M150" s="263" t="s"/>
      <c r="N150" s="263" t="s"/>
      <c r="O150" s="263" t="s"/>
      <c r="P150" s="263" t="s"/>
      <c r="Q150" s="263" t="s"/>
      <c r="R150" s="263" t="s"/>
      <c r="S150" s="263" t="s"/>
      <c r="T150" s="263" t="s"/>
      <c r="U150" s="263" t="s"/>
      <c r="V150" s="263" t="s"/>
      <c r="W150" s="263" t="s"/>
      <c r="X150" s="263" t="s"/>
      <c r="Y150" s="263" t="s"/>
    </row>
    <row r="151" spans="1:25" customHeight="false">
      <c r="A151" s="263" t="s"/>
      <c r="B151" s="263" t="s"/>
      <c r="C151" s="263" t="s"/>
      <c r="D151" s="263" t="s"/>
      <c r="E151" s="263" t="s"/>
      <c r="F151" s="263" t="s"/>
      <c r="G151" s="263" t="s"/>
      <c r="H151" s="263" t="s"/>
      <c r="I151" s="263" t="s"/>
      <c r="J151" s="340" t="s"/>
      <c r="K151" s="340" t="s"/>
      <c r="L151" s="263" t="s"/>
      <c r="M151" s="263" t="s"/>
      <c r="N151" s="263" t="s"/>
      <c r="O151" s="263" t="s"/>
      <c r="P151" s="263" t="s"/>
      <c r="Q151" s="263" t="s"/>
      <c r="R151" s="263" t="s"/>
      <c r="S151" s="263" t="s"/>
      <c r="T151" s="263" t="s"/>
      <c r="U151" s="263" t="s"/>
      <c r="V151" s="263" t="s"/>
      <c r="W151" s="263" t="s"/>
      <c r="X151" s="263" t="s"/>
      <c r="Y151" s="263" t="s"/>
    </row>
    <row r="152" spans="1:25" customHeight="false">
      <c r="A152" s="263" t="s"/>
      <c r="B152" s="263" t="s"/>
      <c r="C152" s="263" t="s"/>
      <c r="D152" s="263" t="s"/>
      <c r="E152" s="263" t="s"/>
      <c r="F152" s="263" t="s"/>
      <c r="G152" s="263" t="s"/>
      <c r="H152" s="263" t="s"/>
      <c r="I152" s="263" t="s"/>
      <c r="J152" s="340" t="s"/>
      <c r="K152" s="340" t="s"/>
      <c r="L152" s="263" t="s"/>
      <c r="M152" s="263" t="s"/>
      <c r="N152" s="263" t="s"/>
      <c r="O152" s="263" t="s"/>
      <c r="P152" s="263" t="s"/>
      <c r="Q152" s="263" t="s"/>
      <c r="R152" s="263" t="s"/>
      <c r="S152" s="263" t="s"/>
      <c r="T152" s="263" t="s"/>
      <c r="U152" s="263" t="s"/>
      <c r="V152" s="263" t="s"/>
      <c r="W152" s="263" t="s"/>
      <c r="X152" s="263" t="s"/>
      <c r="Y152" s="263" t="s"/>
    </row>
    <row r="153" spans="1:25" customHeight="false">
      <c r="A153" s="263" t="s"/>
      <c r="B153" s="263" t="s"/>
      <c r="C153" s="263" t="s"/>
      <c r="D153" s="263" t="s"/>
      <c r="E153" s="263" t="s"/>
      <c r="F153" s="263" t="s"/>
      <c r="G153" s="263" t="s"/>
      <c r="H153" s="263" t="s"/>
      <c r="I153" s="263" t="s"/>
      <c r="J153" s="340" t="s"/>
      <c r="K153" s="340" t="s"/>
      <c r="L153" s="263" t="s"/>
      <c r="M153" s="263" t="s"/>
      <c r="N153" s="263" t="s"/>
      <c r="O153" s="263" t="s"/>
      <c r="P153" s="263" t="s"/>
      <c r="Q153" s="263" t="s"/>
      <c r="R153" s="263" t="s"/>
      <c r="S153" s="263" t="s"/>
      <c r="T153" s="263" t="s"/>
      <c r="U153" s="263" t="s"/>
      <c r="V153" s="263" t="s"/>
      <c r="W153" s="263" t="s"/>
      <c r="X153" s="263" t="s"/>
      <c r="Y153" s="263" t="s"/>
    </row>
    <row r="154" spans="1:25" customHeight="false">
      <c r="A154" s="263" t="s"/>
      <c r="B154" s="263" t="s"/>
      <c r="C154" s="263" t="s"/>
      <c r="D154" s="263" t="s"/>
      <c r="E154" s="263" t="s"/>
      <c r="F154" s="263" t="s"/>
      <c r="G154" s="263" t="s"/>
      <c r="H154" s="263" t="s"/>
      <c r="I154" s="263" t="s"/>
      <c r="J154" s="340" t="s"/>
      <c r="K154" s="340" t="s"/>
      <c r="L154" s="263" t="s"/>
      <c r="M154" s="263" t="s"/>
      <c r="N154" s="263" t="s"/>
      <c r="O154" s="263" t="s"/>
      <c r="P154" s="263" t="s"/>
      <c r="Q154" s="263" t="s"/>
      <c r="R154" s="263" t="s"/>
      <c r="S154" s="263" t="s"/>
      <c r="T154" s="263" t="s"/>
      <c r="U154" s="263" t="s"/>
      <c r="V154" s="263" t="s"/>
      <c r="W154" s="263" t="s"/>
      <c r="X154" s="263" t="s"/>
      <c r="Y154" s="263" t="s"/>
    </row>
    <row r="155" spans="1:25" customHeight="false">
      <c r="A155" s="263" t="s"/>
      <c r="B155" s="263" t="s"/>
      <c r="C155" s="263" t="s"/>
      <c r="D155" s="263" t="s"/>
      <c r="E155" s="263" t="s"/>
      <c r="F155" s="263" t="s"/>
      <c r="G155" s="263" t="s"/>
      <c r="H155" s="263" t="s"/>
      <c r="I155" s="263" t="s"/>
      <c r="J155" s="340" t="s"/>
      <c r="K155" s="340" t="s"/>
      <c r="L155" s="263" t="s"/>
      <c r="M155" s="263" t="s"/>
      <c r="N155" s="263" t="s"/>
      <c r="O155" s="263" t="s"/>
      <c r="P155" s="263" t="s"/>
      <c r="Q155" s="263" t="s"/>
      <c r="R155" s="263" t="s"/>
      <c r="S155" s="263" t="s"/>
      <c r="T155" s="263" t="s"/>
      <c r="U155" s="263" t="s"/>
      <c r="V155" s="263" t="s"/>
      <c r="W155" s="263" t="s"/>
      <c r="X155" s="263" t="s"/>
      <c r="Y155" s="263" t="s"/>
    </row>
    <row r="156" spans="1:25" customHeight="false">
      <c r="A156" s="263" t="s"/>
      <c r="B156" s="263" t="s"/>
      <c r="C156" s="263" t="s"/>
      <c r="D156" s="263" t="s"/>
      <c r="E156" s="263" t="s"/>
      <c r="F156" s="263" t="s"/>
      <c r="G156" s="263" t="s"/>
      <c r="H156" s="263" t="s"/>
      <c r="I156" s="263" t="s"/>
      <c r="J156" s="340" t="s"/>
      <c r="K156" s="340" t="s"/>
      <c r="L156" s="263" t="s"/>
      <c r="M156" s="263" t="s"/>
      <c r="N156" s="263" t="s"/>
      <c r="O156" s="263" t="s"/>
      <c r="P156" s="263" t="s"/>
      <c r="Q156" s="263" t="s"/>
      <c r="R156" s="263" t="s"/>
      <c r="S156" s="263" t="s"/>
      <c r="T156" s="263" t="s"/>
      <c r="U156" s="263" t="s"/>
      <c r="V156" s="263" t="s"/>
      <c r="W156" s="263" t="s"/>
      <c r="X156" s="263" t="s"/>
      <c r="Y156" s="263" t="s"/>
    </row>
    <row r="157" spans="1:25" customHeight="false">
      <c r="A157" s="263" t="s"/>
      <c r="B157" s="263" t="s"/>
      <c r="C157" s="263" t="s"/>
      <c r="D157" s="263" t="s"/>
      <c r="E157" s="263" t="s"/>
      <c r="F157" s="263" t="s"/>
      <c r="G157" s="263" t="s"/>
      <c r="H157" s="263" t="s"/>
      <c r="I157" s="263" t="s"/>
      <c r="J157" s="340" t="s"/>
      <c r="K157" s="340" t="s"/>
      <c r="L157" s="263" t="s"/>
      <c r="M157" s="263" t="s"/>
      <c r="N157" s="263" t="s"/>
      <c r="O157" s="263" t="s"/>
      <c r="P157" s="263" t="s"/>
      <c r="Q157" s="263" t="s"/>
      <c r="R157" s="263" t="s"/>
      <c r="S157" s="263" t="s"/>
      <c r="T157" s="263" t="s"/>
      <c r="U157" s="263" t="s"/>
      <c r="V157" s="263" t="s"/>
      <c r="W157" s="263" t="s"/>
      <c r="X157" s="263" t="s"/>
      <c r="Y157" s="263" t="s"/>
    </row>
    <row r="158" spans="1:25" customHeight="false">
      <c r="A158" s="263" t="s"/>
      <c r="B158" s="263" t="s"/>
      <c r="C158" s="263" t="s"/>
      <c r="D158" s="263" t="s"/>
      <c r="E158" s="263" t="s"/>
      <c r="F158" s="263" t="s"/>
      <c r="G158" s="263" t="s"/>
      <c r="H158" s="263" t="s"/>
      <c r="I158" s="263" t="s"/>
      <c r="J158" s="340" t="s"/>
      <c r="K158" s="340" t="s"/>
      <c r="L158" s="263" t="s"/>
      <c r="M158" s="263" t="s"/>
      <c r="N158" s="263" t="s"/>
      <c r="O158" s="263" t="s"/>
      <c r="P158" s="263" t="s"/>
      <c r="Q158" s="263" t="s"/>
      <c r="R158" s="263" t="s"/>
      <c r="S158" s="263" t="s"/>
      <c r="T158" s="263" t="s"/>
      <c r="U158" s="263" t="s"/>
      <c r="V158" s="263" t="s"/>
      <c r="W158" s="263" t="s"/>
      <c r="X158" s="263" t="s"/>
      <c r="Y158" s="263" t="s"/>
    </row>
    <row r="159" spans="1:25" customHeight="false">
      <c r="A159" s="263" t="s"/>
      <c r="B159" s="263" t="s"/>
      <c r="C159" s="263" t="s"/>
      <c r="D159" s="263" t="s"/>
      <c r="E159" s="263" t="s"/>
      <c r="F159" s="263" t="s"/>
      <c r="G159" s="263" t="s"/>
      <c r="H159" s="263" t="s"/>
      <c r="I159" s="263" t="s"/>
      <c r="J159" s="340" t="s"/>
      <c r="K159" s="340" t="s"/>
      <c r="L159" s="263" t="s"/>
      <c r="M159" s="263" t="s"/>
      <c r="N159" s="263" t="s"/>
      <c r="O159" s="263" t="s"/>
      <c r="P159" s="263" t="s"/>
      <c r="Q159" s="263" t="s"/>
      <c r="R159" s="263" t="s"/>
      <c r="S159" s="263" t="s"/>
      <c r="T159" s="263" t="s"/>
      <c r="U159" s="263" t="s"/>
      <c r="V159" s="263" t="s"/>
      <c r="W159" s="263" t="s"/>
      <c r="X159" s="263" t="s"/>
      <c r="Y159" s="263" t="s"/>
    </row>
    <row r="160" spans="1:25" customHeight="false">
      <c r="A160" s="263" t="s"/>
      <c r="B160" s="263" t="s"/>
      <c r="C160" s="263" t="s"/>
      <c r="D160" s="263" t="s"/>
      <c r="E160" s="263" t="s"/>
      <c r="F160" s="263" t="s"/>
      <c r="G160" s="263" t="s"/>
      <c r="H160" s="263" t="s"/>
      <c r="I160" s="263" t="s"/>
      <c r="J160" s="340" t="s"/>
      <c r="K160" s="340" t="s"/>
      <c r="L160" s="263" t="s"/>
      <c r="M160" s="263" t="s"/>
      <c r="N160" s="263" t="s"/>
      <c r="O160" s="263" t="s"/>
      <c r="P160" s="263" t="s"/>
      <c r="Q160" s="263" t="s"/>
      <c r="R160" s="263" t="s"/>
      <c r="S160" s="263" t="s"/>
      <c r="T160" s="263" t="s"/>
      <c r="U160" s="263" t="s"/>
      <c r="V160" s="263" t="s"/>
      <c r="W160" s="263" t="s"/>
      <c r="X160" s="263" t="s"/>
      <c r="Y160" s="263" t="s"/>
    </row>
    <row r="161" spans="1:25" customHeight="false">
      <c r="A161" s="263" t="s"/>
      <c r="B161" s="263" t="s"/>
      <c r="C161" s="263" t="s"/>
      <c r="D161" s="263" t="s"/>
      <c r="E161" s="263" t="s"/>
      <c r="F161" s="263" t="s"/>
      <c r="G161" s="263" t="s"/>
      <c r="H161" s="263" t="s"/>
      <c r="I161" s="263" t="s"/>
      <c r="J161" s="340" t="s"/>
      <c r="K161" s="340" t="s"/>
      <c r="L161" s="263" t="s"/>
      <c r="M161" s="263" t="s"/>
      <c r="N161" s="263" t="s"/>
      <c r="O161" s="263" t="s"/>
      <c r="P161" s="263" t="s"/>
      <c r="Q161" s="263" t="s"/>
      <c r="R161" s="263" t="s"/>
      <c r="S161" s="263" t="s"/>
      <c r="T161" s="263" t="s"/>
      <c r="U161" s="263" t="s"/>
      <c r="V161" s="263" t="s"/>
      <c r="W161" s="263" t="s"/>
      <c r="X161" s="263" t="s"/>
      <c r="Y161" s="263" t="s"/>
    </row>
    <row r="162" spans="1:25" customHeight="false">
      <c r="A162" s="263" t="s"/>
      <c r="B162" s="263" t="s"/>
      <c r="C162" s="263" t="s"/>
      <c r="D162" s="263" t="s"/>
      <c r="E162" s="263" t="s"/>
      <c r="F162" s="263" t="s"/>
      <c r="G162" s="263" t="s"/>
      <c r="H162" s="263" t="s"/>
      <c r="I162" s="263" t="s"/>
      <c r="J162" s="340" t="s"/>
      <c r="K162" s="340" t="s"/>
      <c r="L162" s="263" t="s"/>
      <c r="M162" s="263" t="s"/>
      <c r="N162" s="263" t="s"/>
      <c r="O162" s="263" t="s"/>
      <c r="P162" s="263" t="s"/>
      <c r="Q162" s="263" t="s"/>
      <c r="R162" s="263" t="s"/>
      <c r="S162" s="263" t="s"/>
      <c r="T162" s="263" t="s"/>
      <c r="U162" s="263" t="s"/>
      <c r="V162" s="263" t="s"/>
      <c r="W162" s="263" t="s"/>
      <c r="X162" s="263" t="s"/>
      <c r="Y162" s="263" t="s"/>
    </row>
    <row r="163" spans="1:25" customHeight="false">
      <c r="A163" s="263" t="s"/>
      <c r="B163" s="263" t="s"/>
      <c r="C163" s="263" t="s"/>
      <c r="D163" s="263" t="s"/>
      <c r="E163" s="263" t="s"/>
      <c r="F163" s="263" t="s"/>
      <c r="G163" s="263" t="s"/>
      <c r="H163" s="263" t="s"/>
      <c r="I163" s="263" t="s"/>
      <c r="J163" s="340" t="s"/>
      <c r="K163" s="340" t="s"/>
      <c r="L163" s="263" t="s"/>
      <c r="M163" s="263" t="s"/>
      <c r="N163" s="263" t="s"/>
      <c r="O163" s="263" t="s"/>
      <c r="P163" s="263" t="s"/>
      <c r="Q163" s="263" t="s"/>
      <c r="R163" s="263" t="s"/>
      <c r="S163" s="263" t="s"/>
      <c r="T163" s="263" t="s"/>
      <c r="U163" s="263" t="s"/>
      <c r="V163" s="263" t="s"/>
      <c r="W163" s="263" t="s"/>
      <c r="X163" s="263" t="s"/>
      <c r="Y163" s="263" t="s"/>
    </row>
    <row r="164" spans="1:25" customHeight="false">
      <c r="A164" s="263" t="s"/>
      <c r="B164" s="263" t="s"/>
      <c r="C164" s="263" t="s"/>
      <c r="D164" s="263" t="s"/>
      <c r="E164" s="263" t="s"/>
      <c r="F164" s="263" t="s"/>
      <c r="G164" s="263" t="s"/>
      <c r="H164" s="263" t="s"/>
      <c r="I164" s="263" t="s"/>
      <c r="J164" s="340" t="s"/>
      <c r="K164" s="340" t="s"/>
      <c r="L164" s="263" t="s"/>
      <c r="M164" s="263" t="s"/>
      <c r="N164" s="263" t="s"/>
      <c r="O164" s="263" t="s"/>
      <c r="P164" s="263" t="s"/>
      <c r="Q164" s="263" t="s"/>
      <c r="R164" s="263" t="s"/>
      <c r="S164" s="263" t="s"/>
      <c r="T164" s="263" t="s"/>
      <c r="U164" s="263" t="s"/>
      <c r="V164" s="263" t="s"/>
      <c r="W164" s="263" t="s"/>
      <c r="X164" s="263" t="s"/>
      <c r="Y164" s="263" t="s"/>
    </row>
    <row r="165" spans="1:25" customHeight="false">
      <c r="A165" s="263" t="s"/>
      <c r="B165" s="263" t="s"/>
      <c r="C165" s="263" t="s"/>
      <c r="D165" s="263" t="s"/>
      <c r="E165" s="263" t="s"/>
      <c r="F165" s="263" t="s"/>
      <c r="G165" s="263" t="s"/>
      <c r="H165" s="263" t="s"/>
      <c r="I165" s="263" t="s"/>
      <c r="J165" s="340" t="s"/>
      <c r="K165" s="340" t="s"/>
      <c r="L165" s="263" t="s"/>
      <c r="M165" s="263" t="s"/>
      <c r="N165" s="263" t="s"/>
      <c r="O165" s="263" t="s"/>
      <c r="P165" s="263" t="s"/>
      <c r="Q165" s="263" t="s"/>
      <c r="R165" s="263" t="s"/>
      <c r="S165" s="263" t="s"/>
      <c r="T165" s="263" t="s"/>
      <c r="U165" s="263" t="s"/>
      <c r="V165" s="263" t="s"/>
      <c r="W165" s="263" t="s"/>
      <c r="X165" s="263" t="s"/>
      <c r="Y165" s="263" t="s"/>
    </row>
    <row r="166" spans="1:25" customHeight="false">
      <c r="A166" s="263" t="s"/>
      <c r="B166" s="263" t="s"/>
      <c r="C166" s="263" t="s"/>
      <c r="D166" s="263" t="s"/>
      <c r="E166" s="263" t="s"/>
      <c r="F166" s="263" t="s"/>
      <c r="G166" s="263" t="s"/>
      <c r="H166" s="263" t="s"/>
      <c r="I166" s="263" t="s"/>
      <c r="J166" s="340" t="s"/>
      <c r="K166" s="340" t="s"/>
      <c r="L166" s="263" t="s"/>
      <c r="M166" s="263" t="s"/>
      <c r="N166" s="263" t="s"/>
      <c r="O166" s="263" t="s"/>
      <c r="P166" s="263" t="s"/>
      <c r="Q166" s="263" t="s"/>
      <c r="R166" s="263" t="s"/>
      <c r="S166" s="263" t="s"/>
      <c r="T166" s="263" t="s"/>
      <c r="U166" s="263" t="s"/>
      <c r="V166" s="263" t="s"/>
      <c r="W166" s="263" t="s"/>
      <c r="X166" s="263" t="s"/>
      <c r="Y166" s="263" t="s"/>
    </row>
    <row r="167" spans="1:25" customHeight="false">
      <c r="A167" s="263" t="s"/>
      <c r="B167" s="263" t="s"/>
      <c r="C167" s="263" t="s"/>
      <c r="D167" s="263" t="s"/>
      <c r="E167" s="263" t="s"/>
      <c r="F167" s="263" t="s"/>
      <c r="G167" s="263" t="s"/>
      <c r="H167" s="263" t="s"/>
      <c r="I167" s="263" t="s"/>
      <c r="J167" s="340" t="s"/>
      <c r="K167" s="340" t="s"/>
      <c r="L167" s="263" t="s"/>
      <c r="M167" s="263" t="s"/>
      <c r="N167" s="263" t="s"/>
      <c r="O167" s="263" t="s"/>
      <c r="P167" s="263" t="s"/>
      <c r="Q167" s="263" t="s"/>
      <c r="R167" s="263" t="s"/>
      <c r="S167" s="263" t="s"/>
      <c r="T167" s="263" t="s"/>
      <c r="U167" s="263" t="s"/>
      <c r="V167" s="263" t="s"/>
      <c r="W167" s="263" t="s"/>
      <c r="X167" s="263" t="s"/>
      <c r="Y167" s="263" t="s"/>
    </row>
    <row r="168" spans="1:25" customHeight="false">
      <c r="A168" s="263" t="s"/>
      <c r="B168" s="263" t="s"/>
      <c r="C168" s="263" t="s"/>
      <c r="D168" s="263" t="s"/>
      <c r="E168" s="263" t="s"/>
      <c r="F168" s="263" t="s"/>
      <c r="G168" s="263" t="s"/>
      <c r="H168" s="263" t="s"/>
      <c r="I168" s="263" t="s"/>
      <c r="J168" s="340" t="s"/>
      <c r="K168" s="340" t="s"/>
      <c r="L168" s="263" t="s"/>
      <c r="M168" s="263" t="s"/>
      <c r="N168" s="263" t="s"/>
      <c r="O168" s="263" t="s"/>
      <c r="P168" s="263" t="s"/>
      <c r="Q168" s="263" t="s"/>
      <c r="R168" s="263" t="s"/>
      <c r="S168" s="263" t="s"/>
      <c r="T168" s="263" t="s"/>
      <c r="U168" s="263" t="s"/>
      <c r="V168" s="263" t="s"/>
      <c r="W168" s="263" t="s"/>
      <c r="X168" s="263" t="s"/>
      <c r="Y168" s="263" t="s"/>
    </row>
    <row r="169" spans="1:25" customHeight="false">
      <c r="A169" s="263" t="s"/>
      <c r="B169" s="263" t="s"/>
      <c r="C169" s="263" t="s"/>
      <c r="D169" s="263" t="s"/>
      <c r="E169" s="263" t="s"/>
      <c r="F169" s="263" t="s"/>
      <c r="G169" s="263" t="s"/>
      <c r="H169" s="263" t="s"/>
      <c r="I169" s="263" t="s"/>
      <c r="J169" s="340" t="s"/>
      <c r="K169" s="340" t="s"/>
      <c r="L169" s="263" t="s"/>
      <c r="M169" s="263" t="s"/>
      <c r="N169" s="263" t="s"/>
      <c r="O169" s="263" t="s"/>
      <c r="P169" s="263" t="s"/>
      <c r="Q169" s="263" t="s"/>
      <c r="R169" s="263" t="s"/>
      <c r="S169" s="263" t="s"/>
      <c r="T169" s="263" t="s"/>
      <c r="U169" s="263" t="s"/>
      <c r="V169" s="263" t="s"/>
      <c r="W169" s="263" t="s"/>
      <c r="X169" s="263" t="s"/>
      <c r="Y169" s="263" t="s"/>
    </row>
    <row r="170" spans="1:25" customHeight="false">
      <c r="A170" s="263" t="s"/>
      <c r="B170" s="263" t="s"/>
      <c r="C170" s="263" t="s"/>
      <c r="D170" s="263" t="s"/>
      <c r="E170" s="263" t="s"/>
      <c r="F170" s="263" t="s"/>
      <c r="G170" s="263" t="s"/>
      <c r="H170" s="263" t="s"/>
      <c r="I170" s="263" t="s"/>
      <c r="J170" s="340" t="s"/>
      <c r="K170" s="340" t="s"/>
      <c r="L170" s="263" t="s"/>
      <c r="M170" s="263" t="s"/>
      <c r="N170" s="263" t="s"/>
      <c r="O170" s="263" t="s"/>
      <c r="P170" s="263" t="s"/>
      <c r="Q170" s="263" t="s"/>
      <c r="R170" s="263" t="s"/>
      <c r="S170" s="263" t="s"/>
      <c r="T170" s="263" t="s"/>
      <c r="U170" s="263" t="s"/>
      <c r="V170" s="263" t="s"/>
      <c r="W170" s="263" t="s"/>
      <c r="X170" s="263" t="s"/>
      <c r="Y170" s="263" t="s"/>
    </row>
    <row r="171" spans="1:25" customHeight="false">
      <c r="A171" s="263" t="s"/>
      <c r="B171" s="263" t="s"/>
      <c r="C171" s="263" t="s"/>
      <c r="D171" s="263" t="s"/>
      <c r="E171" s="263" t="s"/>
      <c r="F171" s="263" t="s"/>
      <c r="G171" s="263" t="s"/>
      <c r="H171" s="263" t="s"/>
      <c r="I171" s="263" t="s"/>
      <c r="J171" s="340" t="s"/>
      <c r="K171" s="340" t="s"/>
      <c r="L171" s="263" t="s"/>
      <c r="M171" s="263" t="s"/>
      <c r="N171" s="263" t="s"/>
      <c r="O171" s="263" t="s"/>
      <c r="P171" s="263" t="s"/>
      <c r="Q171" s="263" t="s"/>
      <c r="R171" s="263" t="s"/>
      <c r="S171" s="263" t="s"/>
      <c r="T171" s="263" t="s"/>
      <c r="U171" s="263" t="s"/>
      <c r="V171" s="263" t="s"/>
      <c r="W171" s="263" t="s"/>
      <c r="X171" s="263" t="s"/>
      <c r="Y171" s="263" t="s"/>
    </row>
    <row r="172" spans="1:25" customHeight="false">
      <c r="A172" s="263" t="s"/>
      <c r="B172" s="263" t="s"/>
      <c r="C172" s="263" t="s"/>
      <c r="D172" s="263" t="s"/>
      <c r="E172" s="263" t="s"/>
      <c r="F172" s="263" t="s"/>
      <c r="G172" s="263" t="s"/>
      <c r="H172" s="263" t="s"/>
      <c r="I172" s="263" t="s"/>
      <c r="J172" s="340" t="s"/>
      <c r="K172" s="340" t="s"/>
      <c r="L172" s="263" t="s"/>
      <c r="M172" s="263" t="s"/>
      <c r="N172" s="263" t="s"/>
      <c r="O172" s="263" t="s"/>
      <c r="P172" s="263" t="s"/>
      <c r="Q172" s="263" t="s"/>
      <c r="R172" s="263" t="s"/>
      <c r="S172" s="263" t="s"/>
      <c r="T172" s="263" t="s"/>
      <c r="U172" s="263" t="s"/>
      <c r="V172" s="263" t="s"/>
      <c r="W172" s="263" t="s"/>
      <c r="X172" s="263" t="s"/>
      <c r="Y172" s="263" t="s"/>
    </row>
    <row r="173" spans="1:25" customHeight="false">
      <c r="A173" s="263" t="s"/>
      <c r="B173" s="263" t="s"/>
      <c r="C173" s="263" t="s"/>
      <c r="D173" s="263" t="s"/>
      <c r="E173" s="263" t="s"/>
      <c r="F173" s="263" t="s"/>
      <c r="G173" s="263" t="s"/>
      <c r="H173" s="263" t="s"/>
      <c r="I173" s="263" t="s"/>
      <c r="J173" s="340" t="s"/>
      <c r="K173" s="340" t="s"/>
      <c r="L173" s="263" t="s"/>
      <c r="M173" s="263" t="s"/>
      <c r="N173" s="263" t="s"/>
      <c r="O173" s="263" t="s"/>
      <c r="P173" s="263" t="s"/>
      <c r="Q173" s="263" t="s"/>
      <c r="R173" s="263" t="s"/>
      <c r="S173" s="263" t="s"/>
      <c r="T173" s="263" t="s"/>
      <c r="U173" s="263" t="s"/>
      <c r="V173" s="263" t="s"/>
      <c r="W173" s="263" t="s"/>
      <c r="X173" s="263" t="s"/>
      <c r="Y173" s="263" t="s"/>
    </row>
    <row r="174" spans="1:25" customHeight="false">
      <c r="A174" s="263" t="s"/>
      <c r="B174" s="263" t="s"/>
      <c r="C174" s="263" t="s"/>
      <c r="D174" s="263" t="s"/>
      <c r="E174" s="263" t="s"/>
      <c r="F174" s="263" t="s"/>
      <c r="G174" s="263" t="s"/>
      <c r="H174" s="263" t="s"/>
      <c r="I174" s="263" t="s"/>
      <c r="J174" s="340" t="s"/>
      <c r="K174" s="340" t="s"/>
      <c r="L174" s="263" t="s"/>
      <c r="M174" s="263" t="s"/>
      <c r="N174" s="263" t="s"/>
      <c r="O174" s="263" t="s"/>
      <c r="P174" s="263" t="s"/>
      <c r="Q174" s="263" t="s"/>
      <c r="R174" s="263" t="s"/>
      <c r="S174" s="263" t="s"/>
      <c r="T174" s="263" t="s"/>
      <c r="U174" s="263" t="s"/>
      <c r="V174" s="263" t="s"/>
      <c r="W174" s="263" t="s"/>
      <c r="X174" s="263" t="s"/>
      <c r="Y174" s="263" t="s"/>
    </row>
    <row r="175" spans="1:25" customHeight="false">
      <c r="A175" s="263" t="s"/>
      <c r="B175" s="263" t="s"/>
      <c r="C175" s="263" t="s"/>
      <c r="D175" s="263" t="s"/>
      <c r="E175" s="263" t="s"/>
      <c r="F175" s="263" t="s"/>
      <c r="G175" s="263" t="s"/>
      <c r="H175" s="263" t="s"/>
      <c r="I175" s="263" t="s"/>
      <c r="J175" s="340" t="s"/>
      <c r="K175" s="340" t="s"/>
      <c r="L175" s="263" t="s"/>
      <c r="M175" s="263" t="s"/>
      <c r="N175" s="263" t="s"/>
      <c r="O175" s="263" t="s"/>
      <c r="P175" s="263" t="s"/>
      <c r="Q175" s="263" t="s"/>
      <c r="R175" s="263" t="s"/>
      <c r="S175" s="263" t="s"/>
      <c r="T175" s="263" t="s"/>
      <c r="U175" s="263" t="s"/>
      <c r="V175" s="263" t="s"/>
      <c r="W175" s="263" t="s"/>
      <c r="X175" s="263" t="s"/>
      <c r="Y175" s="263" t="s"/>
    </row>
    <row r="176" spans="1:25" customHeight="false">
      <c r="A176" s="263" t="s"/>
      <c r="B176" s="263" t="s"/>
      <c r="C176" s="263" t="s"/>
      <c r="D176" s="263" t="s"/>
      <c r="E176" s="263" t="s"/>
      <c r="F176" s="263" t="s"/>
      <c r="G176" s="263" t="s"/>
      <c r="H176" s="263" t="s"/>
      <c r="I176" s="263" t="s"/>
      <c r="J176" s="340" t="s"/>
      <c r="K176" s="340" t="s"/>
      <c r="L176" s="263" t="s"/>
      <c r="M176" s="263" t="s"/>
      <c r="N176" s="263" t="s"/>
      <c r="O176" s="263" t="s"/>
      <c r="P176" s="263" t="s"/>
      <c r="Q176" s="263" t="s"/>
      <c r="R176" s="263" t="s"/>
      <c r="S176" s="263" t="s"/>
      <c r="T176" s="263" t="s"/>
      <c r="U176" s="263" t="s"/>
      <c r="V176" s="263" t="s"/>
      <c r="W176" s="263" t="s"/>
      <c r="X176" s="263" t="s"/>
      <c r="Y176" s="263" t="s"/>
    </row>
    <row r="177" spans="1:25" customHeight="false">
      <c r="A177" s="263" t="s"/>
      <c r="B177" s="263" t="s"/>
      <c r="C177" s="263" t="s"/>
      <c r="D177" s="263" t="s"/>
      <c r="E177" s="263" t="s"/>
      <c r="F177" s="263" t="s"/>
      <c r="G177" s="263" t="s"/>
      <c r="H177" s="263" t="s"/>
      <c r="I177" s="263" t="s"/>
      <c r="J177" s="340" t="s"/>
      <c r="K177" s="340" t="s"/>
      <c r="L177" s="263" t="s"/>
      <c r="M177" s="263" t="s"/>
      <c r="N177" s="263" t="s"/>
      <c r="O177" s="263" t="s"/>
      <c r="P177" s="263" t="s"/>
      <c r="Q177" s="263" t="s"/>
      <c r="R177" s="263" t="s"/>
      <c r="S177" s="263" t="s"/>
      <c r="T177" s="263" t="s"/>
      <c r="U177" s="263" t="s"/>
      <c r="V177" s="263" t="s"/>
      <c r="W177" s="263" t="s"/>
      <c r="X177" s="263" t="s"/>
      <c r="Y177" s="263" t="s"/>
    </row>
    <row r="178" spans="1:25" customHeight="false">
      <c r="A178" s="263" t="s"/>
      <c r="B178" s="263" t="s"/>
      <c r="C178" s="263" t="s"/>
      <c r="D178" s="263" t="s"/>
      <c r="E178" s="263" t="s"/>
      <c r="F178" s="263" t="s"/>
      <c r="G178" s="263" t="s"/>
      <c r="H178" s="263" t="s"/>
      <c r="I178" s="263" t="s"/>
      <c r="J178" s="340" t="s"/>
      <c r="K178" s="340" t="s"/>
      <c r="L178" s="263" t="s"/>
      <c r="M178" s="263" t="s"/>
      <c r="N178" s="263" t="s"/>
      <c r="O178" s="263" t="s"/>
      <c r="P178" s="263" t="s"/>
      <c r="Q178" s="263" t="s"/>
      <c r="R178" s="263" t="s"/>
      <c r="S178" s="263" t="s"/>
      <c r="T178" s="263" t="s"/>
      <c r="U178" s="263" t="s"/>
      <c r="V178" s="263" t="s"/>
      <c r="W178" s="263" t="s"/>
      <c r="X178" s="263" t="s"/>
      <c r="Y178" s="263" t="s"/>
    </row>
    <row r="179" spans="1:25" customHeight="false">
      <c r="A179" s="263" t="s"/>
      <c r="B179" s="263" t="s"/>
      <c r="C179" s="263" t="s"/>
      <c r="D179" s="263" t="s"/>
      <c r="E179" s="263" t="s"/>
      <c r="F179" s="263" t="s"/>
      <c r="G179" s="263" t="s"/>
      <c r="H179" s="263" t="s"/>
      <c r="I179" s="263" t="s"/>
      <c r="J179" s="340" t="s"/>
      <c r="K179" s="340" t="s"/>
      <c r="L179" s="263" t="s"/>
      <c r="M179" s="263" t="s"/>
      <c r="N179" s="263" t="s"/>
      <c r="O179" s="263" t="s"/>
      <c r="P179" s="263" t="s"/>
      <c r="Q179" s="263" t="s"/>
      <c r="R179" s="263" t="s"/>
      <c r="S179" s="263" t="s"/>
      <c r="T179" s="263" t="s"/>
      <c r="U179" s="263" t="s"/>
      <c r="V179" s="263" t="s"/>
      <c r="W179" s="263" t="s"/>
      <c r="X179" s="263" t="s"/>
      <c r="Y179" s="263" t="s"/>
    </row>
    <row r="180" spans="1:25" customHeight="false">
      <c r="A180" s="263" t="s"/>
      <c r="B180" s="263" t="s"/>
      <c r="C180" s="263" t="s"/>
      <c r="D180" s="263" t="s"/>
      <c r="E180" s="263" t="s"/>
      <c r="F180" s="263" t="s"/>
      <c r="G180" s="263" t="s"/>
      <c r="H180" s="263" t="s"/>
      <c r="I180" s="263" t="s"/>
      <c r="J180" s="340" t="s"/>
      <c r="K180" s="340" t="s"/>
      <c r="L180" s="263" t="s"/>
      <c r="M180" s="263" t="s"/>
      <c r="N180" s="263" t="s"/>
      <c r="O180" s="263" t="s"/>
      <c r="P180" s="263" t="s"/>
      <c r="Q180" s="263" t="s"/>
      <c r="R180" s="263" t="s"/>
      <c r="S180" s="263" t="s"/>
      <c r="T180" s="263" t="s"/>
      <c r="U180" s="263" t="s"/>
      <c r="V180" s="263" t="s"/>
      <c r="W180" s="263" t="s"/>
      <c r="X180" s="263" t="s"/>
      <c r="Y180" s="263" t="s"/>
    </row>
    <row r="181" spans="1:25" customHeight="false">
      <c r="A181" s="263" t="s"/>
      <c r="B181" s="263" t="s"/>
      <c r="C181" s="263" t="s"/>
      <c r="D181" s="263" t="s"/>
      <c r="E181" s="263" t="s"/>
      <c r="F181" s="263" t="s"/>
      <c r="G181" s="263" t="s"/>
      <c r="H181" s="263" t="s"/>
      <c r="I181" s="263" t="s"/>
      <c r="J181" s="340" t="s"/>
      <c r="K181" s="340" t="s"/>
      <c r="L181" s="263" t="s"/>
      <c r="M181" s="263" t="s"/>
      <c r="N181" s="263" t="s"/>
      <c r="O181" s="263" t="s"/>
      <c r="P181" s="263" t="s"/>
      <c r="Q181" s="263" t="s"/>
      <c r="R181" s="263" t="s"/>
      <c r="S181" s="263" t="s"/>
      <c r="T181" s="263" t="s"/>
      <c r="U181" s="263" t="s"/>
      <c r="V181" s="263" t="s"/>
      <c r="W181" s="263" t="s"/>
      <c r="X181" s="263" t="s"/>
      <c r="Y181" s="263" t="s"/>
    </row>
    <row r="182" spans="1:25" customHeight="false">
      <c r="A182" s="263" t="s"/>
      <c r="B182" s="263" t="s"/>
      <c r="C182" s="263" t="s"/>
      <c r="D182" s="263" t="s"/>
      <c r="E182" s="263" t="s"/>
      <c r="F182" s="263" t="s"/>
      <c r="G182" s="263" t="s"/>
      <c r="H182" s="263" t="s"/>
      <c r="I182" s="263" t="s"/>
      <c r="J182" s="340" t="s"/>
      <c r="K182" s="340" t="s"/>
      <c r="L182" s="263" t="s"/>
      <c r="M182" s="263" t="s"/>
      <c r="N182" s="263" t="s"/>
      <c r="O182" s="263" t="s"/>
      <c r="P182" s="263" t="s"/>
      <c r="Q182" s="263" t="s"/>
      <c r="R182" s="263" t="s"/>
      <c r="S182" s="263" t="s"/>
      <c r="T182" s="263" t="s"/>
      <c r="U182" s="263" t="s"/>
      <c r="V182" s="263" t="s"/>
      <c r="W182" s="263" t="s"/>
      <c r="X182" s="263" t="s"/>
      <c r="Y182" s="263" t="s"/>
    </row>
    <row r="183" spans="1:25" customHeight="false">
      <c r="A183" s="263" t="s"/>
      <c r="B183" s="263" t="s"/>
      <c r="C183" s="263" t="s"/>
      <c r="D183" s="263" t="s"/>
      <c r="E183" s="263" t="s"/>
      <c r="F183" s="263" t="s"/>
      <c r="G183" s="263" t="s"/>
      <c r="H183" s="263" t="s"/>
      <c r="I183" s="263" t="s"/>
      <c r="J183" s="340" t="s"/>
      <c r="K183" s="340" t="s"/>
      <c r="L183" s="263" t="s"/>
      <c r="M183" s="263" t="s"/>
      <c r="N183" s="263" t="s"/>
      <c r="O183" s="263" t="s"/>
      <c r="P183" s="263" t="s"/>
      <c r="Q183" s="263" t="s"/>
      <c r="R183" s="263" t="s"/>
      <c r="S183" s="263" t="s"/>
      <c r="T183" s="263" t="s"/>
      <c r="U183" s="263" t="s"/>
      <c r="V183" s="263" t="s"/>
      <c r="W183" s="263" t="s"/>
      <c r="X183" s="263" t="s"/>
      <c r="Y183" s="263" t="s"/>
    </row>
    <row r="184" spans="1:25" customHeight="false">
      <c r="A184" s="263" t="s"/>
      <c r="B184" s="263" t="s"/>
      <c r="C184" s="263" t="s"/>
      <c r="D184" s="263" t="s"/>
      <c r="E184" s="263" t="s"/>
      <c r="F184" s="263" t="s"/>
      <c r="G184" s="263" t="s"/>
      <c r="H184" s="263" t="s"/>
      <c r="I184" s="263" t="s"/>
      <c r="J184" s="340" t="s"/>
      <c r="K184" s="340" t="s"/>
      <c r="L184" s="263" t="s"/>
      <c r="M184" s="263" t="s"/>
      <c r="N184" s="263" t="s"/>
      <c r="O184" s="263" t="s"/>
      <c r="P184" s="263" t="s"/>
      <c r="Q184" s="263" t="s"/>
      <c r="R184" s="263" t="s"/>
      <c r="S184" s="263" t="s"/>
      <c r="T184" s="263" t="s"/>
      <c r="U184" s="263" t="s"/>
      <c r="V184" s="263" t="s"/>
      <c r="W184" s="263" t="s"/>
      <c r="X184" s="263" t="s"/>
      <c r="Y184" s="263" t="s"/>
    </row>
    <row r="185" spans="1:25" customHeight="false">
      <c r="A185" s="263" t="s"/>
      <c r="B185" s="263" t="s"/>
      <c r="C185" s="263" t="s"/>
      <c r="D185" s="263" t="s"/>
      <c r="E185" s="263" t="s"/>
      <c r="F185" s="263" t="s"/>
      <c r="G185" s="263" t="s"/>
      <c r="H185" s="263" t="s"/>
      <c r="I185" s="263" t="s"/>
      <c r="J185" s="340" t="s"/>
      <c r="K185" s="340" t="s"/>
      <c r="L185" s="263" t="s"/>
      <c r="M185" s="263" t="s"/>
      <c r="N185" s="263" t="s"/>
      <c r="O185" s="263" t="s"/>
      <c r="P185" s="263" t="s"/>
      <c r="Q185" s="263" t="s"/>
      <c r="R185" s="263" t="s"/>
      <c r="S185" s="263" t="s"/>
      <c r="T185" s="263" t="s"/>
      <c r="U185" s="263" t="s"/>
      <c r="V185" s="263" t="s"/>
      <c r="W185" s="263" t="s"/>
      <c r="X185" s="263" t="s"/>
      <c r="Y185" s="263" t="s"/>
    </row>
    <row r="186" spans="1:25" customHeight="false">
      <c r="A186" s="263" t="s"/>
      <c r="B186" s="263" t="s"/>
      <c r="C186" s="263" t="s"/>
      <c r="D186" s="263" t="s"/>
      <c r="E186" s="263" t="s"/>
      <c r="F186" s="263" t="s"/>
      <c r="G186" s="263" t="s"/>
      <c r="H186" s="263" t="s"/>
      <c r="I186" s="263" t="s"/>
      <c r="J186" s="340" t="s"/>
      <c r="K186" s="340" t="s"/>
      <c r="L186" s="263" t="s"/>
      <c r="M186" s="263" t="s"/>
      <c r="N186" s="263" t="s"/>
      <c r="O186" s="263" t="s"/>
      <c r="P186" s="263" t="s"/>
      <c r="Q186" s="263" t="s"/>
      <c r="R186" s="263" t="s"/>
      <c r="S186" s="263" t="s"/>
      <c r="T186" s="263" t="s"/>
      <c r="U186" s="263" t="s"/>
      <c r="V186" s="263" t="s"/>
      <c r="W186" s="263" t="s"/>
      <c r="X186" s="263" t="s"/>
      <c r="Y186" s="263" t="s"/>
    </row>
    <row r="187" spans="1:25" customHeight="false">
      <c r="A187" s="263" t="s"/>
      <c r="B187" s="263" t="s"/>
      <c r="C187" s="263" t="s"/>
      <c r="D187" s="263" t="s"/>
      <c r="E187" s="263" t="s"/>
      <c r="F187" s="263" t="s"/>
      <c r="G187" s="263" t="s"/>
      <c r="H187" s="263" t="s"/>
      <c r="I187" s="263" t="s"/>
      <c r="J187" s="340" t="s"/>
      <c r="K187" s="340" t="s"/>
      <c r="L187" s="263" t="s"/>
      <c r="M187" s="263" t="s"/>
      <c r="N187" s="263" t="s"/>
      <c r="O187" s="263" t="s"/>
      <c r="P187" s="263" t="s"/>
      <c r="Q187" s="263" t="s"/>
      <c r="R187" s="263" t="s"/>
      <c r="S187" s="263" t="s"/>
      <c r="T187" s="263" t="s"/>
      <c r="U187" s="263" t="s"/>
      <c r="V187" s="263" t="s"/>
      <c r="W187" s="263" t="s"/>
      <c r="X187" s="263" t="s"/>
      <c r="Y187" s="263" t="s"/>
    </row>
    <row r="188" spans="1:25" customHeight="false">
      <c r="A188" s="263" t="s"/>
      <c r="B188" s="263" t="s"/>
      <c r="C188" s="263" t="s"/>
      <c r="D188" s="263" t="s"/>
      <c r="E188" s="263" t="s"/>
      <c r="F188" s="263" t="s"/>
      <c r="G188" s="263" t="s"/>
      <c r="H188" s="263" t="s"/>
      <c r="I188" s="263" t="s"/>
      <c r="J188" s="340" t="s"/>
      <c r="K188" s="340" t="s"/>
      <c r="L188" s="263" t="s"/>
      <c r="M188" s="263" t="s"/>
      <c r="N188" s="263" t="s"/>
      <c r="O188" s="263" t="s"/>
      <c r="P188" s="263" t="s"/>
      <c r="Q188" s="263" t="s"/>
      <c r="R188" s="263" t="s"/>
      <c r="S188" s="263" t="s"/>
      <c r="T188" s="263" t="s"/>
      <c r="U188" s="263" t="s"/>
      <c r="V188" s="263" t="s"/>
      <c r="W188" s="263" t="s"/>
      <c r="X188" s="263" t="s"/>
      <c r="Y188" s="263" t="s"/>
    </row>
    <row r="189" spans="1:25" customHeight="false">
      <c r="A189" s="263" t="s"/>
      <c r="B189" s="263" t="s"/>
      <c r="C189" s="263" t="s"/>
      <c r="D189" s="263" t="s"/>
      <c r="E189" s="263" t="s"/>
      <c r="F189" s="263" t="s"/>
      <c r="G189" s="263" t="s"/>
      <c r="H189" s="263" t="s"/>
      <c r="I189" s="263" t="s"/>
      <c r="J189" s="340" t="s"/>
      <c r="K189" s="340" t="s"/>
      <c r="L189" s="263" t="s"/>
      <c r="M189" s="263" t="s"/>
      <c r="N189" s="263" t="s"/>
      <c r="O189" s="263" t="s"/>
      <c r="P189" s="263" t="s"/>
      <c r="Q189" s="263" t="s"/>
      <c r="R189" s="263" t="s"/>
      <c r="S189" s="263" t="s"/>
      <c r="T189" s="263" t="s"/>
      <c r="U189" s="263" t="s"/>
      <c r="V189" s="263" t="s"/>
      <c r="W189" s="263" t="s"/>
      <c r="X189" s="263" t="s"/>
      <c r="Y189" s="263" t="s"/>
    </row>
    <row r="190" spans="1:25" customHeight="false">
      <c r="A190" s="263" t="s"/>
      <c r="B190" s="263" t="s"/>
      <c r="C190" s="263" t="s"/>
      <c r="D190" s="263" t="s"/>
      <c r="E190" s="263" t="s"/>
      <c r="F190" s="263" t="s"/>
      <c r="G190" s="263" t="s"/>
      <c r="H190" s="263" t="s"/>
      <c r="I190" s="263" t="s"/>
      <c r="J190" s="340" t="s"/>
      <c r="K190" s="340" t="s"/>
      <c r="L190" s="263" t="s"/>
      <c r="M190" s="263" t="s"/>
      <c r="N190" s="263" t="s"/>
      <c r="O190" s="263" t="s"/>
      <c r="P190" s="263" t="s"/>
      <c r="Q190" s="263" t="s"/>
      <c r="R190" s="263" t="s"/>
      <c r="S190" s="263" t="s"/>
      <c r="T190" s="263" t="s"/>
      <c r="U190" s="263" t="s"/>
      <c r="V190" s="263" t="s"/>
      <c r="W190" s="263" t="s"/>
      <c r="X190" s="263" t="s"/>
      <c r="Y190" s="263" t="s"/>
    </row>
    <row r="191" spans="1:25" customHeight="false">
      <c r="A191" s="263" t="s"/>
      <c r="B191" s="263" t="s"/>
      <c r="C191" s="263" t="s"/>
      <c r="D191" s="263" t="s"/>
      <c r="E191" s="263" t="s"/>
      <c r="F191" s="263" t="s"/>
      <c r="G191" s="263" t="s"/>
      <c r="H191" s="263" t="s"/>
      <c r="I191" s="263" t="s"/>
      <c r="J191" s="340" t="s"/>
      <c r="K191" s="340" t="s"/>
      <c r="L191" s="263" t="s"/>
      <c r="M191" s="263" t="s"/>
      <c r="N191" s="263" t="s"/>
      <c r="O191" s="263" t="s"/>
      <c r="P191" s="263" t="s"/>
      <c r="Q191" s="263" t="s"/>
      <c r="R191" s="263" t="s"/>
      <c r="S191" s="263" t="s"/>
      <c r="T191" s="263" t="s"/>
      <c r="U191" s="263" t="s"/>
      <c r="V191" s="263" t="s"/>
      <c r="W191" s="263" t="s"/>
      <c r="X191" s="263" t="s"/>
      <c r="Y191" s="263" t="s"/>
    </row>
    <row r="192" spans="1:25" customHeight="false">
      <c r="A192" s="263" t="s"/>
      <c r="B192" s="263" t="s"/>
      <c r="C192" s="263" t="s"/>
      <c r="D192" s="263" t="s"/>
      <c r="E192" s="263" t="s"/>
      <c r="F192" s="263" t="s"/>
      <c r="G192" s="263" t="s"/>
      <c r="H192" s="263" t="s"/>
      <c r="I192" s="263" t="s"/>
      <c r="J192" s="340" t="s"/>
      <c r="K192" s="340" t="s"/>
      <c r="L192" s="263" t="s"/>
      <c r="M192" s="263" t="s"/>
      <c r="N192" s="263" t="s"/>
      <c r="O192" s="263" t="s"/>
      <c r="P192" s="263" t="s"/>
      <c r="Q192" s="263" t="s"/>
      <c r="R192" s="263" t="s"/>
      <c r="S192" s="263" t="s"/>
      <c r="T192" s="263" t="s"/>
      <c r="U192" s="263" t="s"/>
      <c r="V192" s="263" t="s"/>
      <c r="W192" s="263" t="s"/>
      <c r="X192" s="263" t="s"/>
      <c r="Y192" s="263" t="s"/>
    </row>
    <row r="193" spans="1:25" customHeight="false">
      <c r="A193" s="263" t="s"/>
      <c r="B193" s="263" t="s"/>
      <c r="C193" s="263" t="s"/>
      <c r="D193" s="263" t="s"/>
      <c r="E193" s="263" t="s"/>
      <c r="F193" s="263" t="s"/>
      <c r="G193" s="263" t="s"/>
      <c r="H193" s="263" t="s"/>
      <c r="I193" s="263" t="s"/>
      <c r="J193" s="340" t="s"/>
      <c r="K193" s="340" t="s"/>
      <c r="L193" s="263" t="s"/>
      <c r="M193" s="263" t="s"/>
      <c r="N193" s="263" t="s"/>
      <c r="O193" s="263" t="s"/>
      <c r="P193" s="263" t="s"/>
      <c r="Q193" s="263" t="s"/>
      <c r="R193" s="263" t="s"/>
      <c r="S193" s="263" t="s"/>
      <c r="T193" s="263" t="s"/>
      <c r="U193" s="263" t="s"/>
      <c r="V193" s="263" t="s"/>
      <c r="W193" s="263" t="s"/>
      <c r="X193" s="263" t="s"/>
      <c r="Y193" s="263" t="s"/>
    </row>
    <row r="194" spans="1:25" customHeight="false">
      <c r="A194" s="263" t="s"/>
      <c r="B194" s="263" t="s"/>
      <c r="C194" s="263" t="s"/>
      <c r="D194" s="263" t="s"/>
      <c r="E194" s="263" t="s"/>
      <c r="F194" s="263" t="s"/>
      <c r="G194" s="263" t="s"/>
      <c r="H194" s="263" t="s"/>
      <c r="I194" s="263" t="s"/>
      <c r="J194" s="340" t="s"/>
      <c r="K194" s="340" t="s"/>
      <c r="L194" s="263" t="s"/>
      <c r="M194" s="263" t="s"/>
      <c r="N194" s="263" t="s"/>
      <c r="O194" s="263" t="s"/>
      <c r="P194" s="263" t="s"/>
      <c r="Q194" s="263" t="s"/>
      <c r="R194" s="263" t="s"/>
      <c r="S194" s="263" t="s"/>
      <c r="T194" s="263" t="s"/>
      <c r="U194" s="263" t="s"/>
      <c r="V194" s="263" t="s"/>
      <c r="W194" s="263" t="s"/>
      <c r="X194" s="263" t="s"/>
      <c r="Y194" s="263" t="s"/>
    </row>
    <row r="195" spans="1:25" customHeight="false">
      <c r="A195" s="263" t="s"/>
      <c r="B195" s="263" t="s"/>
      <c r="C195" s="263" t="s"/>
      <c r="D195" s="263" t="s"/>
      <c r="E195" s="263" t="s"/>
      <c r="F195" s="263" t="s"/>
      <c r="G195" s="263" t="s"/>
      <c r="H195" s="263" t="s"/>
      <c r="I195" s="263" t="s"/>
      <c r="J195" s="340" t="s"/>
      <c r="K195" s="340" t="s"/>
      <c r="L195" s="263" t="s"/>
      <c r="M195" s="263" t="s"/>
      <c r="N195" s="263" t="s"/>
      <c r="O195" s="263" t="s"/>
      <c r="P195" s="263" t="s"/>
      <c r="Q195" s="263" t="s"/>
      <c r="R195" s="263" t="s"/>
      <c r="S195" s="263" t="s"/>
      <c r="T195" s="263" t="s"/>
      <c r="U195" s="263" t="s"/>
      <c r="V195" s="263" t="s"/>
      <c r="W195" s="263" t="s"/>
      <c r="X195" s="263" t="s"/>
      <c r="Y195" s="263" t="s"/>
    </row>
    <row r="196" spans="1:25" customHeight="false">
      <c r="A196" s="263" t="s"/>
      <c r="B196" s="263" t="s"/>
      <c r="C196" s="263" t="s"/>
      <c r="D196" s="263" t="s"/>
      <c r="E196" s="263" t="s"/>
      <c r="F196" s="263" t="s"/>
      <c r="G196" s="263" t="s"/>
      <c r="H196" s="263" t="s"/>
      <c r="I196" s="263" t="s"/>
      <c r="J196" s="340" t="s"/>
      <c r="K196" s="340" t="s"/>
      <c r="L196" s="263" t="s"/>
      <c r="M196" s="263" t="s"/>
      <c r="N196" s="263" t="s"/>
      <c r="O196" s="263" t="s"/>
      <c r="P196" s="263" t="s"/>
      <c r="Q196" s="263" t="s"/>
      <c r="R196" s="263" t="s"/>
      <c r="S196" s="263" t="s"/>
      <c r="T196" s="263" t="s"/>
      <c r="U196" s="263" t="s"/>
      <c r="V196" s="263" t="s"/>
      <c r="W196" s="263" t="s"/>
      <c r="X196" s="263" t="s"/>
      <c r="Y196" s="263" t="s"/>
    </row>
    <row r="197" spans="1:25" customHeight="false">
      <c r="A197" s="263" t="s"/>
      <c r="B197" s="263" t="s"/>
      <c r="C197" s="263" t="s"/>
      <c r="D197" s="263" t="s"/>
      <c r="E197" s="263" t="s"/>
      <c r="F197" s="263" t="s"/>
      <c r="G197" s="263" t="s"/>
      <c r="H197" s="263" t="s"/>
      <c r="I197" s="263" t="s"/>
      <c r="J197" s="340" t="s"/>
      <c r="K197" s="340" t="s"/>
      <c r="L197" s="263" t="s"/>
      <c r="M197" s="263" t="s"/>
      <c r="N197" s="263" t="s"/>
      <c r="O197" s="263" t="s"/>
      <c r="P197" s="263" t="s"/>
      <c r="Q197" s="263" t="s"/>
      <c r="R197" s="263" t="s"/>
      <c r="S197" s="263" t="s"/>
      <c r="T197" s="263" t="s"/>
      <c r="U197" s="263" t="s"/>
      <c r="V197" s="263" t="s"/>
      <c r="W197" s="263" t="s"/>
      <c r="X197" s="263" t="s"/>
      <c r="Y197" s="263" t="s"/>
    </row>
    <row r="198" spans="1:25" customHeight="false">
      <c r="A198" s="263" t="s"/>
      <c r="B198" s="263" t="s"/>
      <c r="C198" s="263" t="s"/>
      <c r="D198" s="263" t="s"/>
      <c r="E198" s="263" t="s"/>
      <c r="F198" s="263" t="s"/>
      <c r="G198" s="263" t="s"/>
      <c r="H198" s="263" t="s"/>
      <c r="I198" s="263" t="s"/>
      <c r="J198" s="340" t="s"/>
      <c r="K198" s="340" t="s"/>
      <c r="L198" s="263" t="s"/>
      <c r="M198" s="263" t="s"/>
      <c r="N198" s="263" t="s"/>
      <c r="O198" s="263" t="s"/>
      <c r="P198" s="263" t="s"/>
      <c r="Q198" s="263" t="s"/>
      <c r="R198" s="263" t="s"/>
      <c r="S198" s="263" t="s"/>
      <c r="T198" s="263" t="s"/>
      <c r="U198" s="263" t="s"/>
      <c r="V198" s="263" t="s"/>
      <c r="W198" s="263" t="s"/>
      <c r="X198" s="263" t="s"/>
      <c r="Y198" s="263" t="s"/>
    </row>
    <row r="199" spans="1:25" customHeight="false">
      <c r="A199" s="263" t="s"/>
      <c r="B199" s="263" t="s"/>
      <c r="C199" s="263" t="s"/>
      <c r="D199" s="263" t="s"/>
      <c r="E199" s="263" t="s"/>
      <c r="F199" s="263" t="s"/>
      <c r="G199" s="263" t="s"/>
      <c r="H199" s="263" t="s"/>
      <c r="I199" s="263" t="s"/>
      <c r="J199" s="340" t="s"/>
      <c r="K199" s="340" t="s"/>
      <c r="L199" s="263" t="s"/>
      <c r="M199" s="263" t="s"/>
      <c r="N199" s="263" t="s"/>
      <c r="O199" s="263" t="s"/>
      <c r="P199" s="263" t="s"/>
      <c r="Q199" s="263" t="s"/>
      <c r="R199" s="263" t="s"/>
      <c r="S199" s="263" t="s"/>
      <c r="T199" s="263" t="s"/>
      <c r="U199" s="263" t="s"/>
      <c r="V199" s="263" t="s"/>
      <c r="W199" s="263" t="s"/>
      <c r="X199" s="263" t="s"/>
      <c r="Y199" s="263" t="s"/>
    </row>
    <row r="200" spans="1:25" customHeight="false">
      <c r="A200" s="263" t="s"/>
      <c r="B200" s="263" t="s"/>
      <c r="C200" s="263" t="s"/>
      <c r="D200" s="263" t="s"/>
      <c r="E200" s="263" t="s"/>
      <c r="F200" s="263" t="s"/>
      <c r="G200" s="263" t="s"/>
      <c r="H200" s="263" t="s"/>
      <c r="I200" s="263" t="s"/>
      <c r="J200" s="340" t="s"/>
      <c r="K200" s="340" t="s"/>
      <c r="L200" s="263" t="s"/>
      <c r="M200" s="263" t="s"/>
      <c r="N200" s="263" t="s"/>
      <c r="O200" s="263" t="s"/>
      <c r="P200" s="263" t="s"/>
      <c r="Q200" s="263" t="s"/>
      <c r="R200" s="263" t="s"/>
      <c r="S200" s="263" t="s"/>
      <c r="T200" s="263" t="s"/>
      <c r="U200" s="263" t="s"/>
      <c r="V200" s="263" t="s"/>
      <c r="W200" s="263" t="s"/>
      <c r="X200" s="263" t="s"/>
      <c r="Y200" s="263" t="s"/>
    </row>
    <row r="201" spans="1:25" customHeight="false">
      <c r="A201" s="263" t="s"/>
      <c r="B201" s="263" t="s"/>
      <c r="C201" s="263" t="s"/>
      <c r="D201" s="263" t="s"/>
      <c r="E201" s="263" t="s"/>
      <c r="F201" s="263" t="s"/>
      <c r="G201" s="263" t="s"/>
      <c r="H201" s="263" t="s"/>
      <c r="I201" s="263" t="s"/>
      <c r="J201" s="340" t="s"/>
      <c r="K201" s="340" t="s"/>
      <c r="L201" s="263" t="s"/>
      <c r="M201" s="263" t="s"/>
      <c r="N201" s="263" t="s"/>
      <c r="O201" s="263" t="s"/>
      <c r="P201" s="263" t="s"/>
      <c r="Q201" s="263" t="s"/>
      <c r="R201" s="263" t="s"/>
      <c r="S201" s="263" t="s"/>
      <c r="T201" s="263" t="s"/>
      <c r="U201" s="263" t="s"/>
      <c r="V201" s="263" t="s"/>
      <c r="W201" s="263" t="s"/>
      <c r="X201" s="263" t="s"/>
      <c r="Y201" s="263" t="s"/>
    </row>
  </sheetData>
  <mergeCells count="7">
    <mergeCell ref="A1:J1"/>
    <mergeCell ref="C2:G2"/>
    <mergeCell ref="N66:Q66"/>
    <mergeCell ref="T66:W66"/>
    <mergeCell ref="A2:A3"/>
    <mergeCell ref="B2:B3"/>
    <mergeCell ref="K2:K3"/>
  </mergeCells>
</worksheet>
</file>

<file path=xl/worksheets/sheet14.xml><?xml version="1.0" encoding="utf-8"?>
<worksheet xmlns="http://schemas.openxmlformats.org/spreadsheetml/2006/main">
  <sheetPr>
    <tabColor rgb="FFFFFFFF"/>
  </sheetPr>
  <dimension ref="M201"/>
  <sheetViews>
    <sheetView showGridLines="true" rightToLeft="false" workbookViewId="0"/>
  </sheetViews>
  <cols>
    <col min="1" max="1" width="6.86328" customWidth="true"/>
    <col min="2" max="2" width="23.582" customWidth="true"/>
    <col min="3" max="3" width="9.71094" customWidth="true"/>
    <col min="4" max="4" width="11.0039" customWidth="true"/>
    <col min="5" max="5" width="17.8633" customWidth="true"/>
    <col min="6" max="6" width="17.5742" customWidth="true"/>
    <col min="7" max="9" width="14.4336" customWidth="true"/>
    <col min="10" max="10" width="46.4414" customWidth="true"/>
    <col min="11" max="13" width="11.0039" customWidth="true"/>
  </cols>
  <sheetData>
    <row r="1" spans="1:13" ht="32" customHeight="true">
      <c r="A1" s="736" t="s">
        <v>2057</v>
      </c>
      <c r="B1" s="736" t="s"/>
      <c r="C1" s="736" t="s"/>
      <c r="D1" s="736" t="s"/>
      <c r="E1" s="736" t="s"/>
      <c r="F1" s="736" t="s"/>
      <c r="G1" s="736" t="s"/>
      <c r="H1" s="736" t="s"/>
      <c r="I1" s="736" t="s"/>
      <c r="J1" s="736" t="s"/>
      <c r="K1" s="737" t="s"/>
      <c r="L1" s="737" t="s"/>
      <c r="M1" s="737" t="s"/>
    </row>
    <row r="2" spans="1:13" ht="27" customHeight="true">
      <c r="A2" s="737" t="s"/>
      <c r="B2" s="738" t="s"/>
      <c r="C2" s="738" t="s"/>
      <c r="D2" s="738" t="s"/>
      <c r="E2" s="738" t="s"/>
      <c r="F2" s="738" t="s"/>
      <c r="G2" s="738" t="s"/>
      <c r="H2" s="203" t="s"/>
      <c r="I2" s="203" t="s"/>
      <c r="J2" s="203" t="s"/>
      <c r="K2" s="737" t="s"/>
      <c r="L2" s="737" t="s"/>
      <c r="M2" s="737" t="s"/>
    </row>
    <row r="3" spans="1:13" ht="27" customHeight="true">
      <c r="A3" s="197" t="s">
        <v>2540</v>
      </c>
      <c r="B3" s="197" t="s">
        <v>2541</v>
      </c>
      <c r="C3" s="197" t="s">
        <v>2058</v>
      </c>
      <c r="D3" s="739" t="s"/>
      <c r="E3" s="739" t="s"/>
      <c r="F3" s="740" t="s"/>
      <c r="G3" s="741" t="s">
        <v>2059</v>
      </c>
      <c r="H3" s="742" t="s"/>
      <c r="I3" s="743" t="s"/>
      <c r="J3" s="264" t="s">
        <v>258</v>
      </c>
      <c r="K3" s="737" t="s"/>
      <c r="L3" s="737" t="s"/>
      <c r="M3" s="737" t="s"/>
    </row>
    <row r="4" spans="1:13" ht="27" customHeight="true">
      <c r="A4" s="744" t="s"/>
      <c r="B4" s="744" t="s"/>
      <c r="C4" s="745" t="s"/>
      <c r="D4" s="566" t="s"/>
      <c r="E4" s="566" t="s"/>
      <c r="F4" s="746" t="s"/>
      <c r="G4" s="747" t="s"/>
      <c r="H4" s="748" t="s"/>
      <c r="I4" s="749" t="s"/>
      <c r="J4" s="750" t="s"/>
      <c r="K4" s="737" t="s"/>
      <c r="L4" s="737" t="s"/>
      <c r="M4" s="737" t="s"/>
    </row>
    <row r="5" spans="1:13" ht="27" customHeight="true">
      <c r="A5" s="568" t="s"/>
      <c r="B5" s="568" t="s"/>
      <c r="C5" s="568" t="s">
        <v>7</v>
      </c>
      <c r="D5" s="568" t="s">
        <v>582</v>
      </c>
      <c r="E5" s="568" t="s">
        <v>2060</v>
      </c>
      <c r="F5" s="568" t="s">
        <v>2061</v>
      </c>
      <c r="G5" s="568" t="s">
        <v>7</v>
      </c>
      <c r="H5" s="568" t="s">
        <v>2062</v>
      </c>
      <c r="I5" s="568" t="s">
        <v>2063</v>
      </c>
      <c r="J5" s="568" t="s"/>
      <c r="K5" s="737" t="s"/>
      <c r="L5" s="737" t="s"/>
      <c r="M5" s="737" t="s"/>
    </row>
    <row r="6" spans="1:13" ht="27" customHeight="true">
      <c r="A6" s="751">
        <v>1</v>
      </c>
      <c r="B6" s="752" t="s">
        <v>2064</v>
      </c>
      <c r="C6" s="197" t="s"/>
      <c r="D6" s="197" t="s"/>
      <c r="E6" s="197" t="s"/>
      <c r="F6" s="197" t="s"/>
      <c r="G6" s="197" t="s">
        <v>2542</v>
      </c>
      <c r="H6" s="753" t="e">
        <f>=('估算（仅打印此表）'!G123-'估算（仅打印此表）'!F113)*96%/25</f>
        <v>#VALUE!</v>
      </c>
      <c r="I6" s="754" t="e">
        <f>=H6/10/365</f>
        <v>#VALUE!</v>
      </c>
      <c r="J6" s="755" t="s">
        <v>2543</v>
      </c>
      <c r="K6" s="756" t="s"/>
      <c r="L6" s="757" t="s"/>
      <c r="M6" s="737" t="s"/>
    </row>
    <row r="7" spans="1:13" ht="24" customHeight="true">
      <c r="A7" s="751">
        <v>2</v>
      </c>
      <c r="B7" s="752" t="s">
        <v>2065</v>
      </c>
      <c r="C7" s="197" t="s"/>
      <c r="D7" s="197" t="s"/>
      <c r="E7" s="197" t="s"/>
      <c r="F7" s="197" t="s"/>
      <c r="G7" s="197" t="s">
        <v>2542</v>
      </c>
      <c r="H7" s="753">
        <f>='估算（仅打印此表）'!F113*10%</f>
        <v>12</v>
      </c>
      <c r="I7" s="754">
        <f>=H7/10/365</f>
        <v>0.00328767123287671</v>
      </c>
      <c r="J7" s="755" t="s">
        <v>2544</v>
      </c>
      <c r="K7" s="756" t="s"/>
      <c r="L7" s="757" t="s"/>
      <c r="M7" s="737" t="s"/>
    </row>
    <row r="8" spans="1:13" ht="24" customHeight="true">
      <c r="A8" s="751">
        <v>3</v>
      </c>
      <c r="B8" s="758" t="s">
        <v>2066</v>
      </c>
      <c r="C8" s="197" t="s"/>
      <c r="D8" s="197" t="s"/>
      <c r="E8" s="197" t="s"/>
      <c r="F8" s="197" t="s"/>
      <c r="G8" s="197" t="s">
        <v>2542</v>
      </c>
      <c r="H8" s="753">
        <f>='估算（仅打印此表）'!G133*1.7%</f>
        <v>1492.19046175658</v>
      </c>
      <c r="I8" s="754">
        <f>=H8/10/365</f>
        <v>0.408819304590845</v>
      </c>
      <c r="J8" s="755" t="s">
        <v>2545</v>
      </c>
      <c r="K8" s="756" t="s"/>
      <c r="L8" s="757" t="s"/>
      <c r="M8" s="737" t="s"/>
    </row>
    <row r="9" spans="1:13" ht="24" customHeight="true">
      <c r="A9" s="751">
        <v>4</v>
      </c>
      <c r="B9" s="759" t="s">
        <v>2067</v>
      </c>
      <c r="C9" s="197" t="s"/>
      <c r="D9" s="760" t="s"/>
      <c r="E9" s="761" t="s"/>
      <c r="F9" s="762" t="s"/>
      <c r="G9" s="197" t="s">
        <v>2542</v>
      </c>
      <c r="H9" s="753">
        <f>=H10+H11</f>
        <v>1364.609616288</v>
      </c>
      <c r="I9" s="754">
        <f>=H9/10/365</f>
        <v>0.373865648298082</v>
      </c>
      <c r="J9" s="763" t="s"/>
      <c r="K9" s="756" t="s"/>
      <c r="L9" s="756" t="s"/>
      <c r="M9" s="737" t="s"/>
    </row>
    <row r="10" spans="1:13" ht="24" customHeight="true">
      <c r="A10" s="764" t="s">
        <v>2068</v>
      </c>
      <c r="B10" s="759" t="s">
        <v>2069</v>
      </c>
      <c r="C10" s="197" t="s">
        <v>2546</v>
      </c>
      <c r="D10" s="760">
        <v>23</v>
      </c>
      <c r="E10" s="761" t="s"/>
      <c r="F10" s="762" t="s"/>
      <c r="G10" s="197" t="s">
        <v>2542</v>
      </c>
      <c r="H10" s="753">
        <f>=D10*12*5000/10000</f>
        <v>138</v>
      </c>
      <c r="I10" s="754">
        <f>=H10/10/365</f>
        <v>0.0378082191780822</v>
      </c>
      <c r="J10" s="763" t="s">
        <v>2070</v>
      </c>
      <c r="K10" s="756" t="s"/>
      <c r="L10" s="756">
        <f>=(H10+H11)/F11*10000</f>
        <v>0.679073193884551</v>
      </c>
      <c r="M10" s="737" t="s"/>
    </row>
    <row r="11" spans="1:13" ht="24" customHeight="true">
      <c r="A11" s="764" t="s">
        <v>2071</v>
      </c>
      <c r="B11" s="759" t="s">
        <v>2072</v>
      </c>
      <c r="C11" s="197" t="s">
        <v>2073</v>
      </c>
      <c r="D11" s="765">
        <v>0.6104</v>
      </c>
      <c r="E11" s="761">
        <f>=3277.1*24*0.7</f>
        <v>55055.28</v>
      </c>
      <c r="F11" s="264">
        <f>=E11*365</f>
        <v>20095177.2</v>
      </c>
      <c r="G11" s="197" t="s">
        <v>2542</v>
      </c>
      <c r="H11" s="753">
        <f>=F11*D11/10000</f>
        <v>1226.609616288</v>
      </c>
      <c r="I11" s="754">
        <f>=H11/10/365</f>
        <v>0.33605742912</v>
      </c>
      <c r="J11" s="763" t="s">
        <v>2074</v>
      </c>
      <c r="K11" s="756" t="s"/>
      <c r="L11" s="766">
        <f>=F11/100000/365</f>
        <v>0.5505528</v>
      </c>
      <c r="M11" s="737" t="s"/>
    </row>
    <row r="12" spans="1:13" ht="24" customHeight="true">
      <c r="A12" s="751">
        <v>5</v>
      </c>
      <c r="B12" s="752" t="s">
        <v>2075</v>
      </c>
      <c r="C12" s="197" t="s"/>
      <c r="D12" s="760" t="s"/>
      <c r="E12" s="197" t="s"/>
      <c r="F12" s="762" t="s"/>
      <c r="G12" s="197" t="s">
        <v>2542</v>
      </c>
      <c r="H12" s="753">
        <f>=SUM(H13:H17)</f>
        <v>285.795</v>
      </c>
      <c r="I12" s="754">
        <f>=H12/10/365</f>
        <v>0.0783</v>
      </c>
      <c r="J12" s="755" t="s">
        <v>2076</v>
      </c>
      <c r="K12" s="756" t="s"/>
      <c r="L12" s="757" t="s"/>
      <c r="M12" s="737" t="s"/>
    </row>
    <row r="13" spans="1:13" ht="24" customHeight="true">
      <c r="A13" s="764" t="s">
        <v>2077</v>
      </c>
      <c r="B13" s="759" t="s">
        <v>2078</v>
      </c>
      <c r="C13" s="767" t="s">
        <v>2079</v>
      </c>
      <c r="D13" s="761">
        <v>900</v>
      </c>
      <c r="E13" s="765">
        <v>1.5</v>
      </c>
      <c r="F13" s="264">
        <f>=E13*365</f>
        <v>547.5</v>
      </c>
      <c r="G13" s="197" t="s">
        <v>2542</v>
      </c>
      <c r="H13" s="753">
        <f>=F13*D13/10000</f>
        <v>49.275</v>
      </c>
      <c r="I13" s="754">
        <f>=H13/10/365</f>
        <v>0.0135</v>
      </c>
      <c r="J13" s="755" t="s"/>
      <c r="K13" s="756" t="s"/>
      <c r="L13" s="757" t="s"/>
      <c r="M13" s="737" t="s"/>
    </row>
    <row r="14" spans="1:13" ht="24" customHeight="true">
      <c r="A14" s="764" t="s">
        <v>2080</v>
      </c>
      <c r="B14" s="759" t="s">
        <v>2081</v>
      </c>
      <c r="C14" s="767" t="s">
        <v>2079</v>
      </c>
      <c r="D14" s="761">
        <v>30000</v>
      </c>
      <c r="E14" s="765">
        <v>0.1</v>
      </c>
      <c r="F14" s="264">
        <f>=E14*365</f>
        <v>36.5</v>
      </c>
      <c r="G14" s="197" t="s">
        <v>2542</v>
      </c>
      <c r="H14" s="753">
        <f>=F14*D14/10000</f>
        <v>109.5</v>
      </c>
      <c r="I14" s="754">
        <f>=H14/10/365</f>
        <v>0.03</v>
      </c>
      <c r="J14" s="755" t="s"/>
      <c r="K14" s="756" t="s"/>
      <c r="L14" s="757" t="s"/>
      <c r="M14" s="737" t="s"/>
    </row>
    <row r="15" spans="1:13" ht="24" customHeight="true">
      <c r="A15" s="764" t="s">
        <v>2082</v>
      </c>
      <c r="B15" s="759" t="s">
        <v>2083</v>
      </c>
      <c r="C15" s="767" t="s">
        <v>2079</v>
      </c>
      <c r="D15" s="761">
        <v>3000</v>
      </c>
      <c r="E15" s="765">
        <v>0.4</v>
      </c>
      <c r="F15" s="264">
        <f>=E15*365</f>
        <v>146</v>
      </c>
      <c r="G15" s="197" t="s">
        <v>2542</v>
      </c>
      <c r="H15" s="753">
        <f>=F15*D15/10000</f>
        <v>43.8</v>
      </c>
      <c r="I15" s="754">
        <f>=H15/10/365</f>
        <v>0.012</v>
      </c>
      <c r="J15" s="755" t="s"/>
      <c r="K15" s="756" t="s"/>
      <c r="L15" s="757" t="s"/>
      <c r="M15" s="737" t="s"/>
    </row>
    <row r="16" spans="1:13" ht="24" customHeight="true">
      <c r="A16" s="764" t="s">
        <v>2084</v>
      </c>
      <c r="B16" s="759" t="s">
        <v>2085</v>
      </c>
      <c r="C16" s="767" t="s">
        <v>2079</v>
      </c>
      <c r="D16" s="761">
        <v>1500</v>
      </c>
      <c r="E16" s="765">
        <v>1.5</v>
      </c>
      <c r="F16" s="264">
        <f>=E16*365</f>
        <v>547.5</v>
      </c>
      <c r="G16" s="197" t="s">
        <v>2542</v>
      </c>
      <c r="H16" s="753">
        <f>=F16*D16/10000</f>
        <v>82.125</v>
      </c>
      <c r="I16" s="754">
        <f>=H16/10/365</f>
        <v>0.0225</v>
      </c>
      <c r="J16" s="755" t="s"/>
      <c r="K16" s="756" t="s"/>
      <c r="L16" s="757" t="s"/>
      <c r="M16" s="737" t="s"/>
    </row>
    <row r="17" spans="1:13" ht="24" customHeight="true">
      <c r="A17" s="764" t="s">
        <v>2086</v>
      </c>
      <c r="B17" s="759" t="s">
        <v>2087</v>
      </c>
      <c r="C17" s="767" t="s">
        <v>2079</v>
      </c>
      <c r="D17" s="761">
        <v>1500</v>
      </c>
      <c r="E17" s="765">
        <v>0.02</v>
      </c>
      <c r="F17" s="264">
        <f>=E17*365</f>
        <v>7.3</v>
      </c>
      <c r="G17" s="197" t="s">
        <v>2542</v>
      </c>
      <c r="H17" s="753">
        <f>=F17*D17/10000</f>
        <v>1.095</v>
      </c>
      <c r="I17" s="754">
        <f>=H17/10/365</f>
        <v>0.0003</v>
      </c>
      <c r="J17" s="755" t="s"/>
      <c r="K17" s="756" t="s"/>
      <c r="L17" s="757" t="s"/>
      <c r="M17" s="737" t="s"/>
    </row>
    <row r="18" spans="1:13" ht="24" customHeight="true">
      <c r="A18" s="751">
        <v>6</v>
      </c>
      <c r="B18" s="752" t="s">
        <v>2088</v>
      </c>
      <c r="C18" s="197" t="s"/>
      <c r="D18" s="197" t="s"/>
      <c r="E18" s="760" t="s"/>
      <c r="F18" s="760" t="s"/>
      <c r="G18" s="197" t="s">
        <v>2542</v>
      </c>
      <c r="H18" s="753">
        <f>=40*10</f>
        <v>400</v>
      </c>
      <c r="I18" s="754">
        <f>=H18/10/365</f>
        <v>0.10958904109589</v>
      </c>
      <c r="J18" s="755" t="s">
        <v>2547</v>
      </c>
      <c r="K18" s="756" t="s"/>
      <c r="L18" s="757" t="s"/>
      <c r="M18" s="737" t="s"/>
    </row>
    <row r="19" spans="1:13" ht="24" customHeight="true">
      <c r="A19" s="751">
        <v>7</v>
      </c>
      <c r="B19" s="752" t="s">
        <v>2089</v>
      </c>
      <c r="C19" s="767" t="s"/>
      <c r="D19" s="197" t="s"/>
      <c r="E19" s="760" t="s"/>
      <c r="F19" s="760" t="s"/>
      <c r="G19" s="197" t="s">
        <v>2542</v>
      </c>
      <c r="H19" s="753">
        <f>=SUM(H20:H21)</f>
        <v>298.456990384615</v>
      </c>
      <c r="I19" s="754">
        <f>=H19/10/365</f>
        <v>0.0817690384615384</v>
      </c>
      <c r="J19" s="755" t="s"/>
      <c r="K19" s="756" t="s"/>
      <c r="L19" s="757" t="s"/>
      <c r="M19" s="768">
        <f>=H19/F21*10000</f>
        <v>338.75</v>
      </c>
    </row>
    <row r="20" spans="1:13" ht="24" customHeight="true">
      <c r="A20" s="764" t="s">
        <v>2090</v>
      </c>
      <c r="B20" s="752" t="s">
        <v>2081</v>
      </c>
      <c r="C20" s="767" t="s">
        <v>2079</v>
      </c>
      <c r="D20" s="197">
        <v>30000</v>
      </c>
      <c r="E20" s="765">
        <v>0.039225</v>
      </c>
      <c r="F20" s="264">
        <f>=E20*365</f>
        <v>14.317125</v>
      </c>
      <c r="G20" s="197" t="s">
        <v>2542</v>
      </c>
      <c r="H20" s="753">
        <f>=F20*D20/10000</f>
        <v>42.951375</v>
      </c>
      <c r="I20" s="754">
        <f>=H20/10/365</f>
        <v>0.0117675</v>
      </c>
      <c r="J20" s="755" t="s"/>
      <c r="K20" s="756" t="s"/>
      <c r="L20" s="757" t="s"/>
      <c r="M20" s="737" t="s"/>
    </row>
    <row r="21" spans="1:13" ht="24" customHeight="true">
      <c r="A21" s="764" t="s">
        <v>2091</v>
      </c>
      <c r="B21" s="752" t="s">
        <v>2092</v>
      </c>
      <c r="C21" s="767" t="s">
        <v>2079</v>
      </c>
      <c r="D21" s="760">
        <v>290</v>
      </c>
      <c r="E21" s="760">
        <v>24.1384615384615</v>
      </c>
      <c r="F21" s="264">
        <f>=E21*365</f>
        <v>8810.53846153845</v>
      </c>
      <c r="G21" s="197" t="s">
        <v>2542</v>
      </c>
      <c r="H21" s="753">
        <f>=F21*D21/10000</f>
        <v>255.505615384615</v>
      </c>
      <c r="I21" s="754">
        <f>=H21/10/365</f>
        <v>0.0700015384615384</v>
      </c>
      <c r="J21" s="755" t="s">
        <v>2548</v>
      </c>
      <c r="K21" s="756" t="s"/>
      <c r="L21" s="757">
        <f>=E21/10</f>
        <v>2.41384615384615</v>
      </c>
      <c r="M21" s="737" t="s"/>
    </row>
    <row r="22" spans="1:13" ht="24" customHeight="true">
      <c r="A22" s="751" t="s">
        <v>538</v>
      </c>
      <c r="B22" s="752" t="s">
        <v>2093</v>
      </c>
      <c r="C22" s="767" t="s">
        <v>2079</v>
      </c>
      <c r="D22" s="197">
        <v>3.46</v>
      </c>
      <c r="E22" s="760">
        <v>12</v>
      </c>
      <c r="F22" s="264">
        <f>=E22*365</f>
        <v>4380</v>
      </c>
      <c r="G22" s="197" t="s">
        <v>2542</v>
      </c>
      <c r="H22" s="753">
        <f>=D22*F22/10000</f>
        <v>1.51548</v>
      </c>
      <c r="I22" s="754">
        <f>=H22/10/365</f>
        <v>0.0004152</v>
      </c>
      <c r="J22" s="755" t="s">
        <v>2094</v>
      </c>
      <c r="K22" s="756" t="s"/>
      <c r="L22" s="757" t="s"/>
      <c r="M22" s="737" t="s"/>
    </row>
    <row r="23" spans="1:13" ht="24" customHeight="true">
      <c r="A23" s="751">
        <v>9</v>
      </c>
      <c r="B23" s="759" t="s">
        <v>2095</v>
      </c>
      <c r="C23" s="197" t="s"/>
      <c r="D23" s="197" t="s"/>
      <c r="E23" s="760" t="s"/>
      <c r="F23" s="760" t="s"/>
      <c r="G23" s="197" t="s">
        <v>2542</v>
      </c>
      <c r="H23" s="753">
        <f>=(H8+H9+H12+H18+H19+H22)*10%</f>
        <v>384.25675484292</v>
      </c>
      <c r="I23" s="754">
        <f>=H23/10/365</f>
        <v>0.105275823244636</v>
      </c>
      <c r="J23" s="755" t="s">
        <v>2549</v>
      </c>
      <c r="K23" s="756" t="s"/>
      <c r="L23" s="757" t="s"/>
      <c r="M23" s="737" t="s"/>
    </row>
    <row r="24" spans="1:13" ht="24" customHeight="true">
      <c r="A24" s="751">
        <v>10</v>
      </c>
      <c r="B24" s="752" t="s">
        <v>2096</v>
      </c>
      <c r="C24" s="197" t="s"/>
      <c r="D24" s="197" t="s"/>
      <c r="E24" s="760" t="s"/>
      <c r="F24" s="760" t="s"/>
      <c r="G24" s="197" t="s">
        <v>2542</v>
      </c>
      <c r="H24" s="753" t="e">
        <f>=H6+H7+H8+H9+H12+H18+H19+H23</f>
        <v>#VALUE!</v>
      </c>
      <c r="I24" s="754" t="e">
        <f>=H24/10/365</f>
        <v>#VALUE!</v>
      </c>
      <c r="J24" s="769" t="s">
        <v>2550</v>
      </c>
      <c r="K24" s="756" t="s"/>
      <c r="L24" s="757" t="s"/>
      <c r="M24" s="737" t="s"/>
    </row>
    <row r="25" spans="1:13" ht="24" customHeight="true">
      <c r="A25" s="751">
        <v>11</v>
      </c>
      <c r="B25" s="752" t="s">
        <v>2097</v>
      </c>
      <c r="C25" s="197" t="s"/>
      <c r="D25" s="197" t="s"/>
      <c r="E25" s="760" t="s"/>
      <c r="F25" s="760" t="s"/>
      <c r="G25" s="197" t="s">
        <v>2542</v>
      </c>
      <c r="H25" s="753" t="e">
        <f>=H24-H6-H7</f>
        <v>#VALUE!</v>
      </c>
      <c r="I25" s="754" t="e">
        <f>=H25/10/365</f>
        <v>#VALUE!</v>
      </c>
      <c r="J25" s="769" t="s">
        <v>2098</v>
      </c>
      <c r="K25" s="756" t="s"/>
      <c r="L25" s="757" t="s"/>
      <c r="M25" s="737" t="s"/>
    </row>
    <row r="26" spans="1:13" ht="24" customHeight="true">
      <c r="A26" s="751">
        <v>12</v>
      </c>
      <c r="B26" s="752" t="s">
        <v>2099</v>
      </c>
      <c r="C26" s="197" t="s"/>
      <c r="D26" s="197" t="s"/>
      <c r="E26" s="760" t="s"/>
      <c r="F26" s="760" t="s"/>
      <c r="G26" s="197" t="s">
        <v>2551</v>
      </c>
      <c r="H26" s="770" t="e">
        <f>=H24/3650</f>
        <v>#VALUE!</v>
      </c>
      <c r="I26" s="771" t="s"/>
      <c r="J26" s="772" t="s">
        <v>2552</v>
      </c>
      <c r="K26" s="756" t="s"/>
      <c r="L26" s="737" t="s"/>
      <c r="M26" s="737" t="s"/>
    </row>
    <row r="27" spans="1:13" ht="24" customHeight="true">
      <c r="A27" s="751">
        <v>13</v>
      </c>
      <c r="B27" s="759" t="s">
        <v>2100</v>
      </c>
      <c r="C27" s="197" t="s"/>
      <c r="D27" s="197" t="s"/>
      <c r="E27" s="760" t="s"/>
      <c r="F27" s="760" t="s"/>
      <c r="G27" s="197" t="s">
        <v>2551</v>
      </c>
      <c r="H27" s="770" t="e">
        <f>=H25/3650</f>
        <v>#VALUE!</v>
      </c>
      <c r="I27" s="771" t="s"/>
      <c r="J27" s="773" t="s"/>
      <c r="K27" s="756" t="s"/>
      <c r="L27" s="757" t="s"/>
      <c r="M27" s="737" t="s"/>
    </row>
    <row r="28" spans="1:13" customHeight="false">
      <c r="A28" s="737" t="s"/>
      <c r="B28" s="737" t="s"/>
      <c r="C28" s="774" t="s"/>
      <c r="D28" s="774" t="s"/>
      <c r="E28" s="774" t="s"/>
      <c r="F28" s="774" t="s"/>
      <c r="G28" s="774" t="s"/>
      <c r="H28" s="737" t="s"/>
      <c r="I28" s="737" t="s"/>
      <c r="J28" s="737" t="s"/>
      <c r="K28" s="737" t="s"/>
      <c r="L28" s="737" t="s"/>
      <c r="M28" s="737" t="s"/>
    </row>
    <row r="29" spans="1:13" ht="32" customHeight="true">
      <c r="A29" s="737" t="s"/>
      <c r="B29" s="737" t="s"/>
      <c r="C29" s="774" t="s"/>
      <c r="D29" s="774" t="s"/>
      <c r="E29" s="774">
        <f>=15.69/0.6</f>
        <v>26.15</v>
      </c>
      <c r="F29" s="774" t="s"/>
      <c r="G29" s="774" t="s"/>
      <c r="H29" s="737" t="s"/>
      <c r="I29" s="737" t="s"/>
      <c r="J29" s="737" t="s"/>
      <c r="K29" s="737" t="s"/>
      <c r="L29" s="737" t="s"/>
      <c r="M29" s="737" t="s"/>
    </row>
    <row r="30" spans="1:13" customHeight="false">
      <c r="A30" s="737" t="s"/>
      <c r="B30" s="737" t="s"/>
      <c r="C30" s="774" t="s"/>
      <c r="D30" s="774" t="s"/>
      <c r="E30" s="774" t="s"/>
      <c r="F30" s="774" t="s"/>
      <c r="G30" s="774" t="s"/>
      <c r="H30" s="737" t="s"/>
      <c r="I30" s="737" t="s"/>
      <c r="J30" s="737" t="s"/>
      <c r="K30" s="737" t="s"/>
      <c r="L30" s="737" t="s"/>
      <c r="M30" s="737" t="s"/>
    </row>
    <row r="31" spans="1:13" customHeight="false">
      <c r="A31" s="737" t="s"/>
      <c r="B31" s="737" t="s"/>
      <c r="C31" s="774" t="s"/>
      <c r="D31" s="774" t="s"/>
      <c r="E31" s="774" t="s"/>
      <c r="F31" s="774" t="s"/>
      <c r="G31" s="774" t="s"/>
      <c r="H31" s="737" t="s"/>
      <c r="I31" s="737" t="s"/>
      <c r="J31" s="737" t="s"/>
      <c r="K31" s="737" t="s"/>
      <c r="L31" s="737" t="s"/>
      <c r="M31" s="737" t="s"/>
    </row>
    <row r="32" spans="1:13" customHeight="false">
      <c r="A32" s="737" t="s"/>
      <c r="B32" s="737" t="s"/>
      <c r="C32" s="774" t="s"/>
      <c r="D32" s="774" t="s"/>
      <c r="E32" s="774" t="s"/>
      <c r="F32" s="774" t="s"/>
      <c r="G32" s="774" t="s"/>
      <c r="H32" s="737" t="s"/>
      <c r="I32" s="737" t="s"/>
      <c r="J32" s="737" t="s"/>
      <c r="K32" s="737" t="s"/>
      <c r="L32" s="737" t="s"/>
      <c r="M32" s="737" t="s"/>
    </row>
    <row r="33" spans="1:13" customHeight="false">
      <c r="A33" s="737" t="s"/>
      <c r="B33" s="737" t="s"/>
      <c r="C33" s="774" t="s"/>
      <c r="D33" s="774" t="s"/>
      <c r="E33" s="774" t="s"/>
      <c r="F33" s="774" t="s"/>
      <c r="G33" s="774" t="s"/>
      <c r="H33" s="737" t="s"/>
      <c r="I33" s="737" t="s"/>
      <c r="J33" s="737" t="s"/>
      <c r="K33" s="737" t="s"/>
      <c r="L33" s="737" t="s"/>
      <c r="M33" s="737" t="s"/>
    </row>
    <row r="34" spans="1:13" customHeight="false">
      <c r="A34" s="737" t="s"/>
      <c r="B34" s="737" t="s"/>
      <c r="C34" s="774" t="s"/>
      <c r="D34" s="774" t="s"/>
      <c r="E34" s="774" t="s"/>
      <c r="F34" s="774" t="s"/>
      <c r="G34" s="774" t="s"/>
      <c r="H34" s="737" t="s"/>
      <c r="I34" s="737" t="s"/>
      <c r="J34" s="737" t="s"/>
      <c r="K34" s="737" t="s"/>
      <c r="L34" s="737" t="s"/>
      <c r="M34" s="737" t="s"/>
    </row>
    <row r="35" spans="1:13" customHeight="false">
      <c r="A35" s="737" t="s"/>
      <c r="B35" s="737" t="s"/>
      <c r="C35" s="774" t="s"/>
      <c r="D35" s="774" t="s"/>
      <c r="E35" s="774" t="s"/>
      <c r="F35" s="774" t="s"/>
      <c r="G35" s="774" t="s"/>
      <c r="H35" s="737" t="s"/>
      <c r="I35" s="737" t="s"/>
      <c r="J35" s="737" t="s"/>
      <c r="K35" s="737" t="s"/>
      <c r="L35" s="737" t="s"/>
      <c r="M35" s="737" t="s"/>
    </row>
    <row r="36" spans="1:13" customHeight="false">
      <c r="A36" s="737" t="s"/>
      <c r="B36" s="737" t="s"/>
      <c r="C36" s="774" t="s"/>
      <c r="D36" s="774" t="s"/>
      <c r="E36" s="774" t="s"/>
      <c r="F36" s="774" t="s"/>
      <c r="G36" s="774" t="s"/>
      <c r="H36" s="737" t="s"/>
      <c r="I36" s="737" t="s"/>
      <c r="J36" s="737" t="s"/>
      <c r="K36" s="737" t="s"/>
      <c r="L36" s="737" t="s"/>
      <c r="M36" s="737" t="s"/>
    </row>
    <row r="37" spans="1:13" customHeight="false">
      <c r="A37" s="737" t="s"/>
      <c r="B37" s="737" t="s"/>
      <c r="C37" s="774" t="s"/>
      <c r="D37" s="774" t="s"/>
      <c r="E37" s="774" t="s"/>
      <c r="F37" s="774" t="s"/>
      <c r="G37" s="774" t="s"/>
      <c r="H37" s="737" t="s"/>
      <c r="I37" s="737" t="s"/>
      <c r="J37" s="737" t="s"/>
      <c r="K37" s="737" t="s"/>
      <c r="L37" s="737" t="s"/>
      <c r="M37" s="737" t="s"/>
    </row>
    <row r="38" spans="1:13" customHeight="false">
      <c r="A38" s="737" t="s"/>
      <c r="B38" s="737" t="s"/>
      <c r="C38" s="774" t="s"/>
      <c r="D38" s="774" t="s"/>
      <c r="E38" s="774" t="s"/>
      <c r="F38" s="774" t="s"/>
      <c r="G38" s="774" t="s"/>
      <c r="H38" s="737" t="s"/>
      <c r="I38" s="737" t="s"/>
      <c r="J38" s="737" t="s"/>
      <c r="K38" s="737" t="s"/>
      <c r="L38" s="737" t="s"/>
      <c r="M38" s="737" t="s"/>
    </row>
    <row r="39" spans="1:13" customHeight="false">
      <c r="A39" s="737" t="s"/>
      <c r="B39" s="737" t="s"/>
      <c r="C39" s="774" t="s"/>
      <c r="D39" s="774" t="s"/>
      <c r="E39" s="774" t="s"/>
      <c r="F39" s="774" t="s"/>
      <c r="G39" s="774" t="s"/>
      <c r="H39" s="737" t="s"/>
      <c r="I39" s="737" t="s"/>
      <c r="J39" s="737" t="s"/>
      <c r="K39" s="737" t="s"/>
      <c r="L39" s="737" t="s"/>
      <c r="M39" s="737" t="s"/>
    </row>
    <row r="40" spans="1:13" customHeight="false">
      <c r="A40" s="737" t="s"/>
      <c r="B40" s="737" t="s"/>
      <c r="C40" s="774" t="s"/>
      <c r="D40" s="774" t="s"/>
      <c r="E40" s="774" t="s"/>
      <c r="F40" s="774" t="s"/>
      <c r="G40" s="774" t="s"/>
      <c r="H40" s="737" t="s"/>
      <c r="I40" s="737" t="s"/>
      <c r="J40" s="737" t="s"/>
      <c r="K40" s="737" t="s"/>
      <c r="L40" s="737" t="s"/>
      <c r="M40" s="737" t="s"/>
    </row>
    <row r="41" spans="1:13" customHeight="false">
      <c r="A41" s="737" t="s"/>
      <c r="B41" s="737" t="s"/>
      <c r="C41" s="774" t="s"/>
      <c r="D41" s="774" t="s"/>
      <c r="E41" s="774" t="s"/>
      <c r="F41" s="774" t="s"/>
      <c r="G41" s="774" t="s"/>
      <c r="H41" s="737" t="s"/>
      <c r="I41" s="737" t="s"/>
      <c r="J41" s="737" t="s"/>
      <c r="K41" s="737" t="s"/>
      <c r="L41" s="737" t="s"/>
      <c r="M41" s="737" t="s"/>
    </row>
    <row r="42" spans="1:13" customHeight="false">
      <c r="A42" s="737" t="s"/>
      <c r="B42" s="737" t="s"/>
      <c r="C42" s="774" t="s"/>
      <c r="D42" s="774" t="s"/>
      <c r="E42" s="774" t="s"/>
      <c r="F42" s="774" t="s"/>
      <c r="G42" s="774" t="s"/>
      <c r="H42" s="737" t="s"/>
      <c r="I42" s="737" t="s"/>
      <c r="J42" s="737" t="s"/>
      <c r="K42" s="737" t="s"/>
      <c r="L42" s="737" t="s"/>
      <c r="M42" s="737" t="s"/>
    </row>
    <row r="43" spans="1:13" customHeight="false">
      <c r="A43" s="737" t="s"/>
      <c r="B43" s="737" t="s"/>
      <c r="C43" s="774" t="s"/>
      <c r="D43" s="774" t="s"/>
      <c r="E43" s="774" t="s"/>
      <c r="F43" s="774" t="s"/>
      <c r="G43" s="774" t="s"/>
      <c r="H43" s="737" t="s"/>
      <c r="I43" s="737" t="s"/>
      <c r="J43" s="737" t="s"/>
      <c r="K43" s="737" t="s"/>
      <c r="L43" s="737" t="s"/>
      <c r="M43" s="737" t="s"/>
    </row>
    <row r="44" spans="1:13" customHeight="false">
      <c r="A44" s="737" t="s"/>
      <c r="B44" s="737" t="s"/>
      <c r="C44" s="774" t="s"/>
      <c r="D44" s="774" t="s"/>
      <c r="E44" s="774" t="s"/>
      <c r="F44" s="774" t="s"/>
      <c r="G44" s="774" t="s"/>
      <c r="H44" s="737" t="s"/>
      <c r="I44" s="737" t="s"/>
      <c r="J44" s="737" t="s"/>
      <c r="K44" s="737" t="s"/>
      <c r="L44" s="737" t="s"/>
      <c r="M44" s="737" t="s"/>
    </row>
    <row r="45" spans="1:13" customHeight="false">
      <c r="A45" s="737" t="s"/>
      <c r="B45" s="737" t="s"/>
      <c r="C45" s="774" t="s"/>
      <c r="D45" s="774" t="s"/>
      <c r="E45" s="774" t="s"/>
      <c r="F45" s="774" t="s"/>
      <c r="G45" s="774" t="s"/>
      <c r="H45" s="737" t="s"/>
      <c r="I45" s="737" t="s"/>
      <c r="J45" s="737" t="s"/>
      <c r="K45" s="737" t="s"/>
      <c r="L45" s="737" t="s"/>
      <c r="M45" s="737" t="s"/>
    </row>
    <row r="46" spans="1:13" customHeight="false">
      <c r="A46" s="737" t="s"/>
      <c r="B46" s="737" t="s"/>
      <c r="C46" s="774" t="s"/>
      <c r="D46" s="774" t="s"/>
      <c r="E46" s="774" t="s"/>
      <c r="F46" s="774" t="s"/>
      <c r="G46" s="774" t="s"/>
      <c r="H46" s="737" t="s"/>
      <c r="I46" s="737" t="s"/>
      <c r="J46" s="737" t="s"/>
      <c r="K46" s="737" t="s"/>
      <c r="L46" s="737" t="s"/>
      <c r="M46" s="737" t="s"/>
    </row>
    <row r="47" spans="1:13" customHeight="false">
      <c r="A47" s="737" t="s"/>
      <c r="B47" s="737" t="s"/>
      <c r="C47" s="774" t="s"/>
      <c r="D47" s="774" t="s"/>
      <c r="E47" s="774" t="s"/>
      <c r="F47" s="774" t="s"/>
      <c r="G47" s="774" t="s"/>
      <c r="H47" s="737" t="s"/>
      <c r="I47" s="737" t="s"/>
      <c r="J47" s="737" t="s"/>
      <c r="K47" s="737" t="s"/>
      <c r="L47" s="737" t="s"/>
      <c r="M47" s="737" t="s"/>
    </row>
    <row r="48" spans="1:13" customHeight="false">
      <c r="A48" s="737" t="s"/>
      <c r="B48" s="737" t="s"/>
      <c r="C48" s="774" t="s"/>
      <c r="D48" s="774" t="s"/>
      <c r="E48" s="774" t="s"/>
      <c r="F48" s="774" t="s"/>
      <c r="G48" s="774" t="s"/>
      <c r="H48" s="737" t="s"/>
      <c r="I48" s="737" t="s"/>
      <c r="J48" s="737" t="s"/>
      <c r="K48" s="737" t="s"/>
      <c r="L48" s="737" t="s"/>
      <c r="M48" s="737" t="s"/>
    </row>
    <row r="49" spans="1:13" customHeight="false">
      <c r="A49" s="737" t="s"/>
      <c r="B49" s="737" t="s"/>
      <c r="C49" s="774" t="s"/>
      <c r="D49" s="774" t="s"/>
      <c r="E49" s="774" t="s"/>
      <c r="F49" s="774" t="s"/>
      <c r="G49" s="774" t="s"/>
      <c r="H49" s="737" t="s"/>
      <c r="I49" s="737" t="s"/>
      <c r="J49" s="737" t="s"/>
      <c r="K49" s="737" t="s"/>
      <c r="L49" s="737" t="s"/>
      <c r="M49" s="737" t="s"/>
    </row>
    <row r="50" spans="1:13" customHeight="false">
      <c r="A50" s="737" t="s"/>
      <c r="B50" s="737" t="s"/>
      <c r="C50" s="774" t="s"/>
      <c r="D50" s="774" t="s"/>
      <c r="E50" s="774" t="s"/>
      <c r="F50" s="774" t="s"/>
      <c r="G50" s="774" t="s"/>
      <c r="H50" s="737" t="s"/>
      <c r="I50" s="737" t="s"/>
      <c r="J50" s="737" t="s"/>
      <c r="K50" s="737" t="s"/>
      <c r="L50" s="737" t="s"/>
      <c r="M50" s="737" t="s"/>
    </row>
    <row r="51" spans="1:13" customHeight="false">
      <c r="A51" s="737" t="s"/>
      <c r="B51" s="737" t="s"/>
      <c r="C51" s="774" t="s"/>
      <c r="D51" s="774" t="s"/>
      <c r="E51" s="774" t="s"/>
      <c r="F51" s="774" t="s"/>
      <c r="G51" s="774" t="s"/>
      <c r="H51" s="737" t="s"/>
      <c r="I51" s="737" t="s"/>
      <c r="J51" s="737" t="s"/>
      <c r="K51" s="737" t="s"/>
      <c r="L51" s="737" t="s"/>
      <c r="M51" s="737" t="s"/>
    </row>
    <row r="52" spans="1:13" customHeight="false">
      <c r="A52" s="737" t="s"/>
      <c r="B52" s="737" t="s"/>
      <c r="C52" s="774" t="s"/>
      <c r="D52" s="774" t="s"/>
      <c r="E52" s="774" t="s"/>
      <c r="F52" s="774" t="s"/>
      <c r="G52" s="774" t="s"/>
      <c r="H52" s="737" t="s"/>
      <c r="I52" s="737" t="s"/>
      <c r="J52" s="737" t="s"/>
      <c r="K52" s="737" t="s"/>
      <c r="L52" s="737" t="s"/>
      <c r="M52" s="737" t="s"/>
    </row>
    <row r="53" spans="1:13" customHeight="false">
      <c r="A53" s="737" t="s"/>
      <c r="B53" s="737" t="s"/>
      <c r="C53" s="774" t="s"/>
      <c r="D53" s="774" t="s"/>
      <c r="E53" s="774" t="s"/>
      <c r="F53" s="774" t="s"/>
      <c r="G53" s="774" t="s"/>
      <c r="H53" s="737" t="s"/>
      <c r="I53" s="737" t="s"/>
      <c r="J53" s="737" t="s"/>
      <c r="K53" s="737" t="s"/>
      <c r="L53" s="737" t="s"/>
      <c r="M53" s="737" t="s"/>
    </row>
    <row r="54" spans="1:13" customHeight="false">
      <c r="A54" s="737" t="s"/>
      <c r="B54" s="737" t="s"/>
      <c r="C54" s="774" t="s"/>
      <c r="D54" s="774" t="s"/>
      <c r="E54" s="774" t="s"/>
      <c r="F54" s="774" t="s"/>
      <c r="G54" s="774" t="s"/>
      <c r="H54" s="737" t="s"/>
      <c r="I54" s="737" t="s"/>
      <c r="J54" s="737" t="s"/>
      <c r="K54" s="737" t="s"/>
      <c r="L54" s="737" t="s"/>
      <c r="M54" s="737" t="s"/>
    </row>
    <row r="55" spans="1:13" customHeight="false">
      <c r="A55" s="737" t="s"/>
      <c r="B55" s="737" t="s"/>
      <c r="C55" s="774" t="s"/>
      <c r="D55" s="774" t="s"/>
      <c r="E55" s="774" t="s"/>
      <c r="F55" s="774" t="s"/>
      <c r="G55" s="774" t="s"/>
      <c r="H55" s="737" t="s"/>
      <c r="I55" s="737" t="s"/>
      <c r="J55" s="737" t="s"/>
      <c r="K55" s="737" t="s"/>
      <c r="L55" s="737" t="s"/>
      <c r="M55" s="737" t="s"/>
    </row>
    <row r="56" spans="1:13" customHeight="false">
      <c r="A56" s="737" t="s"/>
      <c r="B56" s="737" t="s"/>
      <c r="C56" s="774" t="s"/>
      <c r="D56" s="774" t="s"/>
      <c r="E56" s="774" t="s"/>
      <c r="F56" s="774" t="s"/>
      <c r="G56" s="774" t="s"/>
      <c r="H56" s="737" t="s"/>
      <c r="I56" s="737" t="s"/>
      <c r="J56" s="737" t="s"/>
      <c r="K56" s="737" t="s"/>
      <c r="L56" s="737" t="s"/>
      <c r="M56" s="737" t="s"/>
    </row>
    <row r="57" spans="1:13" customHeight="false">
      <c r="A57" s="737" t="s"/>
      <c r="B57" s="737" t="s"/>
      <c r="C57" s="774" t="s"/>
      <c r="D57" s="774" t="s"/>
      <c r="E57" s="774" t="s"/>
      <c r="F57" s="774" t="s"/>
      <c r="G57" s="774" t="s"/>
      <c r="H57" s="737" t="s"/>
      <c r="I57" s="737" t="s"/>
      <c r="J57" s="737" t="s"/>
      <c r="K57" s="737" t="s"/>
      <c r="L57" s="737" t="s"/>
      <c r="M57" s="737" t="s"/>
    </row>
    <row r="58" spans="1:13" customHeight="false">
      <c r="A58" s="737" t="s"/>
      <c r="B58" s="737" t="s"/>
      <c r="C58" s="774" t="s"/>
      <c r="D58" s="774" t="s"/>
      <c r="E58" s="774" t="s"/>
      <c r="F58" s="774" t="s"/>
      <c r="G58" s="774" t="s"/>
      <c r="H58" s="737" t="s"/>
      <c r="I58" s="737" t="s"/>
      <c r="J58" s="737" t="s"/>
      <c r="K58" s="737" t="s"/>
      <c r="L58" s="737" t="s"/>
      <c r="M58" s="737" t="s"/>
    </row>
    <row r="59" spans="1:13" customHeight="false">
      <c r="A59" s="737" t="s"/>
      <c r="B59" s="737" t="s"/>
      <c r="C59" s="774" t="s"/>
      <c r="D59" s="774" t="s"/>
      <c r="E59" s="774" t="s"/>
      <c r="F59" s="774" t="s"/>
      <c r="G59" s="774" t="s"/>
      <c r="H59" s="737" t="s"/>
      <c r="I59" s="737" t="s"/>
      <c r="J59" s="737" t="s"/>
      <c r="K59" s="737" t="s"/>
      <c r="L59" s="737" t="s"/>
      <c r="M59" s="737" t="s"/>
    </row>
    <row r="60" spans="1:13" customHeight="false">
      <c r="A60" s="737" t="s"/>
      <c r="B60" s="737" t="s"/>
      <c r="C60" s="774" t="s"/>
      <c r="D60" s="774" t="s"/>
      <c r="E60" s="774" t="s"/>
      <c r="F60" s="774" t="s"/>
      <c r="G60" s="774" t="s"/>
      <c r="H60" s="737" t="s"/>
      <c r="I60" s="737" t="s"/>
      <c r="J60" s="737" t="s"/>
      <c r="K60" s="737" t="s"/>
      <c r="L60" s="737" t="s"/>
      <c r="M60" s="737" t="s"/>
    </row>
    <row r="61" spans="1:13" customHeight="false">
      <c r="A61" s="737" t="s"/>
      <c r="B61" s="737" t="s"/>
      <c r="C61" s="774" t="s"/>
      <c r="D61" s="774" t="s"/>
      <c r="E61" s="774" t="s"/>
      <c r="F61" s="774" t="s"/>
      <c r="G61" s="774" t="s"/>
      <c r="H61" s="737" t="s"/>
      <c r="I61" s="737" t="s"/>
      <c r="J61" s="737" t="s"/>
      <c r="K61" s="737" t="s"/>
      <c r="L61" s="737" t="s"/>
      <c r="M61" s="737" t="s"/>
    </row>
    <row r="62" spans="1:13" customHeight="false">
      <c r="A62" s="737" t="s"/>
      <c r="B62" s="737" t="s"/>
      <c r="C62" s="774" t="s"/>
      <c r="D62" s="774" t="s"/>
      <c r="E62" s="774" t="s"/>
      <c r="F62" s="774" t="s"/>
      <c r="G62" s="774" t="s"/>
      <c r="H62" s="737" t="s"/>
      <c r="I62" s="737" t="s"/>
      <c r="J62" s="737" t="s"/>
      <c r="K62" s="737" t="s"/>
      <c r="L62" s="737" t="s"/>
      <c r="M62" s="737" t="s"/>
    </row>
    <row r="63" spans="1:13" customHeight="false">
      <c r="A63" s="737" t="s"/>
      <c r="B63" s="737" t="s"/>
      <c r="C63" s="774" t="s"/>
      <c r="D63" s="774" t="s"/>
      <c r="E63" s="774" t="s"/>
      <c r="F63" s="774" t="s"/>
      <c r="G63" s="774" t="s"/>
      <c r="H63" s="737" t="s"/>
      <c r="I63" s="737" t="s"/>
      <c r="J63" s="737" t="s"/>
      <c r="K63" s="737" t="s"/>
      <c r="L63" s="737" t="s"/>
      <c r="M63" s="737" t="s"/>
    </row>
    <row r="64" spans="1:13" customHeight="false">
      <c r="A64" s="737" t="s"/>
      <c r="B64" s="737" t="s"/>
      <c r="C64" s="774" t="s"/>
      <c r="D64" s="774" t="s"/>
      <c r="E64" s="774" t="s"/>
      <c r="F64" s="774" t="s"/>
      <c r="G64" s="774" t="s"/>
      <c r="H64" s="737" t="s"/>
      <c r="I64" s="737" t="s"/>
      <c r="J64" s="737" t="s"/>
      <c r="K64" s="737" t="s"/>
      <c r="L64" s="737" t="s"/>
      <c r="M64" s="737" t="s"/>
    </row>
    <row r="65" spans="1:13" customHeight="false">
      <c r="A65" s="737" t="s"/>
      <c r="B65" s="737" t="s"/>
      <c r="C65" s="774" t="s"/>
      <c r="D65" s="774" t="s"/>
      <c r="E65" s="774" t="s"/>
      <c r="F65" s="774" t="s"/>
      <c r="G65" s="774" t="s"/>
      <c r="H65" s="737" t="s"/>
      <c r="I65" s="737" t="s"/>
      <c r="J65" s="737" t="s"/>
      <c r="K65" s="737" t="s"/>
      <c r="L65" s="737" t="s"/>
      <c r="M65" s="737" t="s"/>
    </row>
    <row r="66" spans="1:13" customHeight="false">
      <c r="A66" s="737" t="s"/>
      <c r="B66" s="737" t="s"/>
      <c r="C66" s="774" t="s"/>
      <c r="D66" s="774" t="s"/>
      <c r="E66" s="774" t="s"/>
      <c r="F66" s="774" t="s"/>
      <c r="G66" s="774" t="s"/>
      <c r="H66" s="737" t="s"/>
      <c r="I66" s="737" t="s"/>
      <c r="J66" s="737" t="s"/>
      <c r="K66" s="737" t="s"/>
      <c r="L66" s="737" t="s"/>
      <c r="M66" s="737" t="s"/>
    </row>
    <row r="67" spans="1:13" customHeight="false">
      <c r="A67" s="737" t="s"/>
      <c r="B67" s="737" t="s"/>
      <c r="C67" s="774" t="s"/>
      <c r="D67" s="774" t="s"/>
      <c r="E67" s="774" t="s"/>
      <c r="F67" s="774" t="s"/>
      <c r="G67" s="774" t="s"/>
      <c r="H67" s="737" t="s"/>
      <c r="I67" s="737" t="s"/>
      <c r="J67" s="737" t="s"/>
      <c r="K67" s="737" t="s"/>
      <c r="L67" s="737" t="s"/>
      <c r="M67" s="737" t="s"/>
    </row>
    <row r="68" spans="1:13" customHeight="false">
      <c r="A68" s="737" t="s"/>
      <c r="B68" s="737" t="s"/>
      <c r="C68" s="774" t="s"/>
      <c r="D68" s="774" t="s"/>
      <c r="E68" s="774" t="s"/>
      <c r="F68" s="774" t="s"/>
      <c r="G68" s="774" t="s"/>
      <c r="H68" s="737" t="s"/>
      <c r="I68" s="737" t="s"/>
      <c r="J68" s="737" t="s"/>
      <c r="K68" s="737" t="s"/>
      <c r="L68" s="737" t="s"/>
      <c r="M68" s="737" t="s"/>
    </row>
    <row r="69" spans="1:13" customHeight="false">
      <c r="A69" s="737" t="s"/>
      <c r="B69" s="737" t="s"/>
      <c r="C69" s="774" t="s"/>
      <c r="D69" s="774" t="s"/>
      <c r="E69" s="774" t="s"/>
      <c r="F69" s="774" t="s"/>
      <c r="G69" s="774" t="s"/>
      <c r="H69" s="737" t="s"/>
      <c r="I69" s="737" t="s"/>
      <c r="J69" s="737" t="s"/>
      <c r="K69" s="737" t="s"/>
      <c r="L69" s="737" t="s"/>
      <c r="M69" s="737" t="s"/>
    </row>
    <row r="70" spans="1:13" customHeight="false">
      <c r="A70" s="737" t="s"/>
      <c r="B70" s="737" t="s"/>
      <c r="C70" s="774" t="s"/>
      <c r="D70" s="774" t="s"/>
      <c r="E70" s="774" t="s"/>
      <c r="F70" s="774" t="s"/>
      <c r="G70" s="774" t="s"/>
      <c r="H70" s="737" t="s"/>
      <c r="I70" s="737" t="s"/>
      <c r="J70" s="737" t="s"/>
      <c r="K70" s="737" t="s"/>
      <c r="L70" s="737" t="s"/>
      <c r="M70" s="737" t="s"/>
    </row>
    <row r="71" spans="1:13" customHeight="false">
      <c r="A71" s="737" t="s"/>
      <c r="B71" s="737" t="s"/>
      <c r="C71" s="774" t="s"/>
      <c r="D71" s="774" t="s"/>
      <c r="E71" s="774" t="s"/>
      <c r="F71" s="774" t="s"/>
      <c r="G71" s="774" t="s"/>
      <c r="H71" s="737" t="s"/>
      <c r="I71" s="737" t="s"/>
      <c r="J71" s="737" t="s"/>
      <c r="K71" s="737" t="s"/>
      <c r="L71" s="737" t="s"/>
      <c r="M71" s="737" t="s"/>
    </row>
    <row r="72" spans="1:13" customHeight="false">
      <c r="A72" s="737" t="s"/>
      <c r="B72" s="737" t="s"/>
      <c r="C72" s="774" t="s"/>
      <c r="D72" s="774" t="s"/>
      <c r="E72" s="774" t="s"/>
      <c r="F72" s="774" t="s"/>
      <c r="G72" s="774" t="s"/>
      <c r="H72" s="737" t="s"/>
      <c r="I72" s="737" t="s"/>
      <c r="J72" s="737" t="s"/>
      <c r="K72" s="737" t="s"/>
      <c r="L72" s="737" t="s"/>
      <c r="M72" s="737" t="s"/>
    </row>
    <row r="73" spans="1:13" customHeight="false">
      <c r="A73" s="737" t="s"/>
      <c r="B73" s="737" t="s"/>
      <c r="C73" s="774" t="s"/>
      <c r="D73" s="774" t="s"/>
      <c r="E73" s="774" t="s"/>
      <c r="F73" s="774" t="s"/>
      <c r="G73" s="774" t="s"/>
      <c r="H73" s="737" t="s"/>
      <c r="I73" s="737" t="s"/>
      <c r="J73" s="737" t="s"/>
      <c r="K73" s="737" t="s"/>
      <c r="L73" s="737" t="s"/>
      <c r="M73" s="737" t="s"/>
    </row>
    <row r="74" spans="1:13" customHeight="false">
      <c r="A74" s="737" t="s"/>
      <c r="B74" s="737" t="s"/>
      <c r="C74" s="774" t="s"/>
      <c r="D74" s="774" t="s"/>
      <c r="E74" s="774" t="s"/>
      <c r="F74" s="774" t="s"/>
      <c r="G74" s="774" t="s"/>
      <c r="H74" s="737" t="s"/>
      <c r="I74" s="737" t="s"/>
      <c r="J74" s="737" t="s"/>
      <c r="K74" s="737" t="s"/>
      <c r="L74" s="737" t="s"/>
      <c r="M74" s="737" t="s"/>
    </row>
    <row r="75" spans="1:13" customHeight="false">
      <c r="A75" s="737" t="s"/>
      <c r="B75" s="737" t="s"/>
      <c r="C75" s="774" t="s"/>
      <c r="D75" s="774" t="s"/>
      <c r="E75" s="774" t="s"/>
      <c r="F75" s="774" t="s"/>
      <c r="G75" s="774" t="s"/>
      <c r="H75" s="737" t="s"/>
      <c r="I75" s="737" t="s"/>
      <c r="J75" s="737" t="s"/>
      <c r="K75" s="737" t="s"/>
      <c r="L75" s="737" t="s"/>
      <c r="M75" s="737" t="s"/>
    </row>
    <row r="76" spans="1:13" customHeight="false">
      <c r="A76" s="737" t="s"/>
      <c r="B76" s="737" t="s"/>
      <c r="C76" s="774" t="s"/>
      <c r="D76" s="774" t="s"/>
      <c r="E76" s="774" t="s"/>
      <c r="F76" s="774" t="s"/>
      <c r="G76" s="774" t="s"/>
      <c r="H76" s="737" t="s"/>
      <c r="I76" s="737" t="s"/>
      <c r="J76" s="737" t="s"/>
      <c r="K76" s="737" t="s"/>
      <c r="L76" s="737" t="s"/>
      <c r="M76" s="737" t="s"/>
    </row>
    <row r="77" spans="1:13" customHeight="false">
      <c r="A77" s="737" t="s"/>
      <c r="B77" s="737" t="s"/>
      <c r="C77" s="774" t="s"/>
      <c r="D77" s="774" t="s"/>
      <c r="E77" s="774" t="s"/>
      <c r="F77" s="774" t="s"/>
      <c r="G77" s="774" t="s"/>
      <c r="H77" s="737" t="s"/>
      <c r="I77" s="737" t="s"/>
      <c r="J77" s="737" t="s"/>
      <c r="K77" s="737" t="s"/>
      <c r="L77" s="737" t="s"/>
      <c r="M77" s="737" t="s"/>
    </row>
    <row r="78" spans="1:13" customHeight="false">
      <c r="A78" s="737" t="s"/>
      <c r="B78" s="737" t="s"/>
      <c r="C78" s="774" t="s"/>
      <c r="D78" s="774" t="s"/>
      <c r="E78" s="774" t="s"/>
      <c r="F78" s="774" t="s"/>
      <c r="G78" s="774" t="s"/>
      <c r="H78" s="737" t="s"/>
      <c r="I78" s="737" t="s"/>
      <c r="J78" s="737" t="s"/>
      <c r="K78" s="737" t="s"/>
      <c r="L78" s="737" t="s"/>
      <c r="M78" s="737" t="s"/>
    </row>
    <row r="79" spans="1:13" customHeight="false">
      <c r="A79" s="737" t="s"/>
      <c r="B79" s="737" t="s"/>
      <c r="C79" s="774" t="s"/>
      <c r="D79" s="774" t="s"/>
      <c r="E79" s="774" t="s"/>
      <c r="F79" s="774" t="s"/>
      <c r="G79" s="774" t="s"/>
      <c r="H79" s="737" t="s"/>
      <c r="I79" s="737" t="s"/>
      <c r="J79" s="737" t="s"/>
      <c r="K79" s="737" t="s"/>
      <c r="L79" s="737" t="s"/>
      <c r="M79" s="737" t="s"/>
    </row>
    <row r="80" spans="1:13" customHeight="false">
      <c r="A80" s="737" t="s"/>
      <c r="B80" s="737" t="s"/>
      <c r="C80" s="774" t="s"/>
      <c r="D80" s="774" t="s"/>
      <c r="E80" s="774" t="s"/>
      <c r="F80" s="774" t="s"/>
      <c r="G80" s="774" t="s"/>
      <c r="H80" s="737" t="s"/>
      <c r="I80" s="737" t="s"/>
      <c r="J80" s="737" t="s"/>
      <c r="K80" s="737" t="s"/>
      <c r="L80" s="737" t="s"/>
      <c r="M80" s="737" t="s"/>
    </row>
    <row r="81" spans="1:13" customHeight="false">
      <c r="A81" s="737" t="s"/>
      <c r="B81" s="737" t="s"/>
      <c r="C81" s="774" t="s"/>
      <c r="D81" s="774" t="s"/>
      <c r="E81" s="774" t="s"/>
      <c r="F81" s="774" t="s"/>
      <c r="G81" s="774" t="s"/>
      <c r="H81" s="737" t="s"/>
      <c r="I81" s="737" t="s"/>
      <c r="J81" s="737" t="s"/>
      <c r="K81" s="737" t="s"/>
      <c r="L81" s="737" t="s"/>
      <c r="M81" s="737" t="s"/>
    </row>
    <row r="82" spans="1:13" customHeight="false">
      <c r="A82" s="737" t="s"/>
      <c r="B82" s="737" t="s"/>
      <c r="C82" s="774" t="s"/>
      <c r="D82" s="774" t="s"/>
      <c r="E82" s="774" t="s"/>
      <c r="F82" s="774" t="s"/>
      <c r="G82" s="774" t="s"/>
      <c r="H82" s="737" t="s"/>
      <c r="I82" s="737" t="s"/>
      <c r="J82" s="737" t="s"/>
      <c r="K82" s="737" t="s"/>
      <c r="L82" s="737" t="s"/>
      <c r="M82" s="737" t="s"/>
    </row>
    <row r="83" spans="1:13" customHeight="false">
      <c r="A83" s="737" t="s"/>
      <c r="B83" s="737" t="s"/>
      <c r="C83" s="774" t="s"/>
      <c r="D83" s="774" t="s"/>
      <c r="E83" s="774" t="s"/>
      <c r="F83" s="774" t="s"/>
      <c r="G83" s="774" t="s"/>
      <c r="H83" s="737" t="s"/>
      <c r="I83" s="737" t="s"/>
      <c r="J83" s="737" t="s"/>
      <c r="K83" s="737" t="s"/>
      <c r="L83" s="737" t="s"/>
      <c r="M83" s="737" t="s"/>
    </row>
    <row r="84" spans="1:13" customHeight="false">
      <c r="A84" s="737" t="s"/>
      <c r="B84" s="737" t="s"/>
      <c r="C84" s="774" t="s"/>
      <c r="D84" s="774" t="s"/>
      <c r="E84" s="774" t="s"/>
      <c r="F84" s="774" t="s"/>
      <c r="G84" s="774" t="s"/>
      <c r="H84" s="737" t="s"/>
      <c r="I84" s="737" t="s"/>
      <c r="J84" s="737" t="s"/>
      <c r="K84" s="737" t="s"/>
      <c r="L84" s="737" t="s"/>
      <c r="M84" s="737" t="s"/>
    </row>
    <row r="85" spans="1:13" customHeight="false">
      <c r="A85" s="737" t="s"/>
      <c r="B85" s="737" t="s"/>
      <c r="C85" s="774" t="s"/>
      <c r="D85" s="774" t="s"/>
      <c r="E85" s="774" t="s"/>
      <c r="F85" s="774" t="s"/>
      <c r="G85" s="774" t="s"/>
      <c r="H85" s="737" t="s"/>
      <c r="I85" s="737" t="s"/>
      <c r="J85" s="737" t="s"/>
      <c r="K85" s="737" t="s"/>
      <c r="L85" s="737" t="s"/>
      <c r="M85" s="737" t="s"/>
    </row>
    <row r="86" spans="1:13" customHeight="false">
      <c r="A86" s="737" t="s"/>
      <c r="B86" s="737" t="s"/>
      <c r="C86" s="774" t="s"/>
      <c r="D86" s="774" t="s"/>
      <c r="E86" s="774" t="s"/>
      <c r="F86" s="774" t="s"/>
      <c r="G86" s="774" t="s"/>
      <c r="H86" s="737" t="s"/>
      <c r="I86" s="737" t="s"/>
      <c r="J86" s="737" t="s"/>
      <c r="K86" s="737" t="s"/>
      <c r="L86" s="737" t="s"/>
      <c r="M86" s="737" t="s"/>
    </row>
    <row r="87" spans="1:13" customHeight="false">
      <c r="A87" s="737" t="s"/>
      <c r="B87" s="737" t="s"/>
      <c r="C87" s="774" t="s"/>
      <c r="D87" s="774" t="s"/>
      <c r="E87" s="774" t="s"/>
      <c r="F87" s="774" t="s"/>
      <c r="G87" s="774" t="s"/>
      <c r="H87" s="737" t="s"/>
      <c r="I87" s="737" t="s"/>
      <c r="J87" s="737" t="s"/>
      <c r="K87" s="737" t="s"/>
      <c r="L87" s="737" t="s"/>
      <c r="M87" s="737" t="s"/>
    </row>
    <row r="88" spans="1:13" customHeight="false">
      <c r="A88" s="737" t="s"/>
      <c r="B88" s="737" t="s"/>
      <c r="C88" s="774" t="s"/>
      <c r="D88" s="774" t="s"/>
      <c r="E88" s="774" t="s"/>
      <c r="F88" s="774" t="s"/>
      <c r="G88" s="774" t="s"/>
      <c r="H88" s="737" t="s"/>
      <c r="I88" s="737" t="s"/>
      <c r="J88" s="737" t="s"/>
      <c r="K88" s="737" t="s"/>
      <c r="L88" s="737" t="s"/>
      <c r="M88" s="737" t="s"/>
    </row>
    <row r="89" spans="1:13" customHeight="false">
      <c r="A89" s="737" t="s"/>
      <c r="B89" s="737" t="s"/>
      <c r="C89" s="774" t="s"/>
      <c r="D89" s="774" t="s"/>
      <c r="E89" s="774" t="s"/>
      <c r="F89" s="774" t="s"/>
      <c r="G89" s="774" t="s"/>
      <c r="H89" s="737" t="s"/>
      <c r="I89" s="737" t="s"/>
      <c r="J89" s="737" t="s"/>
      <c r="K89" s="737" t="s"/>
      <c r="L89" s="737" t="s"/>
      <c r="M89" s="737" t="s"/>
    </row>
    <row r="90" spans="1:13" customHeight="false">
      <c r="A90" s="737" t="s"/>
      <c r="B90" s="737" t="s"/>
      <c r="C90" s="774" t="s"/>
      <c r="D90" s="774" t="s"/>
      <c r="E90" s="774" t="s"/>
      <c r="F90" s="774" t="s"/>
      <c r="G90" s="774" t="s"/>
      <c r="H90" s="737" t="s"/>
      <c r="I90" s="737" t="s"/>
      <c r="J90" s="737" t="s"/>
      <c r="K90" s="737" t="s"/>
      <c r="L90" s="737" t="s"/>
      <c r="M90" s="737" t="s"/>
    </row>
    <row r="91" spans="1:13" customHeight="false">
      <c r="A91" s="737" t="s"/>
      <c r="B91" s="737" t="s"/>
      <c r="C91" s="774" t="s"/>
      <c r="D91" s="774" t="s"/>
      <c r="E91" s="774" t="s"/>
      <c r="F91" s="774" t="s"/>
      <c r="G91" s="774" t="s"/>
      <c r="H91" s="737" t="s"/>
      <c r="I91" s="737" t="s"/>
      <c r="J91" s="737" t="s"/>
      <c r="K91" s="737" t="s"/>
      <c r="L91" s="737" t="s"/>
      <c r="M91" s="737" t="s"/>
    </row>
    <row r="92" spans="1:13" customHeight="false">
      <c r="A92" s="737" t="s"/>
      <c r="B92" s="737" t="s"/>
      <c r="C92" s="774" t="s"/>
      <c r="D92" s="774" t="s"/>
      <c r="E92" s="774" t="s"/>
      <c r="F92" s="774" t="s"/>
      <c r="G92" s="774" t="s"/>
      <c r="H92" s="737" t="s"/>
      <c r="I92" s="737" t="s"/>
      <c r="J92" s="737" t="s"/>
      <c r="K92" s="737" t="s"/>
      <c r="L92" s="737" t="s"/>
      <c r="M92" s="737" t="s"/>
    </row>
    <row r="93" spans="1:13" customHeight="false">
      <c r="A93" s="737" t="s"/>
      <c r="B93" s="737" t="s"/>
      <c r="C93" s="774" t="s"/>
      <c r="D93" s="774" t="s"/>
      <c r="E93" s="774" t="s"/>
      <c r="F93" s="774" t="s"/>
      <c r="G93" s="774" t="s"/>
      <c r="H93" s="737" t="s"/>
      <c r="I93" s="737" t="s"/>
      <c r="J93" s="737" t="s"/>
      <c r="K93" s="737" t="s"/>
      <c r="L93" s="737" t="s"/>
      <c r="M93" s="737" t="s"/>
    </row>
    <row r="94" spans="1:13" customHeight="false">
      <c r="A94" s="737" t="s"/>
      <c r="B94" s="737" t="s"/>
      <c r="C94" s="774" t="s"/>
      <c r="D94" s="774" t="s"/>
      <c r="E94" s="774" t="s"/>
      <c r="F94" s="774" t="s"/>
      <c r="G94" s="774" t="s"/>
      <c r="H94" s="737" t="s"/>
      <c r="I94" s="737" t="s"/>
      <c r="J94" s="737" t="s"/>
      <c r="K94" s="737" t="s"/>
      <c r="L94" s="737" t="s"/>
      <c r="M94" s="737" t="s"/>
    </row>
    <row r="95" spans="1:13" customHeight="false">
      <c r="A95" s="737" t="s"/>
      <c r="B95" s="737" t="s"/>
      <c r="C95" s="774" t="s"/>
      <c r="D95" s="774" t="s"/>
      <c r="E95" s="774" t="s"/>
      <c r="F95" s="774" t="s"/>
      <c r="G95" s="774" t="s"/>
      <c r="H95" s="737" t="s"/>
      <c r="I95" s="737" t="s"/>
      <c r="J95" s="737" t="s"/>
      <c r="K95" s="737" t="s"/>
      <c r="L95" s="737" t="s"/>
      <c r="M95" s="737" t="s"/>
    </row>
    <row r="96" spans="1:13" customHeight="false">
      <c r="A96" s="737" t="s"/>
      <c r="B96" s="737" t="s"/>
      <c r="C96" s="774" t="s"/>
      <c r="D96" s="774" t="s"/>
      <c r="E96" s="774" t="s"/>
      <c r="F96" s="774" t="s"/>
      <c r="G96" s="774" t="s"/>
      <c r="H96" s="737" t="s"/>
      <c r="I96" s="737" t="s"/>
      <c r="J96" s="737" t="s"/>
      <c r="K96" s="737" t="s"/>
      <c r="L96" s="737" t="s"/>
      <c r="M96" s="737" t="s"/>
    </row>
    <row r="97" spans="1:13" customHeight="false">
      <c r="A97" s="737" t="s"/>
      <c r="B97" s="737" t="s"/>
      <c r="C97" s="774" t="s"/>
      <c r="D97" s="774" t="s"/>
      <c r="E97" s="774" t="s"/>
      <c r="F97" s="774" t="s"/>
      <c r="G97" s="774" t="s"/>
      <c r="H97" s="737" t="s"/>
      <c r="I97" s="737" t="s"/>
      <c r="J97" s="737" t="s"/>
      <c r="K97" s="737" t="s"/>
      <c r="L97" s="737" t="s"/>
      <c r="M97" s="737" t="s"/>
    </row>
    <row r="98" spans="1:13" customHeight="false">
      <c r="A98" s="737" t="s"/>
      <c r="B98" s="737" t="s"/>
      <c r="C98" s="774" t="s"/>
      <c r="D98" s="774" t="s"/>
      <c r="E98" s="774" t="s"/>
      <c r="F98" s="774" t="s"/>
      <c r="G98" s="774" t="s"/>
      <c r="H98" s="737" t="s"/>
      <c r="I98" s="737" t="s"/>
      <c r="J98" s="737" t="s"/>
      <c r="K98" s="737" t="s"/>
      <c r="L98" s="737" t="s"/>
      <c r="M98" s="737" t="s"/>
    </row>
    <row r="99" spans="1:13" customHeight="false">
      <c r="A99" s="737" t="s"/>
      <c r="B99" s="737" t="s"/>
      <c r="C99" s="774" t="s"/>
      <c r="D99" s="774" t="s"/>
      <c r="E99" s="774" t="s"/>
      <c r="F99" s="774" t="s"/>
      <c r="G99" s="774" t="s"/>
      <c r="H99" s="737" t="s"/>
      <c r="I99" s="737" t="s"/>
      <c r="J99" s="737" t="s"/>
      <c r="K99" s="737" t="s"/>
      <c r="L99" s="737" t="s"/>
      <c r="M99" s="737" t="s"/>
    </row>
    <row r="100" spans="1:13" customHeight="false">
      <c r="A100" s="737" t="s"/>
      <c r="B100" s="737" t="s"/>
      <c r="C100" s="774" t="s"/>
      <c r="D100" s="774" t="s"/>
      <c r="E100" s="774" t="s"/>
      <c r="F100" s="774" t="s"/>
      <c r="G100" s="774" t="s"/>
      <c r="H100" s="737" t="s"/>
      <c r="I100" s="737" t="s"/>
      <c r="J100" s="737" t="s"/>
      <c r="K100" s="737" t="s"/>
      <c r="L100" s="737" t="s"/>
      <c r="M100" s="737" t="s"/>
    </row>
    <row r="101" spans="1:13" customHeight="false">
      <c r="A101" s="737" t="s"/>
      <c r="B101" s="737" t="s"/>
      <c r="C101" s="774" t="s"/>
      <c r="D101" s="774" t="s"/>
      <c r="E101" s="774" t="s"/>
      <c r="F101" s="774" t="s"/>
      <c r="G101" s="774" t="s"/>
      <c r="H101" s="737" t="s"/>
      <c r="I101" s="737" t="s"/>
      <c r="J101" s="737" t="s"/>
      <c r="K101" s="737" t="s"/>
      <c r="L101" s="737" t="s"/>
      <c r="M101" s="737" t="s"/>
    </row>
    <row r="102" spans="1:13" customHeight="false">
      <c r="A102" s="737" t="s"/>
      <c r="B102" s="737" t="s"/>
      <c r="C102" s="774" t="s"/>
      <c r="D102" s="774" t="s"/>
      <c r="E102" s="774" t="s"/>
      <c r="F102" s="774" t="s"/>
      <c r="G102" s="774" t="s"/>
      <c r="H102" s="737" t="s"/>
      <c r="I102" s="737" t="s"/>
      <c r="J102" s="737" t="s"/>
      <c r="K102" s="737" t="s"/>
      <c r="L102" s="737" t="s"/>
      <c r="M102" s="737" t="s"/>
    </row>
    <row r="103" spans="1:13" customHeight="false">
      <c r="A103" s="737" t="s"/>
      <c r="B103" s="737" t="s"/>
      <c r="C103" s="774" t="s"/>
      <c r="D103" s="774" t="s"/>
      <c r="E103" s="774" t="s"/>
      <c r="F103" s="774" t="s"/>
      <c r="G103" s="774" t="s"/>
      <c r="H103" s="737" t="s"/>
      <c r="I103" s="737" t="s"/>
      <c r="J103" s="737" t="s"/>
      <c r="K103" s="737" t="s"/>
      <c r="L103" s="737" t="s"/>
      <c r="M103" s="737" t="s"/>
    </row>
    <row r="104" spans="1:13" customHeight="false">
      <c r="A104" s="737" t="s"/>
      <c r="B104" s="737" t="s"/>
      <c r="C104" s="774" t="s"/>
      <c r="D104" s="774" t="s"/>
      <c r="E104" s="774" t="s"/>
      <c r="F104" s="774" t="s"/>
      <c r="G104" s="774" t="s"/>
      <c r="H104" s="737" t="s"/>
      <c r="I104" s="737" t="s"/>
      <c r="J104" s="737" t="s"/>
      <c r="K104" s="737" t="s"/>
      <c r="L104" s="737" t="s"/>
      <c r="M104" s="737" t="s"/>
    </row>
    <row r="105" spans="1:13" customHeight="false">
      <c r="A105" s="737" t="s"/>
      <c r="B105" s="737" t="s"/>
      <c r="C105" s="774" t="s"/>
      <c r="D105" s="774" t="s"/>
      <c r="E105" s="774" t="s"/>
      <c r="F105" s="774" t="s"/>
      <c r="G105" s="774" t="s"/>
      <c r="H105" s="737" t="s"/>
      <c r="I105" s="737" t="s"/>
      <c r="J105" s="737" t="s"/>
      <c r="K105" s="737" t="s"/>
      <c r="L105" s="737" t="s"/>
      <c r="M105" s="737" t="s"/>
    </row>
    <row r="106" spans="1:13" customHeight="false">
      <c r="A106" s="737" t="s"/>
      <c r="B106" s="737" t="s"/>
      <c r="C106" s="774" t="s"/>
      <c r="D106" s="774" t="s"/>
      <c r="E106" s="774" t="s"/>
      <c r="F106" s="774" t="s"/>
      <c r="G106" s="774" t="s"/>
      <c r="H106" s="737" t="s"/>
      <c r="I106" s="737" t="s"/>
      <c r="J106" s="737" t="s"/>
      <c r="K106" s="737" t="s"/>
      <c r="L106" s="737" t="s"/>
      <c r="M106" s="737" t="s"/>
    </row>
    <row r="107" spans="1:13" customHeight="false">
      <c r="A107" s="737" t="s"/>
      <c r="B107" s="737" t="s"/>
      <c r="C107" s="774" t="s"/>
      <c r="D107" s="774" t="s"/>
      <c r="E107" s="774" t="s"/>
      <c r="F107" s="774" t="s"/>
      <c r="G107" s="774" t="s"/>
      <c r="H107" s="737" t="s"/>
      <c r="I107" s="737" t="s"/>
      <c r="J107" s="737" t="s"/>
      <c r="K107" s="737" t="s"/>
      <c r="L107" s="737" t="s"/>
      <c r="M107" s="737" t="s"/>
    </row>
    <row r="108" spans="1:13" customHeight="false">
      <c r="A108" s="737" t="s"/>
      <c r="B108" s="737" t="s"/>
      <c r="C108" s="774" t="s"/>
      <c r="D108" s="774" t="s"/>
      <c r="E108" s="774" t="s"/>
      <c r="F108" s="774" t="s"/>
      <c r="G108" s="774" t="s"/>
      <c r="H108" s="737" t="s"/>
      <c r="I108" s="737" t="s"/>
      <c r="J108" s="737" t="s"/>
      <c r="K108" s="737" t="s"/>
      <c r="L108" s="737" t="s"/>
      <c r="M108" s="737" t="s"/>
    </row>
    <row r="109" spans="1:13" customHeight="false">
      <c r="A109" s="737" t="s"/>
      <c r="B109" s="737" t="s"/>
      <c r="C109" s="774" t="s"/>
      <c r="D109" s="774" t="s"/>
      <c r="E109" s="774" t="s"/>
      <c r="F109" s="774" t="s"/>
      <c r="G109" s="774" t="s"/>
      <c r="H109" s="737" t="s"/>
      <c r="I109" s="737" t="s"/>
      <c r="J109" s="737" t="s"/>
      <c r="K109" s="737" t="s"/>
      <c r="L109" s="737" t="s"/>
      <c r="M109" s="737" t="s"/>
    </row>
    <row r="110" spans="1:13" customHeight="false">
      <c r="A110" s="737" t="s"/>
      <c r="B110" s="737" t="s"/>
      <c r="C110" s="774" t="s"/>
      <c r="D110" s="774" t="s"/>
      <c r="E110" s="774" t="s"/>
      <c r="F110" s="774" t="s"/>
      <c r="G110" s="774" t="s"/>
      <c r="H110" s="737" t="s"/>
      <c r="I110" s="737" t="s"/>
      <c r="J110" s="737" t="s"/>
      <c r="K110" s="737" t="s"/>
      <c r="L110" s="737" t="s"/>
      <c r="M110" s="737" t="s"/>
    </row>
    <row r="111" spans="1:13" customHeight="false">
      <c r="A111" s="737" t="s"/>
      <c r="B111" s="737" t="s"/>
      <c r="C111" s="774" t="s"/>
      <c r="D111" s="774" t="s"/>
      <c r="E111" s="774" t="s"/>
      <c r="F111" s="774" t="s"/>
      <c r="G111" s="774" t="s"/>
      <c r="H111" s="737" t="s"/>
      <c r="I111" s="737" t="s"/>
      <c r="J111" s="737" t="s"/>
      <c r="K111" s="737" t="s"/>
      <c r="L111" s="737" t="s"/>
      <c r="M111" s="737" t="s"/>
    </row>
    <row r="112" spans="1:13" customHeight="false">
      <c r="A112" s="737" t="s"/>
      <c r="B112" s="737" t="s"/>
      <c r="C112" s="774" t="s"/>
      <c r="D112" s="774" t="s"/>
      <c r="E112" s="774" t="s"/>
      <c r="F112" s="774" t="s"/>
      <c r="G112" s="774" t="s"/>
      <c r="H112" s="737" t="s"/>
      <c r="I112" s="737" t="s"/>
      <c r="J112" s="737" t="s"/>
      <c r="K112" s="737" t="s"/>
      <c r="L112" s="737" t="s"/>
      <c r="M112" s="737" t="s"/>
    </row>
    <row r="113" spans="1:13" customHeight="false">
      <c r="A113" s="737" t="s"/>
      <c r="B113" s="737" t="s"/>
      <c r="C113" s="774" t="s"/>
      <c r="D113" s="774" t="s"/>
      <c r="E113" s="774" t="s"/>
      <c r="F113" s="774" t="s"/>
      <c r="G113" s="774" t="s"/>
      <c r="H113" s="737" t="s"/>
      <c r="I113" s="737" t="s"/>
      <c r="J113" s="737" t="s"/>
      <c r="K113" s="737" t="s"/>
      <c r="L113" s="737" t="s"/>
      <c r="M113" s="737" t="s"/>
    </row>
    <row r="114" spans="1:13" customHeight="false">
      <c r="A114" s="737" t="s"/>
      <c r="B114" s="737" t="s"/>
      <c r="C114" s="774" t="s"/>
      <c r="D114" s="774" t="s"/>
      <c r="E114" s="774" t="s"/>
      <c r="F114" s="774" t="s"/>
      <c r="G114" s="774" t="s"/>
      <c r="H114" s="737" t="s"/>
      <c r="I114" s="737" t="s"/>
      <c r="J114" s="737" t="s"/>
      <c r="K114" s="737" t="s"/>
      <c r="L114" s="737" t="s"/>
      <c r="M114" s="737" t="s"/>
    </row>
    <row r="115" spans="1:13" customHeight="false">
      <c r="A115" s="737" t="s"/>
      <c r="B115" s="737" t="s"/>
      <c r="C115" s="774" t="s"/>
      <c r="D115" s="774" t="s"/>
      <c r="E115" s="774" t="s"/>
      <c r="F115" s="774" t="s"/>
      <c r="G115" s="774" t="s"/>
      <c r="H115" s="737" t="s"/>
      <c r="I115" s="737" t="s"/>
      <c r="J115" s="737" t="s"/>
      <c r="K115" s="737" t="s"/>
      <c r="L115" s="737" t="s"/>
      <c r="M115" s="737" t="s"/>
    </row>
    <row r="116" spans="1:13" customHeight="false">
      <c r="A116" s="737" t="s"/>
      <c r="B116" s="737" t="s"/>
      <c r="C116" s="774" t="s"/>
      <c r="D116" s="774" t="s"/>
      <c r="E116" s="774" t="s"/>
      <c r="F116" s="774" t="s"/>
      <c r="G116" s="774" t="s"/>
      <c r="H116" s="737" t="s"/>
      <c r="I116" s="737" t="s"/>
      <c r="J116" s="737" t="s"/>
      <c r="K116" s="737" t="s"/>
      <c r="L116" s="737" t="s"/>
      <c r="M116" s="737" t="s"/>
    </row>
    <row r="117" spans="1:13" customHeight="false">
      <c r="A117" s="737" t="s"/>
      <c r="B117" s="737" t="s"/>
      <c r="C117" s="774" t="s"/>
      <c r="D117" s="774" t="s"/>
      <c r="E117" s="774" t="s"/>
      <c r="F117" s="774" t="s"/>
      <c r="G117" s="774" t="s"/>
      <c r="H117" s="737" t="s"/>
      <c r="I117" s="737" t="s"/>
      <c r="J117" s="737" t="s"/>
      <c r="K117" s="737" t="s"/>
      <c r="L117" s="737" t="s"/>
      <c r="M117" s="737" t="s"/>
    </row>
    <row r="118" spans="1:13" customHeight="false">
      <c r="A118" s="737" t="s"/>
      <c r="B118" s="737" t="s"/>
      <c r="C118" s="774" t="s"/>
      <c r="D118" s="774" t="s"/>
      <c r="E118" s="774" t="s"/>
      <c r="F118" s="774" t="s"/>
      <c r="G118" s="774" t="s"/>
      <c r="H118" s="737" t="s"/>
      <c r="I118" s="737" t="s"/>
      <c r="J118" s="737" t="s"/>
      <c r="K118" s="737" t="s"/>
      <c r="L118" s="737" t="s"/>
      <c r="M118" s="737" t="s"/>
    </row>
    <row r="119" spans="1:13" customHeight="false">
      <c r="A119" s="737" t="s"/>
      <c r="B119" s="737" t="s"/>
      <c r="C119" s="774" t="s"/>
      <c r="D119" s="774" t="s"/>
      <c r="E119" s="774" t="s"/>
      <c r="F119" s="774" t="s"/>
      <c r="G119" s="774" t="s"/>
      <c r="H119" s="737" t="s"/>
      <c r="I119" s="737" t="s"/>
      <c r="J119" s="737" t="s"/>
      <c r="K119" s="737" t="s"/>
      <c r="L119" s="737" t="s"/>
      <c r="M119" s="737" t="s"/>
    </row>
    <row r="120" spans="1:13" customHeight="false">
      <c r="A120" s="737" t="s"/>
      <c r="B120" s="737" t="s"/>
      <c r="C120" s="774" t="s"/>
      <c r="D120" s="774" t="s"/>
      <c r="E120" s="774" t="s"/>
      <c r="F120" s="774" t="s"/>
      <c r="G120" s="774" t="s"/>
      <c r="H120" s="737" t="s"/>
      <c r="I120" s="737" t="s"/>
      <c r="J120" s="737" t="s"/>
      <c r="K120" s="737" t="s"/>
      <c r="L120" s="737" t="s"/>
      <c r="M120" s="737" t="s"/>
    </row>
    <row r="121" spans="1:13" customHeight="false">
      <c r="A121" s="737" t="s"/>
      <c r="B121" s="737" t="s"/>
      <c r="C121" s="774" t="s"/>
      <c r="D121" s="774" t="s"/>
      <c r="E121" s="774" t="s"/>
      <c r="F121" s="774" t="s"/>
      <c r="G121" s="774" t="s"/>
      <c r="H121" s="737" t="s"/>
      <c r="I121" s="737" t="s"/>
      <c r="J121" s="737" t="s"/>
      <c r="K121" s="737" t="s"/>
      <c r="L121" s="737" t="s"/>
      <c r="M121" s="737" t="s"/>
    </row>
    <row r="122" spans="1:13" customHeight="false">
      <c r="A122" s="737" t="s"/>
      <c r="B122" s="737" t="s"/>
      <c r="C122" s="774" t="s"/>
      <c r="D122" s="774" t="s"/>
      <c r="E122" s="774" t="s"/>
      <c r="F122" s="774" t="s"/>
      <c r="G122" s="774" t="s"/>
      <c r="H122" s="737" t="s"/>
      <c r="I122" s="737" t="s"/>
      <c r="J122" s="737" t="s"/>
      <c r="K122" s="737" t="s"/>
      <c r="L122" s="737" t="s"/>
      <c r="M122" s="737" t="s"/>
    </row>
    <row r="123" spans="1:13" customHeight="false">
      <c r="A123" s="737" t="s"/>
      <c r="B123" s="737" t="s"/>
      <c r="C123" s="774" t="s"/>
      <c r="D123" s="774" t="s"/>
      <c r="E123" s="774" t="s"/>
      <c r="F123" s="774" t="s"/>
      <c r="G123" s="774" t="s"/>
      <c r="H123" s="737" t="s"/>
      <c r="I123" s="737" t="s"/>
      <c r="J123" s="737" t="s"/>
      <c r="K123" s="737" t="s"/>
      <c r="L123" s="737" t="s"/>
      <c r="M123" s="737" t="s"/>
    </row>
    <row r="124" spans="1:13" customHeight="false">
      <c r="A124" s="737" t="s"/>
      <c r="B124" s="737" t="s"/>
      <c r="C124" s="774" t="s"/>
      <c r="D124" s="774" t="s"/>
      <c r="E124" s="774" t="s"/>
      <c r="F124" s="774" t="s"/>
      <c r="G124" s="774" t="s"/>
      <c r="H124" s="737" t="s"/>
      <c r="I124" s="737" t="s"/>
      <c r="J124" s="737" t="s"/>
      <c r="K124" s="737" t="s"/>
      <c r="L124" s="737" t="s"/>
      <c r="M124" s="737" t="s"/>
    </row>
    <row r="125" spans="1:13" customHeight="false">
      <c r="A125" s="737" t="s"/>
      <c r="B125" s="737" t="s"/>
      <c r="C125" s="774" t="s"/>
      <c r="D125" s="774" t="s"/>
      <c r="E125" s="774" t="s"/>
      <c r="F125" s="774" t="s"/>
      <c r="G125" s="774" t="s"/>
      <c r="H125" s="737" t="s"/>
      <c r="I125" s="737" t="s"/>
      <c r="J125" s="737" t="s"/>
      <c r="K125" s="737" t="s"/>
      <c r="L125" s="737" t="s"/>
      <c r="M125" s="737" t="s"/>
    </row>
    <row r="126" spans="1:13" customHeight="false">
      <c r="A126" s="737" t="s"/>
      <c r="B126" s="737" t="s"/>
      <c r="C126" s="774" t="s"/>
      <c r="D126" s="774" t="s"/>
      <c r="E126" s="774" t="s"/>
      <c r="F126" s="774" t="s"/>
      <c r="G126" s="774" t="s"/>
      <c r="H126" s="737" t="s"/>
      <c r="I126" s="737" t="s"/>
      <c r="J126" s="737" t="s"/>
      <c r="K126" s="737" t="s"/>
      <c r="L126" s="737" t="s"/>
      <c r="M126" s="737" t="s"/>
    </row>
    <row r="127" spans="1:13" customHeight="false">
      <c r="A127" s="737" t="s"/>
      <c r="B127" s="737" t="s"/>
      <c r="C127" s="774" t="s"/>
      <c r="D127" s="774" t="s"/>
      <c r="E127" s="774" t="s"/>
      <c r="F127" s="774" t="s"/>
      <c r="G127" s="774" t="s"/>
      <c r="H127" s="737" t="s"/>
      <c r="I127" s="737" t="s"/>
      <c r="J127" s="737" t="s"/>
      <c r="K127" s="737" t="s"/>
      <c r="L127" s="737" t="s"/>
      <c r="M127" s="737" t="s"/>
    </row>
    <row r="128" spans="1:13" customHeight="false">
      <c r="A128" s="737" t="s"/>
      <c r="B128" s="737" t="s"/>
      <c r="C128" s="774" t="s"/>
      <c r="D128" s="774" t="s"/>
      <c r="E128" s="774" t="s"/>
      <c r="F128" s="774" t="s"/>
      <c r="G128" s="774" t="s"/>
      <c r="H128" s="737" t="s"/>
      <c r="I128" s="737" t="s"/>
      <c r="J128" s="737" t="s"/>
      <c r="K128" s="737" t="s"/>
      <c r="L128" s="737" t="s"/>
      <c r="M128" s="737" t="s"/>
    </row>
    <row r="129" spans="1:13" customHeight="false">
      <c r="A129" s="737" t="s"/>
      <c r="B129" s="737" t="s"/>
      <c r="C129" s="774" t="s"/>
      <c r="D129" s="774" t="s"/>
      <c r="E129" s="774" t="s"/>
      <c r="F129" s="774" t="s"/>
      <c r="G129" s="774" t="s"/>
      <c r="H129" s="737" t="s"/>
      <c r="I129" s="737" t="s"/>
      <c r="J129" s="737" t="s"/>
      <c r="K129" s="737" t="s"/>
      <c r="L129" s="737" t="s"/>
      <c r="M129" s="737" t="s"/>
    </row>
    <row r="130" spans="1:13" customHeight="false">
      <c r="A130" s="737" t="s"/>
      <c r="B130" s="737" t="s"/>
      <c r="C130" s="774" t="s"/>
      <c r="D130" s="774" t="s"/>
      <c r="E130" s="774" t="s"/>
      <c r="F130" s="774" t="s"/>
      <c r="G130" s="774" t="s"/>
      <c r="H130" s="737" t="s"/>
      <c r="I130" s="737" t="s"/>
      <c r="J130" s="737" t="s"/>
      <c r="K130" s="737" t="s"/>
      <c r="L130" s="737" t="s"/>
      <c r="M130" s="737" t="s"/>
    </row>
    <row r="131" spans="1:13" customHeight="false">
      <c r="A131" s="737" t="s"/>
      <c r="B131" s="737" t="s"/>
      <c r="C131" s="774" t="s"/>
      <c r="D131" s="774" t="s"/>
      <c r="E131" s="774" t="s"/>
      <c r="F131" s="774" t="s"/>
      <c r="G131" s="774" t="s"/>
      <c r="H131" s="737" t="s"/>
      <c r="I131" s="737" t="s"/>
      <c r="J131" s="737" t="s"/>
      <c r="K131" s="737" t="s"/>
      <c r="L131" s="737" t="s"/>
      <c r="M131" s="737" t="s"/>
    </row>
    <row r="132" spans="1:13" customHeight="false">
      <c r="A132" s="737" t="s"/>
      <c r="B132" s="737" t="s"/>
      <c r="C132" s="774" t="s"/>
      <c r="D132" s="774" t="s"/>
      <c r="E132" s="774" t="s"/>
      <c r="F132" s="774" t="s"/>
      <c r="G132" s="774" t="s"/>
      <c r="H132" s="737" t="s"/>
      <c r="I132" s="737" t="s"/>
      <c r="J132" s="737" t="s"/>
      <c r="K132" s="737" t="s"/>
      <c r="L132" s="737" t="s"/>
      <c r="M132" s="737" t="s"/>
    </row>
    <row r="133" spans="1:13" customHeight="false">
      <c r="A133" s="737" t="s"/>
      <c r="B133" s="737" t="s"/>
      <c r="C133" s="774" t="s"/>
      <c r="D133" s="774" t="s"/>
      <c r="E133" s="774" t="s"/>
      <c r="F133" s="774" t="s"/>
      <c r="G133" s="774" t="s"/>
      <c r="H133" s="737" t="s"/>
      <c r="I133" s="737" t="s"/>
      <c r="J133" s="737" t="s"/>
      <c r="K133" s="737" t="s"/>
      <c r="L133" s="737" t="s"/>
      <c r="M133" s="737" t="s"/>
    </row>
    <row r="134" spans="1:13" customHeight="false">
      <c r="A134" s="737" t="s"/>
      <c r="B134" s="737" t="s"/>
      <c r="C134" s="774" t="s"/>
      <c r="D134" s="774" t="s"/>
      <c r="E134" s="774" t="s"/>
      <c r="F134" s="774" t="s"/>
      <c r="G134" s="774" t="s"/>
      <c r="H134" s="737" t="s"/>
      <c r="I134" s="737" t="s"/>
      <c r="J134" s="737" t="s"/>
      <c r="K134" s="737" t="s"/>
      <c r="L134" s="737" t="s"/>
      <c r="M134" s="737" t="s"/>
    </row>
    <row r="135" spans="1:13" customHeight="false">
      <c r="A135" s="737" t="s"/>
      <c r="B135" s="737" t="s"/>
      <c r="C135" s="774" t="s"/>
      <c r="D135" s="774" t="s"/>
      <c r="E135" s="774" t="s"/>
      <c r="F135" s="774" t="s"/>
      <c r="G135" s="774" t="s"/>
      <c r="H135" s="737" t="s"/>
      <c r="I135" s="737" t="s"/>
      <c r="J135" s="737" t="s"/>
      <c r="K135" s="737" t="s"/>
      <c r="L135" s="737" t="s"/>
      <c r="M135" s="737" t="s"/>
    </row>
    <row r="136" spans="1:13" customHeight="false">
      <c r="A136" s="737" t="s"/>
      <c r="B136" s="737" t="s"/>
      <c r="C136" s="774" t="s"/>
      <c r="D136" s="774" t="s"/>
      <c r="E136" s="774" t="s"/>
      <c r="F136" s="774" t="s"/>
      <c r="G136" s="774" t="s"/>
      <c r="H136" s="737" t="s"/>
      <c r="I136" s="737" t="s"/>
      <c r="J136" s="737" t="s"/>
      <c r="K136" s="737" t="s"/>
      <c r="L136" s="737" t="s"/>
      <c r="M136" s="737" t="s"/>
    </row>
    <row r="137" spans="1:13" customHeight="false">
      <c r="A137" s="737" t="s"/>
      <c r="B137" s="737" t="s"/>
      <c r="C137" s="774" t="s"/>
      <c r="D137" s="774" t="s"/>
      <c r="E137" s="774" t="s"/>
      <c r="F137" s="774" t="s"/>
      <c r="G137" s="774" t="s"/>
      <c r="H137" s="737" t="s"/>
      <c r="I137" s="737" t="s"/>
      <c r="J137" s="737" t="s"/>
      <c r="K137" s="737" t="s"/>
      <c r="L137" s="737" t="s"/>
      <c r="M137" s="737" t="s"/>
    </row>
    <row r="138" spans="1:13" customHeight="false">
      <c r="A138" s="737" t="s"/>
      <c r="B138" s="737" t="s"/>
      <c r="C138" s="774" t="s"/>
      <c r="D138" s="774" t="s"/>
      <c r="E138" s="774" t="s"/>
      <c r="F138" s="774" t="s"/>
      <c r="G138" s="774" t="s"/>
      <c r="H138" s="737" t="s"/>
      <c r="I138" s="737" t="s"/>
      <c r="J138" s="737" t="s"/>
      <c r="K138" s="737" t="s"/>
      <c r="L138" s="737" t="s"/>
      <c r="M138" s="737" t="s"/>
    </row>
    <row r="139" spans="1:13" customHeight="false">
      <c r="A139" s="737" t="s"/>
      <c r="B139" s="737" t="s"/>
      <c r="C139" s="774" t="s"/>
      <c r="D139" s="774" t="s"/>
      <c r="E139" s="774" t="s"/>
      <c r="F139" s="774" t="s"/>
      <c r="G139" s="774" t="s"/>
      <c r="H139" s="737" t="s"/>
      <c r="I139" s="737" t="s"/>
      <c r="J139" s="737" t="s"/>
      <c r="K139" s="737" t="s"/>
      <c r="L139" s="737" t="s"/>
      <c r="M139" s="737" t="s"/>
    </row>
    <row r="140" spans="1:13" customHeight="false">
      <c r="A140" s="737" t="s"/>
      <c r="B140" s="737" t="s"/>
      <c r="C140" s="774" t="s"/>
      <c r="D140" s="774" t="s"/>
      <c r="E140" s="774" t="s"/>
      <c r="F140" s="774" t="s"/>
      <c r="G140" s="774" t="s"/>
      <c r="H140" s="737" t="s"/>
      <c r="I140" s="737" t="s"/>
      <c r="J140" s="737" t="s"/>
      <c r="K140" s="737" t="s"/>
      <c r="L140" s="737" t="s"/>
      <c r="M140" s="737" t="s"/>
    </row>
    <row r="141" spans="1:13" customHeight="false">
      <c r="A141" s="737" t="s"/>
      <c r="B141" s="737" t="s"/>
      <c r="C141" s="774" t="s"/>
      <c r="D141" s="774" t="s"/>
      <c r="E141" s="774" t="s"/>
      <c r="F141" s="774" t="s"/>
      <c r="G141" s="774" t="s"/>
      <c r="H141" s="737" t="s"/>
      <c r="I141" s="737" t="s"/>
      <c r="J141" s="737" t="s"/>
      <c r="K141" s="737" t="s"/>
      <c r="L141" s="737" t="s"/>
      <c r="M141" s="737" t="s"/>
    </row>
    <row r="142" spans="1:13" customHeight="false">
      <c r="A142" s="737" t="s"/>
      <c r="B142" s="737" t="s"/>
      <c r="C142" s="774" t="s"/>
      <c r="D142" s="774" t="s"/>
      <c r="E142" s="774" t="s"/>
      <c r="F142" s="774" t="s"/>
      <c r="G142" s="774" t="s"/>
      <c r="H142" s="737" t="s"/>
      <c r="I142" s="737" t="s"/>
      <c r="J142" s="737" t="s"/>
      <c r="K142" s="737" t="s"/>
      <c r="L142" s="737" t="s"/>
      <c r="M142" s="737" t="s"/>
    </row>
    <row r="143" spans="1:13" customHeight="false">
      <c r="A143" s="737" t="s"/>
      <c r="B143" s="737" t="s"/>
      <c r="C143" s="774" t="s"/>
      <c r="D143" s="774" t="s"/>
      <c r="E143" s="774" t="s"/>
      <c r="F143" s="774" t="s"/>
      <c r="G143" s="774" t="s"/>
      <c r="H143" s="737" t="s"/>
      <c r="I143" s="737" t="s"/>
      <c r="J143" s="737" t="s"/>
      <c r="K143" s="737" t="s"/>
      <c r="L143" s="737" t="s"/>
      <c r="M143" s="737" t="s"/>
    </row>
    <row r="144" spans="1:13" customHeight="false">
      <c r="A144" s="737" t="s"/>
      <c r="B144" s="737" t="s"/>
      <c r="C144" s="774" t="s"/>
      <c r="D144" s="774" t="s"/>
      <c r="E144" s="774" t="s"/>
      <c r="F144" s="774" t="s"/>
      <c r="G144" s="774" t="s"/>
      <c r="H144" s="737" t="s"/>
      <c r="I144" s="737" t="s"/>
      <c r="J144" s="737" t="s"/>
      <c r="K144" s="737" t="s"/>
      <c r="L144" s="737" t="s"/>
      <c r="M144" s="737" t="s"/>
    </row>
    <row r="145" spans="1:13" customHeight="false">
      <c r="A145" s="737" t="s"/>
      <c r="B145" s="737" t="s"/>
      <c r="C145" s="774" t="s"/>
      <c r="D145" s="774" t="s"/>
      <c r="E145" s="774" t="s"/>
      <c r="F145" s="774" t="s"/>
      <c r="G145" s="774" t="s"/>
      <c r="H145" s="737" t="s"/>
      <c r="I145" s="737" t="s"/>
      <c r="J145" s="737" t="s"/>
      <c r="K145" s="737" t="s"/>
      <c r="L145" s="737" t="s"/>
      <c r="M145" s="737" t="s"/>
    </row>
    <row r="146" spans="1:13" customHeight="false">
      <c r="A146" s="737" t="s"/>
      <c r="B146" s="737" t="s"/>
      <c r="C146" s="774" t="s"/>
      <c r="D146" s="774" t="s"/>
      <c r="E146" s="774" t="s"/>
      <c r="F146" s="774" t="s"/>
      <c r="G146" s="774" t="s"/>
      <c r="H146" s="737" t="s"/>
      <c r="I146" s="737" t="s"/>
      <c r="J146" s="737" t="s"/>
      <c r="K146" s="737" t="s"/>
      <c r="L146" s="737" t="s"/>
      <c r="M146" s="737" t="s"/>
    </row>
    <row r="147" spans="1:13" customHeight="false">
      <c r="A147" s="737" t="s"/>
      <c r="B147" s="737" t="s"/>
      <c r="C147" s="774" t="s"/>
      <c r="D147" s="774" t="s"/>
      <c r="E147" s="774" t="s"/>
      <c r="F147" s="774" t="s"/>
      <c r="G147" s="774" t="s"/>
      <c r="H147" s="737" t="s"/>
      <c r="I147" s="737" t="s"/>
      <c r="J147" s="737" t="s"/>
      <c r="K147" s="737" t="s"/>
      <c r="L147" s="737" t="s"/>
      <c r="M147" s="737" t="s"/>
    </row>
    <row r="148" spans="1:13" customHeight="false">
      <c r="A148" s="737" t="s"/>
      <c r="B148" s="737" t="s"/>
      <c r="C148" s="774" t="s"/>
      <c r="D148" s="774" t="s"/>
      <c r="E148" s="774" t="s"/>
      <c r="F148" s="774" t="s"/>
      <c r="G148" s="774" t="s"/>
      <c r="H148" s="737" t="s"/>
      <c r="I148" s="737" t="s"/>
      <c r="J148" s="737" t="s"/>
      <c r="K148" s="737" t="s"/>
      <c r="L148" s="737" t="s"/>
      <c r="M148" s="737" t="s"/>
    </row>
    <row r="149" spans="1:13" customHeight="false">
      <c r="A149" s="737" t="s"/>
      <c r="B149" s="737" t="s"/>
      <c r="C149" s="774" t="s"/>
      <c r="D149" s="774" t="s"/>
      <c r="E149" s="774" t="s"/>
      <c r="F149" s="774" t="s"/>
      <c r="G149" s="774" t="s"/>
      <c r="H149" s="737" t="s"/>
      <c r="I149" s="737" t="s"/>
      <c r="J149" s="737" t="s"/>
      <c r="K149" s="737" t="s"/>
      <c r="L149" s="737" t="s"/>
      <c r="M149" s="737" t="s"/>
    </row>
    <row r="150" spans="1:13" customHeight="false">
      <c r="A150" s="737" t="s"/>
      <c r="B150" s="737" t="s"/>
      <c r="C150" s="774" t="s"/>
      <c r="D150" s="774" t="s"/>
      <c r="E150" s="774" t="s"/>
      <c r="F150" s="774" t="s"/>
      <c r="G150" s="774" t="s"/>
      <c r="H150" s="737" t="s"/>
      <c r="I150" s="737" t="s"/>
      <c r="J150" s="737" t="s"/>
      <c r="K150" s="737" t="s"/>
      <c r="L150" s="737" t="s"/>
      <c r="M150" s="737" t="s"/>
    </row>
    <row r="151" spans="1:13" customHeight="false">
      <c r="A151" s="737" t="s"/>
      <c r="B151" s="737" t="s"/>
      <c r="C151" s="774" t="s"/>
      <c r="D151" s="774" t="s"/>
      <c r="E151" s="774" t="s"/>
      <c r="F151" s="774" t="s"/>
      <c r="G151" s="774" t="s"/>
      <c r="H151" s="737" t="s"/>
      <c r="I151" s="737" t="s"/>
      <c r="J151" s="737" t="s"/>
      <c r="K151" s="737" t="s"/>
      <c r="L151" s="737" t="s"/>
      <c r="M151" s="737" t="s"/>
    </row>
    <row r="152" spans="1:13" customHeight="false">
      <c r="A152" s="737" t="s"/>
      <c r="B152" s="737" t="s"/>
      <c r="C152" s="774" t="s"/>
      <c r="D152" s="774" t="s"/>
      <c r="E152" s="774" t="s"/>
      <c r="F152" s="774" t="s"/>
      <c r="G152" s="774" t="s"/>
      <c r="H152" s="737" t="s"/>
      <c r="I152" s="737" t="s"/>
      <c r="J152" s="737" t="s"/>
      <c r="K152" s="737" t="s"/>
      <c r="L152" s="737" t="s"/>
      <c r="M152" s="737" t="s"/>
    </row>
    <row r="153" spans="1:13" customHeight="false">
      <c r="A153" s="737" t="s"/>
      <c r="B153" s="737" t="s"/>
      <c r="C153" s="774" t="s"/>
      <c r="D153" s="774" t="s"/>
      <c r="E153" s="774" t="s"/>
      <c r="F153" s="774" t="s"/>
      <c r="G153" s="774" t="s"/>
      <c r="H153" s="737" t="s"/>
      <c r="I153" s="737" t="s"/>
      <c r="J153" s="737" t="s"/>
      <c r="K153" s="737" t="s"/>
      <c r="L153" s="737" t="s"/>
      <c r="M153" s="737" t="s"/>
    </row>
    <row r="154" spans="1:13" customHeight="false">
      <c r="A154" s="737" t="s"/>
      <c r="B154" s="737" t="s"/>
      <c r="C154" s="774" t="s"/>
      <c r="D154" s="774" t="s"/>
      <c r="E154" s="774" t="s"/>
      <c r="F154" s="774" t="s"/>
      <c r="G154" s="774" t="s"/>
      <c r="H154" s="737" t="s"/>
      <c r="I154" s="737" t="s"/>
      <c r="J154" s="737" t="s"/>
      <c r="K154" s="737" t="s"/>
      <c r="L154" s="737" t="s"/>
      <c r="M154" s="737" t="s"/>
    </row>
    <row r="155" spans="1:13" customHeight="false">
      <c r="A155" s="737" t="s"/>
      <c r="B155" s="737" t="s"/>
      <c r="C155" s="774" t="s"/>
      <c r="D155" s="774" t="s"/>
      <c r="E155" s="774" t="s"/>
      <c r="F155" s="774" t="s"/>
      <c r="G155" s="774" t="s"/>
      <c r="H155" s="737" t="s"/>
      <c r="I155" s="737" t="s"/>
      <c r="J155" s="737" t="s"/>
      <c r="K155" s="737" t="s"/>
      <c r="L155" s="737" t="s"/>
      <c r="M155" s="737" t="s"/>
    </row>
    <row r="156" spans="1:13" customHeight="false">
      <c r="A156" s="737" t="s"/>
      <c r="B156" s="737" t="s"/>
      <c r="C156" s="774" t="s"/>
      <c r="D156" s="774" t="s"/>
      <c r="E156" s="774" t="s"/>
      <c r="F156" s="774" t="s"/>
      <c r="G156" s="774" t="s"/>
      <c r="H156" s="737" t="s"/>
      <c r="I156" s="737" t="s"/>
      <c r="J156" s="737" t="s"/>
      <c r="K156" s="737" t="s"/>
      <c r="L156" s="737" t="s"/>
      <c r="M156" s="737" t="s"/>
    </row>
    <row r="157" spans="1:13" customHeight="false">
      <c r="A157" s="737" t="s"/>
      <c r="B157" s="737" t="s"/>
      <c r="C157" s="774" t="s"/>
      <c r="D157" s="774" t="s"/>
      <c r="E157" s="774" t="s"/>
      <c r="F157" s="774" t="s"/>
      <c r="G157" s="774" t="s"/>
      <c r="H157" s="737" t="s"/>
      <c r="I157" s="737" t="s"/>
      <c r="J157" s="737" t="s"/>
      <c r="K157" s="737" t="s"/>
      <c r="L157" s="737" t="s"/>
      <c r="M157" s="737" t="s"/>
    </row>
    <row r="158" spans="1:13" customHeight="false">
      <c r="A158" s="737" t="s"/>
      <c r="B158" s="737" t="s"/>
      <c r="C158" s="774" t="s"/>
      <c r="D158" s="774" t="s"/>
      <c r="E158" s="774" t="s"/>
      <c r="F158" s="774" t="s"/>
      <c r="G158" s="774" t="s"/>
      <c r="H158" s="737" t="s"/>
      <c r="I158" s="737" t="s"/>
      <c r="J158" s="737" t="s"/>
      <c r="K158" s="737" t="s"/>
      <c r="L158" s="737" t="s"/>
      <c r="M158" s="737" t="s"/>
    </row>
    <row r="159" spans="1:13" customHeight="false">
      <c r="A159" s="737" t="s"/>
      <c r="B159" s="737" t="s"/>
      <c r="C159" s="774" t="s"/>
      <c r="D159" s="774" t="s"/>
      <c r="E159" s="774" t="s"/>
      <c r="F159" s="774" t="s"/>
      <c r="G159" s="774" t="s"/>
      <c r="H159" s="737" t="s"/>
      <c r="I159" s="737" t="s"/>
      <c r="J159" s="737" t="s"/>
      <c r="K159" s="737" t="s"/>
      <c r="L159" s="737" t="s"/>
      <c r="M159" s="737" t="s"/>
    </row>
    <row r="160" spans="1:13" customHeight="false">
      <c r="A160" s="737" t="s"/>
      <c r="B160" s="737" t="s"/>
      <c r="C160" s="774" t="s"/>
      <c r="D160" s="774" t="s"/>
      <c r="E160" s="774" t="s"/>
      <c r="F160" s="774" t="s"/>
      <c r="G160" s="774" t="s"/>
      <c r="H160" s="737" t="s"/>
      <c r="I160" s="737" t="s"/>
      <c r="J160" s="737" t="s"/>
      <c r="K160" s="737" t="s"/>
      <c r="L160" s="737" t="s"/>
      <c r="M160" s="737" t="s"/>
    </row>
    <row r="161" spans="1:13" customHeight="false">
      <c r="A161" s="737" t="s"/>
      <c r="B161" s="737" t="s"/>
      <c r="C161" s="774" t="s"/>
      <c r="D161" s="774" t="s"/>
      <c r="E161" s="774" t="s"/>
      <c r="F161" s="774" t="s"/>
      <c r="G161" s="774" t="s"/>
      <c r="H161" s="737" t="s"/>
      <c r="I161" s="737" t="s"/>
      <c r="J161" s="737" t="s"/>
      <c r="K161" s="737" t="s"/>
      <c r="L161" s="737" t="s"/>
      <c r="M161" s="737" t="s"/>
    </row>
    <row r="162" spans="1:13" customHeight="false">
      <c r="A162" s="737" t="s"/>
      <c r="B162" s="737" t="s"/>
      <c r="C162" s="774" t="s"/>
      <c r="D162" s="774" t="s"/>
      <c r="E162" s="774" t="s"/>
      <c r="F162" s="774" t="s"/>
      <c r="G162" s="774" t="s"/>
      <c r="H162" s="737" t="s"/>
      <c r="I162" s="737" t="s"/>
      <c r="J162" s="737" t="s"/>
      <c r="K162" s="737" t="s"/>
      <c r="L162" s="737" t="s"/>
      <c r="M162" s="737" t="s"/>
    </row>
    <row r="163" spans="1:13" customHeight="false">
      <c r="A163" s="737" t="s"/>
      <c r="B163" s="737" t="s"/>
      <c r="C163" s="774" t="s"/>
      <c r="D163" s="774" t="s"/>
      <c r="E163" s="774" t="s"/>
      <c r="F163" s="774" t="s"/>
      <c r="G163" s="774" t="s"/>
      <c r="H163" s="737" t="s"/>
      <c r="I163" s="737" t="s"/>
      <c r="J163" s="737" t="s"/>
      <c r="K163" s="737" t="s"/>
      <c r="L163" s="737" t="s"/>
      <c r="M163" s="737" t="s"/>
    </row>
    <row r="164" spans="1:13" customHeight="false">
      <c r="A164" s="737" t="s"/>
      <c r="B164" s="737" t="s"/>
      <c r="C164" s="774" t="s"/>
      <c r="D164" s="774" t="s"/>
      <c r="E164" s="774" t="s"/>
      <c r="F164" s="774" t="s"/>
      <c r="G164" s="774" t="s"/>
      <c r="H164" s="737" t="s"/>
      <c r="I164" s="737" t="s"/>
      <c r="J164" s="737" t="s"/>
      <c r="K164" s="737" t="s"/>
      <c r="L164" s="737" t="s"/>
      <c r="M164" s="737" t="s"/>
    </row>
    <row r="165" spans="1:13" customHeight="false">
      <c r="A165" s="737" t="s"/>
      <c r="B165" s="737" t="s"/>
      <c r="C165" s="774" t="s"/>
      <c r="D165" s="774" t="s"/>
      <c r="E165" s="774" t="s"/>
      <c r="F165" s="774" t="s"/>
      <c r="G165" s="774" t="s"/>
      <c r="H165" s="737" t="s"/>
      <c r="I165" s="737" t="s"/>
      <c r="J165" s="737" t="s"/>
      <c r="K165" s="737" t="s"/>
      <c r="L165" s="737" t="s"/>
      <c r="M165" s="737" t="s"/>
    </row>
    <row r="166" spans="1:13" customHeight="false">
      <c r="A166" s="737" t="s"/>
      <c r="B166" s="737" t="s"/>
      <c r="C166" s="774" t="s"/>
      <c r="D166" s="774" t="s"/>
      <c r="E166" s="774" t="s"/>
      <c r="F166" s="774" t="s"/>
      <c r="G166" s="774" t="s"/>
      <c r="H166" s="737" t="s"/>
      <c r="I166" s="737" t="s"/>
      <c r="J166" s="737" t="s"/>
      <c r="K166" s="737" t="s"/>
      <c r="L166" s="737" t="s"/>
      <c r="M166" s="737" t="s"/>
    </row>
    <row r="167" spans="1:13" customHeight="false">
      <c r="A167" s="737" t="s"/>
      <c r="B167" s="737" t="s"/>
      <c r="C167" s="774" t="s"/>
      <c r="D167" s="774" t="s"/>
      <c r="E167" s="774" t="s"/>
      <c r="F167" s="774" t="s"/>
      <c r="G167" s="774" t="s"/>
      <c r="H167" s="737" t="s"/>
      <c r="I167" s="737" t="s"/>
      <c r="J167" s="737" t="s"/>
      <c r="K167" s="737" t="s"/>
      <c r="L167" s="737" t="s"/>
      <c r="M167" s="737" t="s"/>
    </row>
    <row r="168" spans="1:13" customHeight="false">
      <c r="A168" s="737" t="s"/>
      <c r="B168" s="737" t="s"/>
      <c r="C168" s="774" t="s"/>
      <c r="D168" s="774" t="s"/>
      <c r="E168" s="774" t="s"/>
      <c r="F168" s="774" t="s"/>
      <c r="G168" s="774" t="s"/>
      <c r="H168" s="737" t="s"/>
      <c r="I168" s="737" t="s"/>
      <c r="J168" s="737" t="s"/>
      <c r="K168" s="737" t="s"/>
      <c r="L168" s="737" t="s"/>
      <c r="M168" s="737" t="s"/>
    </row>
    <row r="169" spans="1:13" customHeight="false">
      <c r="A169" s="737" t="s"/>
      <c r="B169" s="737" t="s"/>
      <c r="C169" s="774" t="s"/>
      <c r="D169" s="774" t="s"/>
      <c r="E169" s="774" t="s"/>
      <c r="F169" s="774" t="s"/>
      <c r="G169" s="774" t="s"/>
      <c r="H169" s="737" t="s"/>
      <c r="I169" s="737" t="s"/>
      <c r="J169" s="737" t="s"/>
      <c r="K169" s="737" t="s"/>
      <c r="L169" s="737" t="s"/>
      <c r="M169" s="737" t="s"/>
    </row>
    <row r="170" spans="1:13" customHeight="false">
      <c r="A170" s="737" t="s"/>
      <c r="B170" s="737" t="s"/>
      <c r="C170" s="774" t="s"/>
      <c r="D170" s="774" t="s"/>
      <c r="E170" s="774" t="s"/>
      <c r="F170" s="774" t="s"/>
      <c r="G170" s="774" t="s"/>
      <c r="H170" s="737" t="s"/>
      <c r="I170" s="737" t="s"/>
      <c r="J170" s="737" t="s"/>
      <c r="K170" s="737" t="s"/>
      <c r="L170" s="737" t="s"/>
      <c r="M170" s="737" t="s"/>
    </row>
    <row r="171" spans="1:13" customHeight="false">
      <c r="A171" s="737" t="s"/>
      <c r="B171" s="737" t="s"/>
      <c r="C171" s="774" t="s"/>
      <c r="D171" s="774" t="s"/>
      <c r="E171" s="774" t="s"/>
      <c r="F171" s="774" t="s"/>
      <c r="G171" s="774" t="s"/>
      <c r="H171" s="737" t="s"/>
      <c r="I171" s="737" t="s"/>
      <c r="J171" s="737" t="s"/>
      <c r="K171" s="737" t="s"/>
      <c r="L171" s="737" t="s"/>
      <c r="M171" s="737" t="s"/>
    </row>
    <row r="172" spans="1:13" customHeight="false">
      <c r="A172" s="737" t="s"/>
      <c r="B172" s="737" t="s"/>
      <c r="C172" s="774" t="s"/>
      <c r="D172" s="774" t="s"/>
      <c r="E172" s="774" t="s"/>
      <c r="F172" s="774" t="s"/>
      <c r="G172" s="774" t="s"/>
      <c r="H172" s="737" t="s"/>
      <c r="I172" s="737" t="s"/>
      <c r="J172" s="737" t="s"/>
      <c r="K172" s="737" t="s"/>
      <c r="L172" s="737" t="s"/>
      <c r="M172" s="737" t="s"/>
    </row>
    <row r="173" spans="1:13" customHeight="false">
      <c r="A173" s="737" t="s"/>
      <c r="B173" s="737" t="s"/>
      <c r="C173" s="774" t="s"/>
      <c r="D173" s="774" t="s"/>
      <c r="E173" s="774" t="s"/>
      <c r="F173" s="774" t="s"/>
      <c r="G173" s="774" t="s"/>
      <c r="H173" s="737" t="s"/>
      <c r="I173" s="737" t="s"/>
      <c r="J173" s="737" t="s"/>
      <c r="K173" s="737" t="s"/>
      <c r="L173" s="737" t="s"/>
      <c r="M173" s="737" t="s"/>
    </row>
    <row r="174" spans="1:13" customHeight="false">
      <c r="A174" s="737" t="s"/>
      <c r="B174" s="737" t="s"/>
      <c r="C174" s="774" t="s"/>
      <c r="D174" s="774" t="s"/>
      <c r="E174" s="774" t="s"/>
      <c r="F174" s="774" t="s"/>
      <c r="G174" s="774" t="s"/>
      <c r="H174" s="737" t="s"/>
      <c r="I174" s="737" t="s"/>
      <c r="J174" s="737" t="s"/>
      <c r="K174" s="737" t="s"/>
      <c r="L174" s="737" t="s"/>
      <c r="M174" s="737" t="s"/>
    </row>
    <row r="175" spans="1:13" customHeight="false">
      <c r="A175" s="737" t="s"/>
      <c r="B175" s="737" t="s"/>
      <c r="C175" s="774" t="s"/>
      <c r="D175" s="774" t="s"/>
      <c r="E175" s="774" t="s"/>
      <c r="F175" s="774" t="s"/>
      <c r="G175" s="774" t="s"/>
      <c r="H175" s="737" t="s"/>
      <c r="I175" s="737" t="s"/>
      <c r="J175" s="737" t="s"/>
      <c r="K175" s="737" t="s"/>
      <c r="L175" s="737" t="s"/>
      <c r="M175" s="737" t="s"/>
    </row>
    <row r="176" spans="1:13" customHeight="false">
      <c r="A176" s="737" t="s"/>
      <c r="B176" s="737" t="s"/>
      <c r="C176" s="774" t="s"/>
      <c r="D176" s="774" t="s"/>
      <c r="E176" s="774" t="s"/>
      <c r="F176" s="774" t="s"/>
      <c r="G176" s="774" t="s"/>
      <c r="H176" s="737" t="s"/>
      <c r="I176" s="737" t="s"/>
      <c r="J176" s="737" t="s"/>
      <c r="K176" s="737" t="s"/>
      <c r="L176" s="737" t="s"/>
      <c r="M176" s="737" t="s"/>
    </row>
    <row r="177" spans="1:13" customHeight="false">
      <c r="A177" s="737" t="s"/>
      <c r="B177" s="737" t="s"/>
      <c r="C177" s="774" t="s"/>
      <c r="D177" s="774" t="s"/>
      <c r="E177" s="774" t="s"/>
      <c r="F177" s="774" t="s"/>
      <c r="G177" s="774" t="s"/>
      <c r="H177" s="737" t="s"/>
      <c r="I177" s="737" t="s"/>
      <c r="J177" s="737" t="s"/>
      <c r="K177" s="737" t="s"/>
      <c r="L177" s="737" t="s"/>
      <c r="M177" s="737" t="s"/>
    </row>
    <row r="178" spans="1:13" customHeight="false">
      <c r="A178" s="737" t="s"/>
      <c r="B178" s="737" t="s"/>
      <c r="C178" s="774" t="s"/>
      <c r="D178" s="774" t="s"/>
      <c r="E178" s="774" t="s"/>
      <c r="F178" s="774" t="s"/>
      <c r="G178" s="774" t="s"/>
      <c r="H178" s="737" t="s"/>
      <c r="I178" s="737" t="s"/>
      <c r="J178" s="737" t="s"/>
      <c r="K178" s="737" t="s"/>
      <c r="L178" s="737" t="s"/>
      <c r="M178" s="737" t="s"/>
    </row>
    <row r="179" spans="1:13" customHeight="false">
      <c r="A179" s="737" t="s"/>
      <c r="B179" s="737" t="s"/>
      <c r="C179" s="774" t="s"/>
      <c r="D179" s="774" t="s"/>
      <c r="E179" s="774" t="s"/>
      <c r="F179" s="774" t="s"/>
      <c r="G179" s="774" t="s"/>
      <c r="H179" s="737" t="s"/>
      <c r="I179" s="737" t="s"/>
      <c r="J179" s="737" t="s"/>
      <c r="K179" s="737" t="s"/>
      <c r="L179" s="737" t="s"/>
      <c r="M179" s="737" t="s"/>
    </row>
    <row r="180" spans="1:13" customHeight="false">
      <c r="A180" s="737" t="s"/>
      <c r="B180" s="737" t="s"/>
      <c r="C180" s="774" t="s"/>
      <c r="D180" s="774" t="s"/>
      <c r="E180" s="774" t="s"/>
      <c r="F180" s="774" t="s"/>
      <c r="G180" s="774" t="s"/>
      <c r="H180" s="737" t="s"/>
      <c r="I180" s="737" t="s"/>
      <c r="J180" s="737" t="s"/>
      <c r="K180" s="737" t="s"/>
      <c r="L180" s="737" t="s"/>
      <c r="M180" s="737" t="s"/>
    </row>
    <row r="181" spans="1:13" customHeight="false">
      <c r="A181" s="737" t="s"/>
      <c r="B181" s="737" t="s"/>
      <c r="C181" s="774" t="s"/>
      <c r="D181" s="774" t="s"/>
      <c r="E181" s="774" t="s"/>
      <c r="F181" s="774" t="s"/>
      <c r="G181" s="774" t="s"/>
      <c r="H181" s="737" t="s"/>
      <c r="I181" s="737" t="s"/>
      <c r="J181" s="737" t="s"/>
      <c r="K181" s="737" t="s"/>
      <c r="L181" s="737" t="s"/>
      <c r="M181" s="737" t="s"/>
    </row>
    <row r="182" spans="1:13" customHeight="false">
      <c r="A182" s="737" t="s"/>
      <c r="B182" s="737" t="s"/>
      <c r="C182" s="774" t="s"/>
      <c r="D182" s="774" t="s"/>
      <c r="E182" s="774" t="s"/>
      <c r="F182" s="774" t="s"/>
      <c r="G182" s="774" t="s"/>
      <c r="H182" s="737" t="s"/>
      <c r="I182" s="737" t="s"/>
      <c r="J182" s="737" t="s"/>
      <c r="K182" s="737" t="s"/>
      <c r="L182" s="737" t="s"/>
      <c r="M182" s="737" t="s"/>
    </row>
    <row r="183" spans="1:13" customHeight="false">
      <c r="A183" s="737" t="s"/>
      <c r="B183" s="737" t="s"/>
      <c r="C183" s="774" t="s"/>
      <c r="D183" s="774" t="s"/>
      <c r="E183" s="774" t="s"/>
      <c r="F183" s="774" t="s"/>
      <c r="G183" s="774" t="s"/>
      <c r="H183" s="737" t="s"/>
      <c r="I183" s="737" t="s"/>
      <c r="J183" s="737" t="s"/>
      <c r="K183" s="737" t="s"/>
      <c r="L183" s="737" t="s"/>
      <c r="M183" s="737" t="s"/>
    </row>
    <row r="184" spans="1:13" customHeight="false">
      <c r="A184" s="737" t="s"/>
      <c r="B184" s="737" t="s"/>
      <c r="C184" s="774" t="s"/>
      <c r="D184" s="774" t="s"/>
      <c r="E184" s="774" t="s"/>
      <c r="F184" s="774" t="s"/>
      <c r="G184" s="774" t="s"/>
      <c r="H184" s="737" t="s"/>
      <c r="I184" s="737" t="s"/>
      <c r="J184" s="737" t="s"/>
      <c r="K184" s="737" t="s"/>
      <c r="L184" s="737" t="s"/>
      <c r="M184" s="737" t="s"/>
    </row>
    <row r="185" spans="1:13" customHeight="false">
      <c r="A185" s="737" t="s"/>
      <c r="B185" s="737" t="s"/>
      <c r="C185" s="774" t="s"/>
      <c r="D185" s="774" t="s"/>
      <c r="E185" s="774" t="s"/>
      <c r="F185" s="774" t="s"/>
      <c r="G185" s="774" t="s"/>
      <c r="H185" s="737" t="s"/>
      <c r="I185" s="737" t="s"/>
      <c r="J185" s="737" t="s"/>
      <c r="K185" s="737" t="s"/>
      <c r="L185" s="737" t="s"/>
      <c r="M185" s="737" t="s"/>
    </row>
    <row r="186" spans="1:13" customHeight="false">
      <c r="A186" s="737" t="s"/>
      <c r="B186" s="737" t="s"/>
      <c r="C186" s="774" t="s"/>
      <c r="D186" s="774" t="s"/>
      <c r="E186" s="774" t="s"/>
      <c r="F186" s="774" t="s"/>
      <c r="G186" s="774" t="s"/>
      <c r="H186" s="737" t="s"/>
      <c r="I186" s="737" t="s"/>
      <c r="J186" s="737" t="s"/>
      <c r="K186" s="737" t="s"/>
      <c r="L186" s="737" t="s"/>
      <c r="M186" s="737" t="s"/>
    </row>
    <row r="187" spans="1:13" customHeight="false">
      <c r="A187" s="737" t="s"/>
      <c r="B187" s="737" t="s"/>
      <c r="C187" s="774" t="s"/>
      <c r="D187" s="774" t="s"/>
      <c r="E187" s="774" t="s"/>
      <c r="F187" s="774" t="s"/>
      <c r="G187" s="774" t="s"/>
      <c r="H187" s="737" t="s"/>
      <c r="I187" s="737" t="s"/>
      <c r="J187" s="737" t="s"/>
      <c r="K187" s="737" t="s"/>
      <c r="L187" s="737" t="s"/>
      <c r="M187" s="737" t="s"/>
    </row>
    <row r="188" spans="1:13" customHeight="false">
      <c r="A188" s="737" t="s"/>
      <c r="B188" s="737" t="s"/>
      <c r="C188" s="774" t="s"/>
      <c r="D188" s="774" t="s"/>
      <c r="E188" s="774" t="s"/>
      <c r="F188" s="774" t="s"/>
      <c r="G188" s="774" t="s"/>
      <c r="H188" s="737" t="s"/>
      <c r="I188" s="737" t="s"/>
      <c r="J188" s="737" t="s"/>
      <c r="K188" s="737" t="s"/>
      <c r="L188" s="737" t="s"/>
      <c r="M188" s="737" t="s"/>
    </row>
    <row r="189" spans="1:13" customHeight="false">
      <c r="A189" s="737" t="s"/>
      <c r="B189" s="737" t="s"/>
      <c r="C189" s="774" t="s"/>
      <c r="D189" s="774" t="s"/>
      <c r="E189" s="774" t="s"/>
      <c r="F189" s="774" t="s"/>
      <c r="G189" s="774" t="s"/>
      <c r="H189" s="737" t="s"/>
      <c r="I189" s="737" t="s"/>
      <c r="J189" s="737" t="s"/>
      <c r="K189" s="737" t="s"/>
      <c r="L189" s="737" t="s"/>
      <c r="M189" s="737" t="s"/>
    </row>
    <row r="190" spans="1:13" customHeight="false">
      <c r="A190" s="737" t="s"/>
      <c r="B190" s="737" t="s"/>
      <c r="C190" s="774" t="s"/>
      <c r="D190" s="774" t="s"/>
      <c r="E190" s="774" t="s"/>
      <c r="F190" s="774" t="s"/>
      <c r="G190" s="774" t="s"/>
      <c r="H190" s="737" t="s"/>
      <c r="I190" s="737" t="s"/>
      <c r="J190" s="737" t="s"/>
      <c r="K190" s="737" t="s"/>
      <c r="L190" s="737" t="s"/>
      <c r="M190" s="737" t="s"/>
    </row>
    <row r="191" spans="1:13" customHeight="false">
      <c r="A191" s="737" t="s"/>
      <c r="B191" s="737" t="s"/>
      <c r="C191" s="774" t="s"/>
      <c r="D191" s="774" t="s"/>
      <c r="E191" s="774" t="s"/>
      <c r="F191" s="774" t="s"/>
      <c r="G191" s="774" t="s"/>
      <c r="H191" s="737" t="s"/>
      <c r="I191" s="737" t="s"/>
      <c r="J191" s="737" t="s"/>
      <c r="K191" s="737" t="s"/>
      <c r="L191" s="737" t="s"/>
      <c r="M191" s="737" t="s"/>
    </row>
    <row r="192" spans="1:13" customHeight="false">
      <c r="A192" s="737" t="s"/>
      <c r="B192" s="737" t="s"/>
      <c r="C192" s="774" t="s"/>
      <c r="D192" s="774" t="s"/>
      <c r="E192" s="774" t="s"/>
      <c r="F192" s="774" t="s"/>
      <c r="G192" s="774" t="s"/>
      <c r="H192" s="737" t="s"/>
      <c r="I192" s="737" t="s"/>
      <c r="J192" s="737" t="s"/>
      <c r="K192" s="737" t="s"/>
      <c r="L192" s="737" t="s"/>
      <c r="M192" s="737" t="s"/>
    </row>
    <row r="193" spans="1:13" customHeight="false">
      <c r="A193" s="737" t="s"/>
      <c r="B193" s="737" t="s"/>
      <c r="C193" s="774" t="s"/>
      <c r="D193" s="774" t="s"/>
      <c r="E193" s="774" t="s"/>
      <c r="F193" s="774" t="s"/>
      <c r="G193" s="774" t="s"/>
      <c r="H193" s="737" t="s"/>
      <c r="I193" s="737" t="s"/>
      <c r="J193" s="737" t="s"/>
      <c r="K193" s="737" t="s"/>
      <c r="L193" s="737" t="s"/>
      <c r="M193" s="737" t="s"/>
    </row>
    <row r="194" spans="1:13" customHeight="false">
      <c r="A194" s="737" t="s"/>
      <c r="B194" s="737" t="s"/>
      <c r="C194" s="774" t="s"/>
      <c r="D194" s="774" t="s"/>
      <c r="E194" s="774" t="s"/>
      <c r="F194" s="774" t="s"/>
      <c r="G194" s="774" t="s"/>
      <c r="H194" s="737" t="s"/>
      <c r="I194" s="737" t="s"/>
      <c r="J194" s="737" t="s"/>
      <c r="K194" s="737" t="s"/>
      <c r="L194" s="737" t="s"/>
      <c r="M194" s="737" t="s"/>
    </row>
    <row r="195" spans="1:13" customHeight="false">
      <c r="A195" s="737" t="s"/>
      <c r="B195" s="737" t="s"/>
      <c r="C195" s="774" t="s"/>
      <c r="D195" s="774" t="s"/>
      <c r="E195" s="774" t="s"/>
      <c r="F195" s="774" t="s"/>
      <c r="G195" s="774" t="s"/>
      <c r="H195" s="737" t="s"/>
      <c r="I195" s="737" t="s"/>
      <c r="J195" s="737" t="s"/>
      <c r="K195" s="737" t="s"/>
      <c r="L195" s="737" t="s"/>
      <c r="M195" s="737" t="s"/>
    </row>
    <row r="196" spans="1:13" customHeight="false">
      <c r="A196" s="737" t="s"/>
      <c r="B196" s="737" t="s"/>
      <c r="C196" s="774" t="s"/>
      <c r="D196" s="774" t="s"/>
      <c r="E196" s="774" t="s"/>
      <c r="F196" s="774" t="s"/>
      <c r="G196" s="774" t="s"/>
      <c r="H196" s="737" t="s"/>
      <c r="I196" s="737" t="s"/>
      <c r="J196" s="737" t="s"/>
      <c r="K196" s="737" t="s"/>
      <c r="L196" s="737" t="s"/>
      <c r="M196" s="737" t="s"/>
    </row>
    <row r="197" spans="1:13" customHeight="false">
      <c r="A197" s="737" t="s"/>
      <c r="B197" s="737" t="s"/>
      <c r="C197" s="774" t="s"/>
      <c r="D197" s="774" t="s"/>
      <c r="E197" s="774" t="s"/>
      <c r="F197" s="774" t="s"/>
      <c r="G197" s="774" t="s"/>
      <c r="H197" s="737" t="s"/>
      <c r="I197" s="737" t="s"/>
      <c r="J197" s="737" t="s"/>
      <c r="K197" s="737" t="s"/>
      <c r="L197" s="737" t="s"/>
      <c r="M197" s="737" t="s"/>
    </row>
    <row r="198" spans="1:13" customHeight="false">
      <c r="A198" s="737" t="s"/>
      <c r="B198" s="737" t="s"/>
      <c r="C198" s="774" t="s"/>
      <c r="D198" s="774" t="s"/>
      <c r="E198" s="774" t="s"/>
      <c r="F198" s="774" t="s"/>
      <c r="G198" s="774" t="s"/>
      <c r="H198" s="737" t="s"/>
      <c r="I198" s="737" t="s"/>
      <c r="J198" s="737" t="s"/>
      <c r="K198" s="737" t="s"/>
      <c r="L198" s="737" t="s"/>
      <c r="M198" s="737" t="s"/>
    </row>
    <row r="199" spans="1:13" customHeight="false">
      <c r="A199" s="737" t="s"/>
      <c r="B199" s="737" t="s"/>
      <c r="C199" s="774" t="s"/>
      <c r="D199" s="774" t="s"/>
      <c r="E199" s="774" t="s"/>
      <c r="F199" s="774" t="s"/>
      <c r="G199" s="774" t="s"/>
      <c r="H199" s="737" t="s"/>
      <c r="I199" s="737" t="s"/>
      <c r="J199" s="737" t="s"/>
      <c r="K199" s="737" t="s"/>
      <c r="L199" s="737" t="s"/>
      <c r="M199" s="737" t="s"/>
    </row>
    <row r="200" spans="1:13" customHeight="false">
      <c r="A200" s="737" t="s"/>
      <c r="B200" s="737" t="s"/>
      <c r="C200" s="774" t="s"/>
      <c r="D200" s="774" t="s"/>
      <c r="E200" s="774" t="s"/>
      <c r="F200" s="774" t="s"/>
      <c r="G200" s="774" t="s"/>
      <c r="H200" s="737" t="s"/>
      <c r="I200" s="737" t="s"/>
      <c r="J200" s="737" t="s"/>
      <c r="K200" s="737" t="s"/>
      <c r="L200" s="737" t="s"/>
      <c r="M200" s="737" t="s"/>
    </row>
    <row r="201" spans="1:13" customHeight="false">
      <c r="A201" s="737" t="s"/>
      <c r="B201" s="737" t="s"/>
      <c r="C201" s="774" t="s"/>
      <c r="D201" s="774" t="s"/>
      <c r="E201" s="774" t="s"/>
      <c r="F201" s="774" t="s"/>
      <c r="G201" s="774" t="s"/>
      <c r="H201" s="737" t="s"/>
      <c r="I201" s="737" t="s"/>
      <c r="J201" s="737" t="s"/>
      <c r="K201" s="737" t="s"/>
      <c r="L201" s="737" t="s"/>
      <c r="M201" s="737" t="s"/>
    </row>
  </sheetData>
  <mergeCells count="8">
    <mergeCell ref="A1:J1"/>
    <mergeCell ref="B2:J2"/>
    <mergeCell ref="A3:A5"/>
    <mergeCell ref="B3:B5"/>
    <mergeCell ref="J3:J5"/>
    <mergeCell ref="J26:J27"/>
    <mergeCell ref="C3:F4"/>
    <mergeCell ref="G3:I4"/>
  </mergeCells>
</worksheet>
</file>

<file path=xl/worksheets/sheet15.xml><?xml version="1.0" encoding="utf-8"?>
<worksheet xmlns="http://schemas.openxmlformats.org/spreadsheetml/2006/main">
  <sheetPr>
    <tabColor rgb="FFFFFFFF"/>
  </sheetPr>
  <dimension ref="K255"/>
  <sheetViews>
    <sheetView showGridLines="true" rightToLeft="false" workbookViewId="0"/>
  </sheetViews>
  <cols>
    <col min="1" max="1" width="10.293" customWidth="true"/>
    <col min="2" max="2" width="29.4414" customWidth="true"/>
    <col min="3" max="3" width="110.473" customWidth="true"/>
    <col min="4" max="7" width="10.293" customWidth="true"/>
    <col min="8" max="8" width="10.8633" customWidth="true"/>
    <col min="9" max="11" width="10.293" customWidth="true"/>
  </cols>
  <sheetData>
    <row r="1" spans="1:11" customHeight="false">
      <c r="A1" s="950" t="s">
        <v>3</v>
      </c>
      <c r="B1" s="951" t="s">
        <v>4</v>
      </c>
      <c r="C1" s="951" t="s">
        <v>1338</v>
      </c>
      <c r="D1" s="951" t="s">
        <v>7</v>
      </c>
      <c r="E1" s="952" t="s">
        <v>8</v>
      </c>
      <c r="F1" s="194" t="s"/>
      <c r="G1" s="194" t="s">
        <v>582</v>
      </c>
      <c r="H1" s="194" t="s">
        <v>2428</v>
      </c>
      <c r="I1" s="194" t="s"/>
      <c r="J1" s="194" t="s"/>
      <c r="K1" s="194" t="s"/>
    </row>
    <row r="2" spans="1:11" customHeight="false">
      <c r="A2" s="953" t="s">
        <v>1346</v>
      </c>
      <c r="B2" s="954" t="s"/>
      <c r="C2" s="954" t="s"/>
      <c r="D2" s="954" t="s"/>
      <c r="E2" s="951" t="s"/>
      <c r="F2" s="194" t="s"/>
      <c r="G2" s="194" t="s"/>
      <c r="H2" s="194" t="s"/>
      <c r="I2" s="194" t="s"/>
      <c r="J2" s="194" t="s"/>
      <c r="K2" s="194" t="s"/>
    </row>
    <row r="3" spans="1:11" customHeight="false">
      <c r="A3" s="953" t="s">
        <v>1347</v>
      </c>
      <c r="B3" s="954" t="s"/>
      <c r="C3" s="954" t="s"/>
      <c r="D3" s="954" t="s"/>
      <c r="E3" s="951" t="s"/>
      <c r="F3" s="194" t="s"/>
      <c r="G3" s="194" t="s"/>
      <c r="H3" s="195">
        <f>=SUM(H4:H8)*1.15</f>
        <v>196.65</v>
      </c>
      <c r="I3" s="194" t="s"/>
      <c r="J3" s="194" t="s"/>
      <c r="K3" s="194" t="s"/>
    </row>
    <row r="4" spans="1:11" customHeight="false">
      <c r="A4" s="955">
        <v>1</v>
      </c>
      <c r="B4" s="956" t="s">
        <v>1348</v>
      </c>
      <c r="C4" s="956" t="s">
        <v>2429</v>
      </c>
      <c r="D4" s="956" t="s">
        <v>45</v>
      </c>
      <c r="E4" s="957">
        <v>1</v>
      </c>
      <c r="F4" s="194" t="s"/>
      <c r="G4" s="194">
        <v>26</v>
      </c>
      <c r="H4" s="194">
        <f>=E4*G4</f>
        <v>26</v>
      </c>
      <c r="I4" s="194" t="s"/>
      <c r="J4" s="194" t="s"/>
      <c r="K4" s="194" t="s"/>
    </row>
    <row r="5" spans="1:11" customHeight="false">
      <c r="A5" s="955">
        <v>2</v>
      </c>
      <c r="B5" s="956" t="s">
        <v>1348</v>
      </c>
      <c r="C5" s="956" t="s">
        <v>2582</v>
      </c>
      <c r="D5" s="956" t="s">
        <v>45</v>
      </c>
      <c r="E5" s="957">
        <v>1</v>
      </c>
      <c r="F5" s="194" t="s"/>
      <c r="G5" s="194">
        <v>35</v>
      </c>
      <c r="H5" s="194">
        <f>=E5*G5</f>
        <v>35</v>
      </c>
      <c r="I5" s="194" t="s"/>
      <c r="J5" s="194" t="s"/>
      <c r="K5" s="194" t="s"/>
    </row>
    <row r="6" spans="1:11" customHeight="false">
      <c r="A6" s="955">
        <v>3</v>
      </c>
      <c r="B6" s="956" t="s">
        <v>2430</v>
      </c>
      <c r="C6" s="956" t="s">
        <v>1357</v>
      </c>
      <c r="D6" s="956" t="s">
        <v>45</v>
      </c>
      <c r="E6" s="957">
        <v>1</v>
      </c>
      <c r="F6" s="194" t="s"/>
      <c r="G6" s="194">
        <v>110</v>
      </c>
      <c r="H6" s="194">
        <f>=E6*G6</f>
        <v>110</v>
      </c>
      <c r="I6" s="194" t="s"/>
      <c r="J6" s="194" t="s"/>
      <c r="K6" s="194" t="s"/>
    </row>
    <row r="7" spans="1:11" customHeight="false">
      <c r="A7" s="955">
        <v>4</v>
      </c>
      <c r="B7" s="956" t="s">
        <v>1361</v>
      </c>
      <c r="C7" s="958" t="s"/>
      <c r="D7" s="956" t="s">
        <v>36</v>
      </c>
      <c r="E7" s="957">
        <v>1</v>
      </c>
      <c r="F7" s="194" t="s"/>
      <c r="G7" s="194" t="s"/>
      <c r="H7" s="194" t="s"/>
      <c r="I7" s="194" t="s"/>
      <c r="J7" s="194" t="s"/>
      <c r="K7" s="194" t="s"/>
    </row>
    <row r="8" spans="1:11" customHeight="false">
      <c r="A8" s="955">
        <v>5</v>
      </c>
      <c r="B8" s="956" t="s">
        <v>1363</v>
      </c>
      <c r="C8" s="956" t="s">
        <v>1364</v>
      </c>
      <c r="D8" s="956" t="s">
        <v>36</v>
      </c>
      <c r="E8" s="957">
        <v>1</v>
      </c>
      <c r="F8" s="194" t="s"/>
      <c r="G8" s="194" t="s"/>
      <c r="H8" s="194" t="s"/>
      <c r="I8" s="194" t="s"/>
      <c r="J8" s="194" t="s"/>
      <c r="K8" s="194" t="s"/>
    </row>
    <row r="9" spans="1:11" customHeight="false">
      <c r="A9" s="953" t="s">
        <v>1365</v>
      </c>
      <c r="B9" s="954" t="s"/>
      <c r="C9" s="954" t="s"/>
      <c r="D9" s="954" t="s"/>
      <c r="E9" s="951" t="s"/>
      <c r="F9" s="194" t="s"/>
      <c r="G9" s="194" t="s"/>
      <c r="H9" s="195">
        <f>=SUM(H10:H52)*0.9</f>
        <v>2409.75</v>
      </c>
      <c r="I9" s="194" t="s"/>
      <c r="J9" s="194" t="s"/>
      <c r="K9" s="194" t="s"/>
    </row>
    <row r="10" spans="1:11" customHeight="false">
      <c r="A10" s="953" t="s">
        <v>1366</v>
      </c>
      <c r="B10" s="954" t="s"/>
      <c r="C10" s="954" t="s"/>
      <c r="D10" s="954" t="s"/>
      <c r="E10" s="951" t="s"/>
      <c r="F10" s="194" t="s"/>
      <c r="G10" s="194" t="s"/>
      <c r="H10" s="194" t="s"/>
      <c r="I10" s="194" t="s"/>
      <c r="J10" s="194" t="s"/>
      <c r="K10" s="194" t="s"/>
    </row>
    <row r="11" spans="1:11" customHeight="false">
      <c r="A11" s="955">
        <v>1</v>
      </c>
      <c r="B11" s="956" t="s">
        <v>1368</v>
      </c>
      <c r="C11" s="956" t="s">
        <v>1369</v>
      </c>
      <c r="D11" s="956" t="s">
        <v>36</v>
      </c>
      <c r="E11" s="957">
        <v>1</v>
      </c>
      <c r="F11" s="194" t="s"/>
      <c r="G11" s="194">
        <v>65</v>
      </c>
      <c r="H11" s="194">
        <f>=E11*G11</f>
        <v>65</v>
      </c>
      <c r="I11" s="194" t="s"/>
      <c r="J11" s="194" t="s"/>
      <c r="K11" s="194" t="s"/>
    </row>
    <row r="12" spans="1:11" customHeight="false">
      <c r="A12" s="955">
        <v>2</v>
      </c>
      <c r="B12" s="956" t="s">
        <v>1373</v>
      </c>
      <c r="C12" s="956" t="s">
        <v>1375</v>
      </c>
      <c r="D12" s="956" t="s">
        <v>45</v>
      </c>
      <c r="E12" s="957">
        <v>4</v>
      </c>
      <c r="F12" s="194" t="s"/>
      <c r="G12" s="194">
        <v>30</v>
      </c>
      <c r="H12" s="194">
        <f>=E12*G12</f>
        <v>120</v>
      </c>
      <c r="I12" s="194" t="s"/>
      <c r="J12" s="194" t="s"/>
      <c r="K12" s="194" t="s"/>
    </row>
    <row r="13" spans="1:11" customHeight="false">
      <c r="A13" s="955">
        <v>3</v>
      </c>
      <c r="B13" s="956" t="s">
        <v>601</v>
      </c>
      <c r="C13" s="956" t="s">
        <v>1379</v>
      </c>
      <c r="D13" s="956" t="s">
        <v>36</v>
      </c>
      <c r="E13" s="957">
        <v>4</v>
      </c>
      <c r="F13" s="194" t="s"/>
      <c r="G13" s="194">
        <v>50</v>
      </c>
      <c r="H13" s="194">
        <f>=E13*G13</f>
        <v>200</v>
      </c>
      <c r="I13" s="194" t="s"/>
      <c r="J13" s="194" t="s"/>
      <c r="K13" s="194" t="s"/>
    </row>
    <row r="14" spans="1:11" customHeight="false">
      <c r="A14" s="955">
        <v>4</v>
      </c>
      <c r="B14" s="956" t="s">
        <v>1383</v>
      </c>
      <c r="C14" s="956" t="s">
        <v>1385</v>
      </c>
      <c r="D14" s="956" t="s">
        <v>45</v>
      </c>
      <c r="E14" s="957">
        <v>4</v>
      </c>
      <c r="F14" s="194" t="s"/>
      <c r="G14" s="194">
        <v>4</v>
      </c>
      <c r="H14" s="194">
        <f>=E14*G14</f>
        <v>16</v>
      </c>
      <c r="I14" s="194" t="s"/>
      <c r="J14" s="194" t="s"/>
      <c r="K14" s="194" t="s"/>
    </row>
    <row r="15" spans="1:11" customHeight="false">
      <c r="A15" s="953" t="s">
        <v>1387</v>
      </c>
      <c r="B15" s="954" t="s"/>
      <c r="C15" s="954" t="s"/>
      <c r="D15" s="954" t="s"/>
      <c r="E15" s="951" t="s"/>
      <c r="F15" s="194" t="s"/>
      <c r="G15" s="194" t="s"/>
      <c r="H15" s="194" t="s"/>
      <c r="I15" s="194" t="s"/>
      <c r="J15" s="194" t="s"/>
      <c r="K15" s="194" t="s"/>
    </row>
    <row r="16" spans="1:11" customHeight="false">
      <c r="A16" s="955">
        <v>5</v>
      </c>
      <c r="B16" s="956" t="s">
        <v>1383</v>
      </c>
      <c r="C16" s="956" t="s">
        <v>1389</v>
      </c>
      <c r="D16" s="956" t="s">
        <v>45</v>
      </c>
      <c r="E16" s="957">
        <v>1</v>
      </c>
      <c r="F16" s="194" t="s"/>
      <c r="G16" s="194">
        <v>6</v>
      </c>
      <c r="H16" s="194">
        <f>=E16*G16</f>
        <v>6</v>
      </c>
      <c r="I16" s="194" t="s"/>
      <c r="J16" s="194" t="s"/>
      <c r="K16" s="194" t="s"/>
    </row>
    <row r="17" spans="1:11" customHeight="false">
      <c r="A17" s="955">
        <v>6</v>
      </c>
      <c r="B17" s="956" t="s">
        <v>1393</v>
      </c>
      <c r="C17" s="956" t="s">
        <v>1394</v>
      </c>
      <c r="D17" s="956" t="s">
        <v>36</v>
      </c>
      <c r="E17" s="957">
        <v>3</v>
      </c>
      <c r="F17" s="194" t="s"/>
      <c r="G17" s="194">
        <v>22</v>
      </c>
      <c r="H17" s="194">
        <f>=E17*G17</f>
        <v>66</v>
      </c>
      <c r="I17" s="194" t="s"/>
      <c r="J17" s="194" t="s"/>
      <c r="K17" s="194" t="s"/>
    </row>
    <row r="18" spans="1:11" customHeight="false">
      <c r="A18" s="955">
        <v>7</v>
      </c>
      <c r="B18" s="956" t="s">
        <v>1396</v>
      </c>
      <c r="C18" s="956" t="s">
        <v>1397</v>
      </c>
      <c r="D18" s="956" t="s">
        <v>36</v>
      </c>
      <c r="E18" s="957">
        <v>3</v>
      </c>
      <c r="F18" s="194" t="s"/>
      <c r="G18" s="194">
        <v>22</v>
      </c>
      <c r="H18" s="194">
        <f>=E18*G18</f>
        <v>66</v>
      </c>
      <c r="I18" s="194" t="s"/>
      <c r="J18" s="194" t="s"/>
      <c r="K18" s="194" t="s"/>
    </row>
    <row r="19" spans="1:11" customHeight="false">
      <c r="A19" s="955">
        <v>8</v>
      </c>
      <c r="B19" s="956" t="s">
        <v>1399</v>
      </c>
      <c r="C19" s="956" t="s">
        <v>1400</v>
      </c>
      <c r="D19" s="956" t="s">
        <v>32</v>
      </c>
      <c r="E19" s="957">
        <v>1</v>
      </c>
      <c r="F19" s="194" t="s"/>
      <c r="G19" s="194">
        <v>6</v>
      </c>
      <c r="H19" s="194">
        <f>=E19*G19</f>
        <v>6</v>
      </c>
      <c r="I19" s="194" t="s"/>
      <c r="J19" s="194" t="s"/>
      <c r="K19" s="194" t="s"/>
    </row>
    <row r="20" spans="1:11" customHeight="false">
      <c r="A20" s="955">
        <v>9</v>
      </c>
      <c r="B20" s="956" t="s">
        <v>1403</v>
      </c>
      <c r="C20" s="956" t="s">
        <v>1404</v>
      </c>
      <c r="D20" s="956" t="s">
        <v>32</v>
      </c>
      <c r="E20" s="957">
        <v>1</v>
      </c>
      <c r="F20" s="194" t="s"/>
      <c r="G20" s="194">
        <v>8</v>
      </c>
      <c r="H20" s="194">
        <f>=E20*G20</f>
        <v>8</v>
      </c>
      <c r="I20" s="194" t="s"/>
      <c r="J20" s="194" t="s"/>
      <c r="K20" s="194" t="s"/>
    </row>
    <row r="21" spans="1:11" customHeight="false">
      <c r="A21" s="959" t="s">
        <v>1405</v>
      </c>
      <c r="B21" s="960" t="s"/>
      <c r="C21" s="960" t="s"/>
      <c r="D21" s="960" t="s"/>
      <c r="E21" s="961" t="s"/>
      <c r="F21" s="194" t="s"/>
      <c r="G21" s="194" t="s"/>
      <c r="H21" s="194" t="s"/>
      <c r="I21" s="194" t="s"/>
      <c r="J21" s="194" t="s"/>
      <c r="K21" s="194" t="s"/>
    </row>
    <row r="22" spans="1:11" customHeight="false">
      <c r="A22" s="962">
        <v>10</v>
      </c>
      <c r="B22" s="963" t="s">
        <v>1407</v>
      </c>
      <c r="C22" s="963" t="s">
        <v>1408</v>
      </c>
      <c r="D22" s="963" t="s">
        <v>36</v>
      </c>
      <c r="E22" s="964">
        <v>8</v>
      </c>
      <c r="F22" s="194" t="s"/>
      <c r="G22" s="194">
        <v>8</v>
      </c>
      <c r="H22" s="194">
        <f>=E22*G22</f>
        <v>64</v>
      </c>
      <c r="I22" s="194" t="s"/>
      <c r="J22" s="194" t="s"/>
      <c r="K22" s="194" t="s"/>
    </row>
    <row r="23" spans="1:11" customHeight="false">
      <c r="A23" s="965">
        <v>11</v>
      </c>
      <c r="B23" s="965" t="s">
        <v>392</v>
      </c>
      <c r="C23" s="966" t="s">
        <v>2431</v>
      </c>
      <c r="D23" s="965" t="s">
        <v>36</v>
      </c>
      <c r="E23" s="967">
        <v>3</v>
      </c>
      <c r="F23" s="194" t="s"/>
      <c r="G23" s="194">
        <v>80</v>
      </c>
      <c r="H23" s="194">
        <f>=E23*G23</f>
        <v>240</v>
      </c>
      <c r="I23" s="194" t="s"/>
      <c r="J23" s="194" t="s"/>
      <c r="K23" s="194" t="s"/>
    </row>
    <row r="24" spans="1:11" customHeight="false">
      <c r="A24" s="962" t="s"/>
      <c r="B24" s="962" t="s"/>
      <c r="C24" s="963" t="s">
        <v>2432</v>
      </c>
      <c r="D24" s="962" t="s"/>
      <c r="E24" s="968" t="s"/>
      <c r="F24" s="194" t="s"/>
      <c r="G24" s="194" t="s"/>
      <c r="H24" s="194" t="s"/>
      <c r="I24" s="194" t="s"/>
      <c r="J24" s="194" t="s"/>
      <c r="K24" s="194" t="s"/>
    </row>
    <row r="25" spans="1:11" customHeight="false">
      <c r="A25" s="962">
        <v>12</v>
      </c>
      <c r="B25" s="963" t="s">
        <v>1415</v>
      </c>
      <c r="C25" s="963" t="s">
        <v>1416</v>
      </c>
      <c r="D25" s="963" t="s">
        <v>36</v>
      </c>
      <c r="E25" s="964">
        <v>1</v>
      </c>
      <c r="F25" s="194" t="s"/>
      <c r="G25" s="194">
        <v>6</v>
      </c>
      <c r="H25" s="194">
        <f>=E25*G25</f>
        <v>6</v>
      </c>
      <c r="I25" s="194" t="s">
        <v>2433</v>
      </c>
      <c r="J25" s="194" t="s"/>
      <c r="K25" s="194" t="s"/>
    </row>
    <row r="26" spans="1:11" customHeight="false">
      <c r="A26" s="962">
        <v>13</v>
      </c>
      <c r="B26" s="963" t="s">
        <v>1403</v>
      </c>
      <c r="C26" s="963" t="s">
        <v>1418</v>
      </c>
      <c r="D26" s="963" t="s">
        <v>36</v>
      </c>
      <c r="E26" s="964">
        <v>1</v>
      </c>
      <c r="F26" s="194" t="s"/>
      <c r="G26" s="194">
        <v>8</v>
      </c>
      <c r="H26" s="194">
        <f>=E26*G26</f>
        <v>8</v>
      </c>
      <c r="I26" s="194" t="s">
        <v>2434</v>
      </c>
      <c r="J26" s="194" t="s"/>
      <c r="K26" s="194" t="s"/>
    </row>
    <row r="27" spans="1:11" customHeight="false">
      <c r="A27" s="959" t="s">
        <v>394</v>
      </c>
      <c r="B27" s="960" t="s"/>
      <c r="C27" s="960" t="s"/>
      <c r="D27" s="960" t="s"/>
      <c r="E27" s="961" t="s"/>
      <c r="F27" s="194" t="s"/>
      <c r="G27" s="194" t="s"/>
      <c r="H27" s="194" t="s"/>
      <c r="I27" s="194" t="s"/>
      <c r="J27" s="194" t="s"/>
      <c r="K27" s="194" t="s"/>
    </row>
    <row r="28" spans="1:11" customHeight="false">
      <c r="A28" s="962">
        <v>14</v>
      </c>
      <c r="B28" s="963" t="s">
        <v>1420</v>
      </c>
      <c r="C28" s="963" t="s">
        <v>1422</v>
      </c>
      <c r="D28" s="963" t="s">
        <v>36</v>
      </c>
      <c r="E28" s="964">
        <v>3</v>
      </c>
      <c r="F28" s="194" t="s"/>
      <c r="G28" s="194">
        <v>9</v>
      </c>
      <c r="H28" s="194">
        <f>=E28*G28</f>
        <v>27</v>
      </c>
      <c r="I28" s="194" t="s">
        <v>2435</v>
      </c>
      <c r="J28" s="194" t="s"/>
      <c r="K28" s="194" t="s"/>
    </row>
    <row r="29" spans="1:11" customHeight="false">
      <c r="A29" s="962">
        <v>15</v>
      </c>
      <c r="B29" s="963" t="s">
        <v>1425</v>
      </c>
      <c r="C29" s="963" t="s">
        <v>1427</v>
      </c>
      <c r="D29" s="963" t="s">
        <v>36</v>
      </c>
      <c r="E29" s="964">
        <v>3</v>
      </c>
      <c r="F29" s="194" t="s"/>
      <c r="G29" s="194">
        <v>25</v>
      </c>
      <c r="H29" s="194">
        <f>=E29*G29</f>
        <v>75</v>
      </c>
      <c r="I29" s="194" t="s"/>
      <c r="J29" s="194" t="s"/>
      <c r="K29" s="194" t="s"/>
    </row>
    <row r="30" spans="1:11" customHeight="false">
      <c r="A30" s="962">
        <v>16</v>
      </c>
      <c r="B30" s="963" t="s">
        <v>1430</v>
      </c>
      <c r="C30" s="963" t="s">
        <v>1431</v>
      </c>
      <c r="D30" s="963" t="s">
        <v>32</v>
      </c>
      <c r="E30" s="964">
        <v>4</v>
      </c>
      <c r="F30" s="194" t="s"/>
      <c r="G30" s="194">
        <v>5</v>
      </c>
      <c r="H30" s="194">
        <f>=E30*G30</f>
        <v>20</v>
      </c>
      <c r="I30" s="194" t="s">
        <v>2436</v>
      </c>
      <c r="J30" s="194" t="s"/>
      <c r="K30" s="194" t="s"/>
    </row>
    <row r="31" spans="1:11" customHeight="false">
      <c r="A31" s="962">
        <v>15</v>
      </c>
      <c r="B31" s="963" t="s">
        <v>1437</v>
      </c>
      <c r="C31" s="963" t="s">
        <v>1438</v>
      </c>
      <c r="D31" s="963" t="s">
        <v>36</v>
      </c>
      <c r="E31" s="964">
        <v>3</v>
      </c>
      <c r="F31" s="194" t="s"/>
      <c r="G31" s="194">
        <v>2</v>
      </c>
      <c r="H31" s="194">
        <f>=E31*G31</f>
        <v>6</v>
      </c>
      <c r="I31" s="194" t="s"/>
      <c r="J31" s="194" t="s"/>
      <c r="K31" s="194" t="s"/>
    </row>
    <row r="32" spans="1:11" customHeight="false">
      <c r="A32" s="962">
        <v>16</v>
      </c>
      <c r="B32" s="963" t="s">
        <v>1446</v>
      </c>
      <c r="C32" s="963" t="s">
        <v>1448</v>
      </c>
      <c r="D32" s="963" t="s">
        <v>36</v>
      </c>
      <c r="E32" s="964">
        <v>3</v>
      </c>
      <c r="F32" s="194" t="s"/>
      <c r="G32" s="194">
        <v>12</v>
      </c>
      <c r="H32" s="194">
        <f>=E32*G32</f>
        <v>36</v>
      </c>
      <c r="I32" s="194" t="s"/>
      <c r="J32" s="194" t="s"/>
      <c r="K32" s="194" t="s"/>
    </row>
    <row r="33" spans="1:11" customHeight="false">
      <c r="A33" s="962">
        <v>17</v>
      </c>
      <c r="B33" s="963" t="s">
        <v>2437</v>
      </c>
      <c r="C33" s="963" t="s">
        <v>2438</v>
      </c>
      <c r="D33" s="963" t="s">
        <v>36</v>
      </c>
      <c r="E33" s="964">
        <v>3</v>
      </c>
      <c r="F33" s="194" t="s"/>
      <c r="G33" s="194">
        <v>200</v>
      </c>
      <c r="H33" s="194">
        <f>=E33*G33</f>
        <v>600</v>
      </c>
      <c r="I33" s="194" t="s"/>
      <c r="J33" s="194" t="s"/>
      <c r="K33" s="194" t="s"/>
    </row>
    <row r="34" spans="1:11" customHeight="false">
      <c r="A34" s="962">
        <v>16</v>
      </c>
      <c r="B34" s="963" t="s">
        <v>2439</v>
      </c>
      <c r="C34" s="963" t="s">
        <v>2440</v>
      </c>
      <c r="D34" s="963" t="s">
        <v>36</v>
      </c>
      <c r="E34" s="964">
        <v>4</v>
      </c>
      <c r="F34" s="194" t="s"/>
      <c r="G34" s="194">
        <v>97.5</v>
      </c>
      <c r="H34" s="194">
        <f>=E34*G34</f>
        <v>390</v>
      </c>
      <c r="I34" s="194" t="s"/>
      <c r="J34" s="194" t="s"/>
      <c r="K34" s="194" t="s"/>
    </row>
    <row r="35" spans="1:11" customHeight="false">
      <c r="A35" s="962">
        <v>17</v>
      </c>
      <c r="B35" s="963" t="s">
        <v>2441</v>
      </c>
      <c r="C35" s="963" t="s">
        <v>2442</v>
      </c>
      <c r="D35" s="963" t="s">
        <v>36</v>
      </c>
      <c r="E35" s="964">
        <v>2</v>
      </c>
      <c r="F35" s="194" t="s"/>
      <c r="G35" s="194" t="s"/>
      <c r="H35" s="194">
        <f>=E35*G35</f>
        <v>0</v>
      </c>
      <c r="I35" s="194" t="s"/>
      <c r="J35" s="194" t="s"/>
      <c r="K35" s="194" t="s"/>
    </row>
    <row r="36" spans="1:11" customHeight="false">
      <c r="A36" s="962">
        <v>18</v>
      </c>
      <c r="B36" s="963" t="s">
        <v>2443</v>
      </c>
      <c r="C36" s="963" t="s">
        <v>2444</v>
      </c>
      <c r="D36" s="963" t="s">
        <v>32</v>
      </c>
      <c r="E36" s="964">
        <v>4</v>
      </c>
      <c r="F36" s="194" t="s"/>
      <c r="G36" s="194">
        <v>15.7</v>
      </c>
      <c r="H36" s="194">
        <f>=E36*G36</f>
        <v>62.8</v>
      </c>
      <c r="I36" s="194" t="s"/>
      <c r="J36" s="194" t="s"/>
      <c r="K36" s="194" t="s"/>
    </row>
    <row r="37" spans="1:11" customHeight="false">
      <c r="A37" s="959" t="s">
        <v>1450</v>
      </c>
      <c r="B37" s="960" t="s"/>
      <c r="C37" s="960" t="s"/>
      <c r="D37" s="960" t="s"/>
      <c r="E37" s="961" t="s"/>
      <c r="F37" s="194" t="s"/>
      <c r="G37" s="194" t="s"/>
      <c r="H37" s="194">
        <f>=E37*G37</f>
        <v>0</v>
      </c>
      <c r="I37" s="194" t="s"/>
      <c r="J37" s="194" t="s"/>
      <c r="K37" s="194" t="s"/>
    </row>
    <row r="38" spans="1:11" customHeight="false">
      <c r="A38" s="962">
        <v>17</v>
      </c>
      <c r="B38" s="963" t="s">
        <v>1420</v>
      </c>
      <c r="C38" s="963" t="s">
        <v>1452</v>
      </c>
      <c r="D38" s="963" t="s">
        <v>36</v>
      </c>
      <c r="E38" s="964">
        <v>5</v>
      </c>
      <c r="F38" s="194" t="s"/>
      <c r="G38" s="194">
        <v>6</v>
      </c>
      <c r="H38" s="194">
        <f>=E38*G38</f>
        <v>30</v>
      </c>
      <c r="I38" s="194" t="s"/>
      <c r="J38" s="194" t="s"/>
      <c r="K38" s="194" t="s"/>
    </row>
    <row r="39" spans="1:11" customHeight="false">
      <c r="A39" s="962">
        <v>18</v>
      </c>
      <c r="B39" s="963" t="s">
        <v>1454</v>
      </c>
      <c r="C39" s="963" t="s">
        <v>1456</v>
      </c>
      <c r="D39" s="963" t="s">
        <v>36</v>
      </c>
      <c r="E39" s="964">
        <v>5</v>
      </c>
      <c r="F39" s="194" t="s"/>
      <c r="G39" s="194">
        <v>85</v>
      </c>
      <c r="H39" s="194">
        <f>=E39*G39</f>
        <v>425</v>
      </c>
      <c r="I39" s="194" t="s"/>
      <c r="J39" s="194" t="s"/>
      <c r="K39" s="194" t="s"/>
    </row>
    <row r="40" spans="1:11" customHeight="false">
      <c r="A40" s="962">
        <v>19</v>
      </c>
      <c r="B40" s="963" t="s">
        <v>1420</v>
      </c>
      <c r="C40" s="963" t="s">
        <v>1459</v>
      </c>
      <c r="D40" s="963" t="s">
        <v>36</v>
      </c>
      <c r="E40" s="964">
        <v>5</v>
      </c>
      <c r="F40" s="194" t="s"/>
      <c r="G40" s="194">
        <v>12</v>
      </c>
      <c r="H40" s="194">
        <f>=E40*G40</f>
        <v>60</v>
      </c>
      <c r="I40" s="194" t="s"/>
      <c r="J40" s="194" t="s"/>
      <c r="K40" s="194" t="s"/>
    </row>
    <row r="41" spans="1:11" customHeight="false">
      <c r="A41" s="962">
        <v>20</v>
      </c>
      <c r="B41" s="963" t="s">
        <v>1383</v>
      </c>
      <c r="C41" s="963" t="s">
        <v>1462</v>
      </c>
      <c r="D41" s="963" t="s">
        <v>36</v>
      </c>
      <c r="E41" s="964">
        <v>1</v>
      </c>
      <c r="F41" s="194" t="s"/>
      <c r="G41" s="194">
        <v>5</v>
      </c>
      <c r="H41" s="194">
        <f>=E41*G41</f>
        <v>5</v>
      </c>
      <c r="I41" s="194" t="s"/>
      <c r="J41" s="194" t="s"/>
      <c r="K41" s="194" t="s"/>
    </row>
    <row r="42" spans="1:11" customHeight="false">
      <c r="A42" s="953" t="s">
        <v>1464</v>
      </c>
      <c r="B42" s="954" t="s"/>
      <c r="C42" s="954" t="s"/>
      <c r="D42" s="954" t="s"/>
      <c r="E42" s="951" t="s"/>
      <c r="F42" s="194" t="s"/>
      <c r="G42" s="194" t="s"/>
      <c r="H42" s="194" t="s"/>
      <c r="I42" s="194" t="s"/>
      <c r="J42" s="194" t="s"/>
      <c r="K42" s="194" t="s"/>
    </row>
    <row r="43" spans="1:11" customHeight="false">
      <c r="A43" s="955">
        <v>21</v>
      </c>
      <c r="B43" s="956" t="s">
        <v>1399</v>
      </c>
      <c r="C43" s="956" t="s">
        <v>1466</v>
      </c>
      <c r="D43" s="956" t="s">
        <v>36</v>
      </c>
      <c r="E43" s="957">
        <v>1</v>
      </c>
      <c r="F43" s="194" t="s"/>
      <c r="G43" s="194">
        <v>6</v>
      </c>
      <c r="H43" s="194">
        <f>=E43*G43</f>
        <v>6</v>
      </c>
      <c r="I43" s="194" t="s"/>
      <c r="J43" s="194" t="s"/>
      <c r="K43" s="194" t="s"/>
    </row>
    <row r="44" spans="1:11" customHeight="false">
      <c r="A44" s="955">
        <v>22</v>
      </c>
      <c r="B44" s="956" t="s">
        <v>1469</v>
      </c>
      <c r="C44" s="956" t="s">
        <v>1470</v>
      </c>
      <c r="D44" s="956" t="s">
        <v>36</v>
      </c>
      <c r="E44" s="957">
        <v>1</v>
      </c>
      <c r="F44" s="194" t="s"/>
      <c r="G44" s="194">
        <v>0.1</v>
      </c>
      <c r="H44" s="194">
        <f>=E44*G44</f>
        <v>0.1</v>
      </c>
      <c r="I44" s="194" t="s"/>
      <c r="J44" s="194" t="s"/>
      <c r="K44" s="194" t="s"/>
    </row>
    <row r="45" spans="1:11" customHeight="false">
      <c r="A45" s="955">
        <v>23</v>
      </c>
      <c r="B45" s="956" t="s">
        <v>1472</v>
      </c>
      <c r="C45" s="956" t="s">
        <v>1473</v>
      </c>
      <c r="D45" s="956" t="s">
        <v>36</v>
      </c>
      <c r="E45" s="957">
        <v>1</v>
      </c>
      <c r="F45" s="194" t="s"/>
      <c r="G45" s="194">
        <v>4</v>
      </c>
      <c r="H45" s="194">
        <f>=E45*G45</f>
        <v>4</v>
      </c>
      <c r="I45" s="194" t="s"/>
      <c r="J45" s="194" t="s"/>
      <c r="K45" s="194" t="s"/>
    </row>
    <row r="46" spans="1:11" customHeight="false">
      <c r="A46" s="955">
        <v>24</v>
      </c>
      <c r="B46" s="956" t="s">
        <v>979</v>
      </c>
      <c r="C46" s="956" t="s">
        <v>1477</v>
      </c>
      <c r="D46" s="956" t="s">
        <v>36</v>
      </c>
      <c r="E46" s="957">
        <v>2</v>
      </c>
      <c r="F46" s="194" t="s"/>
      <c r="G46" s="194">
        <v>8</v>
      </c>
      <c r="H46" s="194">
        <f>=E46*G46</f>
        <v>16</v>
      </c>
      <c r="I46" s="194" t="s"/>
      <c r="J46" s="194" t="s"/>
      <c r="K46" s="194" t="s"/>
    </row>
    <row r="47" spans="1:11" customHeight="false">
      <c r="A47" s="955">
        <v>25</v>
      </c>
      <c r="B47" s="956" t="s">
        <v>1479</v>
      </c>
      <c r="C47" s="956" t="s">
        <v>1480</v>
      </c>
      <c r="D47" s="956" t="s">
        <v>36</v>
      </c>
      <c r="E47" s="957">
        <v>3</v>
      </c>
      <c r="F47" s="194" t="s"/>
      <c r="G47" s="194">
        <v>0.2</v>
      </c>
      <c r="H47" s="194">
        <f>=E47*G47</f>
        <v>0.6</v>
      </c>
      <c r="I47" s="194" t="s"/>
      <c r="J47" s="194" t="s"/>
      <c r="K47" s="194" t="s"/>
    </row>
    <row r="48" spans="1:11" customHeight="false">
      <c r="A48" s="955">
        <v>26</v>
      </c>
      <c r="B48" s="956" t="s">
        <v>1483</v>
      </c>
      <c r="C48" s="956" t="s">
        <v>1485</v>
      </c>
      <c r="D48" s="956" t="s">
        <v>36</v>
      </c>
      <c r="E48" s="957">
        <v>4</v>
      </c>
      <c r="F48" s="194" t="s"/>
      <c r="G48" s="194">
        <v>5</v>
      </c>
      <c r="H48" s="194">
        <f>=E48*G48</f>
        <v>20</v>
      </c>
      <c r="I48" s="194" t="s"/>
      <c r="J48" s="194" t="s"/>
      <c r="K48" s="194" t="s"/>
    </row>
    <row r="49" spans="1:11" customHeight="false">
      <c r="A49" s="955">
        <v>27</v>
      </c>
      <c r="B49" s="956" t="s">
        <v>1488</v>
      </c>
      <c r="C49" s="956" t="s">
        <v>1489</v>
      </c>
      <c r="D49" s="956" t="s">
        <v>36</v>
      </c>
      <c r="E49" s="957">
        <v>2</v>
      </c>
      <c r="F49" s="194" t="s"/>
      <c r="G49" s="194">
        <v>2</v>
      </c>
      <c r="H49" s="194">
        <f>=E49*G49</f>
        <v>4</v>
      </c>
      <c r="I49" s="194" t="s"/>
      <c r="J49" s="194" t="s"/>
      <c r="K49" s="194" t="s"/>
    </row>
    <row r="50" spans="1:11" customHeight="false">
      <c r="A50" s="955">
        <v>28</v>
      </c>
      <c r="B50" s="956" t="s">
        <v>925</v>
      </c>
      <c r="C50" s="956" t="s">
        <v>1492</v>
      </c>
      <c r="D50" s="956" t="s">
        <v>32</v>
      </c>
      <c r="E50" s="957">
        <v>3</v>
      </c>
      <c r="F50" s="194" t="s"/>
      <c r="G50" s="194">
        <v>3</v>
      </c>
      <c r="H50" s="194">
        <f>=E50*G50</f>
        <v>9</v>
      </c>
      <c r="I50" s="194" t="s"/>
      <c r="J50" s="194" t="s"/>
      <c r="K50" s="194" t="s"/>
    </row>
    <row r="51" spans="1:11" customHeight="false">
      <c r="A51" s="955">
        <v>29</v>
      </c>
      <c r="B51" s="956" t="s">
        <v>611</v>
      </c>
      <c r="C51" s="956" t="s">
        <v>1495</v>
      </c>
      <c r="D51" s="956" t="s">
        <v>36</v>
      </c>
      <c r="E51" s="957">
        <v>2</v>
      </c>
      <c r="F51" s="194" t="s"/>
      <c r="G51" s="194">
        <v>2</v>
      </c>
      <c r="H51" s="194">
        <f>=E51*G51</f>
        <v>4</v>
      </c>
      <c r="I51" s="194" t="s"/>
      <c r="J51" s="194" t="s"/>
      <c r="K51" s="194" t="s"/>
    </row>
    <row r="52" spans="1:11" customHeight="false">
      <c r="A52" s="955">
        <v>30</v>
      </c>
      <c r="B52" s="956" t="s">
        <v>637</v>
      </c>
      <c r="C52" s="956" t="s">
        <v>1498</v>
      </c>
      <c r="D52" s="956" t="s">
        <v>45</v>
      </c>
      <c r="E52" s="957">
        <v>1</v>
      </c>
      <c r="F52" s="194" t="s"/>
      <c r="G52" s="194">
        <v>6</v>
      </c>
      <c r="H52" s="194">
        <f>=E52*G52</f>
        <v>6</v>
      </c>
      <c r="I52" s="194" t="s"/>
      <c r="J52" s="194" t="s"/>
      <c r="K52" s="194" t="s"/>
    </row>
    <row r="53" spans="1:11" customHeight="false">
      <c r="A53" s="969" t="s">
        <v>1500</v>
      </c>
      <c r="B53" s="970" t="s"/>
      <c r="C53" s="970" t="s"/>
      <c r="D53" s="970" t="s"/>
      <c r="E53" s="971" t="s"/>
      <c r="F53" s="194" t="s"/>
      <c r="G53" s="194" t="s"/>
      <c r="H53" s="194" t="s"/>
      <c r="I53" s="194" t="s"/>
      <c r="J53" s="194" t="s"/>
      <c r="K53" s="194" t="s"/>
    </row>
    <row r="54" spans="1:11" customHeight="false">
      <c r="A54" s="955">
        <v>31</v>
      </c>
      <c r="B54" s="956" t="s">
        <v>1361</v>
      </c>
      <c r="C54" s="958" t="s"/>
      <c r="D54" s="956" t="s">
        <v>36</v>
      </c>
      <c r="E54" s="957">
        <v>1</v>
      </c>
      <c r="F54" s="194" t="s"/>
      <c r="G54" s="194" t="s"/>
      <c r="H54" s="194" t="s"/>
      <c r="I54" s="194" t="s"/>
      <c r="J54" s="194" t="s"/>
      <c r="K54" s="194" t="s"/>
    </row>
    <row r="55" spans="1:11" customHeight="false">
      <c r="A55" s="955">
        <v>32</v>
      </c>
      <c r="B55" s="956" t="s">
        <v>1361</v>
      </c>
      <c r="C55" s="958" t="s"/>
      <c r="D55" s="956" t="s">
        <v>36</v>
      </c>
      <c r="E55" s="957">
        <v>1</v>
      </c>
      <c r="F55" s="194" t="s"/>
      <c r="G55" s="194" t="s"/>
      <c r="H55" s="194" t="s"/>
      <c r="I55" s="194" t="s"/>
      <c r="J55" s="194" t="s"/>
      <c r="K55" s="194" t="s"/>
    </row>
    <row r="56" spans="1:11" customHeight="false">
      <c r="A56" s="955">
        <v>33</v>
      </c>
      <c r="B56" s="956" t="s">
        <v>1361</v>
      </c>
      <c r="C56" s="958" t="s"/>
      <c r="D56" s="956" t="s">
        <v>36</v>
      </c>
      <c r="E56" s="957">
        <v>1</v>
      </c>
      <c r="F56" s="194" t="s"/>
      <c r="G56" s="194" t="s"/>
      <c r="H56" s="194" t="s"/>
      <c r="I56" s="194" t="s"/>
      <c r="J56" s="194" t="s"/>
      <c r="K56" s="194" t="s"/>
    </row>
    <row r="57" spans="1:11" customHeight="false">
      <c r="A57" s="955">
        <v>34</v>
      </c>
      <c r="B57" s="956" t="s">
        <v>1504</v>
      </c>
      <c r="C57" s="958" t="s"/>
      <c r="D57" s="956" t="s">
        <v>36</v>
      </c>
      <c r="E57" s="957">
        <v>1</v>
      </c>
      <c r="F57" s="194" t="s"/>
      <c r="G57" s="194" t="s"/>
      <c r="H57" s="194" t="s"/>
      <c r="I57" s="194" t="s"/>
      <c r="J57" s="194" t="s"/>
      <c r="K57" s="194" t="s"/>
    </row>
    <row r="58" spans="1:11" customHeight="false">
      <c r="A58" s="955">
        <v>35</v>
      </c>
      <c r="B58" s="956" t="s">
        <v>1504</v>
      </c>
      <c r="C58" s="958" t="s"/>
      <c r="D58" s="956" t="s">
        <v>36</v>
      </c>
      <c r="E58" s="957">
        <v>1</v>
      </c>
      <c r="F58" s="194" t="s"/>
      <c r="G58" s="194" t="s"/>
      <c r="H58" s="194" t="s"/>
      <c r="I58" s="194" t="s"/>
      <c r="J58" s="194" t="s"/>
      <c r="K58" s="194" t="s"/>
    </row>
    <row r="59" spans="1:11" customHeight="false">
      <c r="A59" s="955">
        <v>36</v>
      </c>
      <c r="B59" s="956" t="s">
        <v>1504</v>
      </c>
      <c r="C59" s="958" t="s"/>
      <c r="D59" s="956" t="s">
        <v>36</v>
      </c>
      <c r="E59" s="957">
        <v>1</v>
      </c>
      <c r="F59" s="194" t="s"/>
      <c r="G59" s="194" t="s"/>
      <c r="H59" s="194" t="s"/>
      <c r="I59" s="194" t="s"/>
      <c r="J59" s="194" t="s"/>
      <c r="K59" s="194" t="s"/>
    </row>
    <row r="60" spans="1:11" customHeight="false">
      <c r="A60" s="955">
        <v>37</v>
      </c>
      <c r="B60" s="956" t="s">
        <v>1507</v>
      </c>
      <c r="C60" s="956" t="s">
        <v>1508</v>
      </c>
      <c r="D60" s="956" t="s">
        <v>36</v>
      </c>
      <c r="E60" s="957">
        <v>1</v>
      </c>
      <c r="F60" s="194" t="s"/>
      <c r="G60" s="194" t="s"/>
      <c r="H60" s="194" t="s"/>
      <c r="I60" s="194" t="s"/>
      <c r="J60" s="194" t="s"/>
      <c r="K60" s="194" t="s"/>
    </row>
    <row r="61" spans="1:11" customHeight="false">
      <c r="A61" s="955">
        <v>38</v>
      </c>
      <c r="B61" s="956" t="s">
        <v>1363</v>
      </c>
      <c r="C61" s="956" t="s">
        <v>1511</v>
      </c>
      <c r="D61" s="956" t="s">
        <v>36</v>
      </c>
      <c r="E61" s="957">
        <v>1</v>
      </c>
      <c r="F61" s="194" t="s"/>
      <c r="G61" s="194" t="s"/>
      <c r="H61" s="194" t="s"/>
      <c r="I61" s="194" t="s"/>
      <c r="J61" s="194" t="s"/>
      <c r="K61" s="194" t="s"/>
    </row>
    <row r="62" spans="1:11" customHeight="false">
      <c r="A62" s="955">
        <v>39</v>
      </c>
      <c r="B62" s="956" t="s">
        <v>1513</v>
      </c>
      <c r="C62" s="956" t="s">
        <v>1514</v>
      </c>
      <c r="D62" s="956" t="s">
        <v>36</v>
      </c>
      <c r="E62" s="957">
        <v>3</v>
      </c>
      <c r="F62" s="194" t="s"/>
      <c r="G62" s="194" t="s"/>
      <c r="H62" s="194" t="s"/>
      <c r="I62" s="194" t="s"/>
      <c r="J62" s="194" t="s"/>
      <c r="K62" s="194" t="s"/>
    </row>
    <row r="63" spans="1:11" customHeight="false">
      <c r="A63" s="955">
        <v>40</v>
      </c>
      <c r="B63" s="956" t="s">
        <v>1513</v>
      </c>
      <c r="C63" s="956" t="s">
        <v>1517</v>
      </c>
      <c r="D63" s="956" t="s">
        <v>36</v>
      </c>
      <c r="E63" s="957">
        <v>3</v>
      </c>
      <c r="F63" s="194" t="s"/>
      <c r="G63" s="194" t="s"/>
      <c r="H63" s="194" t="s"/>
      <c r="I63" s="194" t="s"/>
      <c r="J63" s="194" t="s"/>
      <c r="K63" s="194" t="s"/>
    </row>
    <row r="64" spans="1:11" customHeight="false">
      <c r="A64" s="955">
        <v>41</v>
      </c>
      <c r="B64" s="956" t="s">
        <v>1513</v>
      </c>
      <c r="C64" s="956" t="s">
        <v>1520</v>
      </c>
      <c r="D64" s="956" t="s">
        <v>36</v>
      </c>
      <c r="E64" s="957">
        <v>3</v>
      </c>
      <c r="F64" s="194" t="s"/>
      <c r="G64" s="194" t="s"/>
      <c r="H64" s="194" t="s"/>
      <c r="I64" s="194" t="s"/>
      <c r="J64" s="194" t="s"/>
      <c r="K64" s="194" t="s"/>
    </row>
    <row r="65" spans="1:11" customHeight="false">
      <c r="A65" s="955">
        <v>42</v>
      </c>
      <c r="B65" s="956" t="s">
        <v>1363</v>
      </c>
      <c r="C65" s="956" t="s">
        <v>1523</v>
      </c>
      <c r="D65" s="956" t="s">
        <v>36</v>
      </c>
      <c r="E65" s="957">
        <v>2</v>
      </c>
      <c r="F65" s="194" t="s"/>
      <c r="G65" s="194" t="s"/>
      <c r="H65" s="194" t="s"/>
      <c r="I65" s="194" t="s"/>
      <c r="J65" s="194" t="s"/>
      <c r="K65" s="194" t="s"/>
    </row>
    <row r="66" spans="1:11" customHeight="false">
      <c r="A66" s="955">
        <v>43</v>
      </c>
      <c r="B66" s="956" t="s">
        <v>1363</v>
      </c>
      <c r="C66" s="956" t="s">
        <v>1526</v>
      </c>
      <c r="D66" s="956" t="s">
        <v>36</v>
      </c>
      <c r="E66" s="957">
        <v>1</v>
      </c>
      <c r="F66" s="194" t="s"/>
      <c r="G66" s="194" t="s"/>
      <c r="H66" s="194" t="s"/>
      <c r="I66" s="194" t="s"/>
      <c r="J66" s="194" t="s"/>
      <c r="K66" s="194" t="s"/>
    </row>
    <row r="67" spans="1:11" customHeight="false">
      <c r="A67" s="955">
        <v>44</v>
      </c>
      <c r="B67" s="956" t="s">
        <v>1107</v>
      </c>
      <c r="C67" s="956" t="s">
        <v>1529</v>
      </c>
      <c r="D67" s="956" t="s">
        <v>36</v>
      </c>
      <c r="E67" s="957">
        <v>2</v>
      </c>
      <c r="F67" s="194" t="s"/>
      <c r="G67" s="194" t="s"/>
      <c r="H67" s="194" t="s"/>
      <c r="I67" s="194" t="s"/>
      <c r="J67" s="194" t="s"/>
      <c r="K67" s="194" t="s"/>
    </row>
    <row r="68" spans="1:11" customHeight="false">
      <c r="A68" s="955">
        <v>45</v>
      </c>
      <c r="B68" s="956" t="s">
        <v>1532</v>
      </c>
      <c r="C68" s="956" t="s">
        <v>1534</v>
      </c>
      <c r="D68" s="956" t="s">
        <v>36</v>
      </c>
      <c r="E68" s="957">
        <v>1</v>
      </c>
      <c r="F68" s="194" t="s"/>
      <c r="G68" s="194" t="s"/>
      <c r="H68" s="194" t="s"/>
      <c r="I68" s="194" t="s"/>
      <c r="J68" s="194" t="s"/>
      <c r="K68" s="194" t="s"/>
    </row>
    <row r="69" spans="1:11" customHeight="false">
      <c r="A69" s="955">
        <v>46</v>
      </c>
      <c r="B69" s="956" t="s">
        <v>2445</v>
      </c>
      <c r="C69" s="956" t="s">
        <v>2446</v>
      </c>
      <c r="D69" s="956" t="s">
        <v>36</v>
      </c>
      <c r="E69" s="957">
        <v>4</v>
      </c>
      <c r="F69" s="194" t="s"/>
      <c r="G69" s="194" t="s"/>
      <c r="H69" s="194" t="s"/>
      <c r="I69" s="194" t="s"/>
      <c r="J69" s="194" t="s"/>
      <c r="K69" s="194" t="s"/>
    </row>
    <row r="70" spans="1:11" customHeight="false">
      <c r="A70" s="955">
        <v>47</v>
      </c>
      <c r="B70" s="956" t="s">
        <v>1105</v>
      </c>
      <c r="C70" s="958" t="s"/>
      <c r="D70" s="956" t="s">
        <v>36</v>
      </c>
      <c r="E70" s="957">
        <v>4</v>
      </c>
      <c r="F70" s="194" t="s"/>
      <c r="G70" s="194" t="s"/>
      <c r="H70" s="194" t="s"/>
      <c r="I70" s="194" t="s"/>
      <c r="J70" s="194" t="s"/>
      <c r="K70" s="194" t="s"/>
    </row>
    <row r="71" spans="1:11" customHeight="false">
      <c r="A71" s="953" t="s">
        <v>1536</v>
      </c>
      <c r="B71" s="954" t="s"/>
      <c r="C71" s="954" t="s"/>
      <c r="D71" s="954" t="s"/>
      <c r="E71" s="951" t="s"/>
      <c r="F71" s="194" t="s"/>
      <c r="G71" s="194" t="s"/>
      <c r="H71" s="194" t="s"/>
      <c r="I71" s="194" t="s"/>
      <c r="J71" s="194" t="s"/>
      <c r="K71" s="194" t="s"/>
    </row>
    <row r="72" spans="1:11" customHeight="false">
      <c r="A72" s="953" t="s">
        <v>1537</v>
      </c>
      <c r="B72" s="954" t="s"/>
      <c r="C72" s="954" t="s"/>
      <c r="D72" s="954" t="s"/>
      <c r="E72" s="951" t="s"/>
      <c r="F72" s="194" t="s"/>
      <c r="G72" s="194" t="s"/>
      <c r="H72" s="194" t="s"/>
      <c r="I72" s="194" t="s"/>
      <c r="J72" s="194" t="s"/>
      <c r="K72" s="194" t="s"/>
    </row>
    <row r="73" spans="1:11" customHeight="false">
      <c r="A73" s="955">
        <v>1</v>
      </c>
      <c r="B73" s="956" t="s">
        <v>1539</v>
      </c>
      <c r="C73" s="956" t="s">
        <v>1540</v>
      </c>
      <c r="D73" s="956" t="s">
        <v>32</v>
      </c>
      <c r="E73" s="957">
        <v>4</v>
      </c>
      <c r="F73" s="194" t="s"/>
      <c r="G73" s="194" t="s"/>
      <c r="H73" s="194" t="s"/>
      <c r="I73" s="194" t="s"/>
      <c r="J73" s="194" t="s"/>
      <c r="K73" s="194" t="s"/>
    </row>
    <row r="74" spans="1:11" customHeight="false">
      <c r="A74" s="955">
        <v>2</v>
      </c>
      <c r="B74" s="956" t="s">
        <v>1539</v>
      </c>
      <c r="C74" s="956" t="s">
        <v>1540</v>
      </c>
      <c r="D74" s="956" t="s">
        <v>32</v>
      </c>
      <c r="E74" s="957">
        <v>4</v>
      </c>
      <c r="F74" s="194" t="s"/>
      <c r="G74" s="194" t="s"/>
      <c r="H74" s="194" t="s"/>
      <c r="I74" s="194" t="s"/>
      <c r="J74" s="194" t="s"/>
      <c r="K74" s="194" t="s"/>
    </row>
    <row r="75" spans="1:11" customHeight="false">
      <c r="A75" s="955">
        <v>3</v>
      </c>
      <c r="B75" s="956" t="s">
        <v>1543</v>
      </c>
      <c r="C75" s="956" t="s">
        <v>1540</v>
      </c>
      <c r="D75" s="956" t="s">
        <v>32</v>
      </c>
      <c r="E75" s="957">
        <v>8</v>
      </c>
      <c r="F75" s="194" t="s"/>
      <c r="G75" s="194" t="s"/>
      <c r="H75" s="194" t="s"/>
      <c r="I75" s="194" t="s"/>
      <c r="J75" s="194" t="s"/>
      <c r="K75" s="194" t="s"/>
    </row>
    <row r="76" spans="1:11" customHeight="false">
      <c r="A76" s="955">
        <v>4</v>
      </c>
      <c r="B76" s="956" t="s">
        <v>1550</v>
      </c>
      <c r="C76" s="956" t="s">
        <v>1551</v>
      </c>
      <c r="D76" s="956" t="s">
        <v>36</v>
      </c>
      <c r="E76" s="957">
        <v>4000</v>
      </c>
      <c r="F76" s="194" t="s"/>
      <c r="G76" s="194" t="s"/>
      <c r="H76" s="194" t="s"/>
      <c r="I76" s="194" t="s"/>
      <c r="J76" s="194" t="s"/>
      <c r="K76" s="194" t="s"/>
    </row>
    <row r="77" spans="1:11" customHeight="false">
      <c r="A77" s="955">
        <v>5</v>
      </c>
      <c r="B77" s="956" t="s">
        <v>1554</v>
      </c>
      <c r="C77" s="958" t="s"/>
      <c r="D77" s="956" t="s">
        <v>36</v>
      </c>
      <c r="E77" s="957">
        <v>1</v>
      </c>
      <c r="F77" s="194" t="s"/>
      <c r="G77" s="194" t="s"/>
      <c r="H77" s="194" t="s"/>
      <c r="I77" s="194" t="s"/>
      <c r="J77" s="194" t="s"/>
      <c r="K77" s="194" t="s"/>
    </row>
    <row r="78" spans="1:11" customHeight="false">
      <c r="A78" s="955">
        <v>6</v>
      </c>
      <c r="B78" s="956" t="s">
        <v>2447</v>
      </c>
      <c r="C78" s="956" t="s">
        <v>1559</v>
      </c>
      <c r="D78" s="956" t="s">
        <v>32</v>
      </c>
      <c r="E78" s="957">
        <v>5</v>
      </c>
      <c r="F78" s="194" t="s"/>
      <c r="G78" s="194" t="s"/>
      <c r="H78" s="194" t="s"/>
      <c r="I78" s="194" t="s"/>
      <c r="J78" s="194" t="s"/>
      <c r="K78" s="194" t="s"/>
    </row>
    <row r="79" spans="1:11" customHeight="false">
      <c r="A79" s="955">
        <v>7</v>
      </c>
      <c r="B79" s="956" t="s">
        <v>2448</v>
      </c>
      <c r="C79" s="956" t="s">
        <v>1563</v>
      </c>
      <c r="D79" s="956" t="s">
        <v>32</v>
      </c>
      <c r="E79" s="957">
        <v>5</v>
      </c>
      <c r="F79" s="194" t="s"/>
      <c r="G79" s="194" t="s"/>
      <c r="H79" s="194" t="s"/>
      <c r="I79" s="194" t="s"/>
      <c r="J79" s="194" t="s"/>
      <c r="K79" s="194" t="s"/>
    </row>
    <row r="80" spans="1:11" customHeight="false">
      <c r="A80" s="955">
        <v>8</v>
      </c>
      <c r="B80" s="956" t="s">
        <v>1567</v>
      </c>
      <c r="C80" s="956" t="s">
        <v>1568</v>
      </c>
      <c r="D80" s="956" t="s">
        <v>32</v>
      </c>
      <c r="E80" s="957">
        <v>5</v>
      </c>
      <c r="F80" s="194" t="s"/>
      <c r="G80" s="194" t="s"/>
      <c r="H80" s="194" t="s"/>
      <c r="I80" s="194" t="s"/>
      <c r="J80" s="194" t="s"/>
      <c r="K80" s="194" t="s"/>
    </row>
    <row r="81" spans="1:11" customHeight="false">
      <c r="A81" s="955">
        <v>9</v>
      </c>
      <c r="B81" s="956" t="s">
        <v>1039</v>
      </c>
      <c r="C81" s="956" t="s">
        <v>1572</v>
      </c>
      <c r="D81" s="956" t="s">
        <v>32</v>
      </c>
      <c r="E81" s="957">
        <v>4</v>
      </c>
      <c r="F81" s="194" t="s"/>
      <c r="G81" s="194" t="s"/>
      <c r="H81" s="194" t="s"/>
      <c r="I81" s="194" t="s"/>
      <c r="J81" s="194" t="s"/>
      <c r="K81" s="194" t="s"/>
    </row>
    <row r="82" spans="1:11" customHeight="false">
      <c r="A82" s="955">
        <v>10</v>
      </c>
      <c r="B82" s="956" t="s">
        <v>1574</v>
      </c>
      <c r="C82" s="956" t="s">
        <v>2449</v>
      </c>
      <c r="D82" s="956" t="s">
        <v>45</v>
      </c>
      <c r="E82" s="957">
        <v>4</v>
      </c>
      <c r="F82" s="194" t="s"/>
      <c r="G82" s="194" t="s"/>
      <c r="H82" s="194" t="s"/>
      <c r="I82" s="194" t="s"/>
      <c r="J82" s="194" t="s"/>
      <c r="K82" s="194" t="s"/>
    </row>
    <row r="83" spans="1:11" customHeight="false">
      <c r="A83" s="955">
        <v>11</v>
      </c>
      <c r="B83" s="956" t="s">
        <v>1578</v>
      </c>
      <c r="C83" s="956" t="s">
        <v>1580</v>
      </c>
      <c r="D83" s="956" t="s">
        <v>36</v>
      </c>
      <c r="E83" s="957">
        <v>2</v>
      </c>
      <c r="F83" s="194" t="s"/>
      <c r="G83" s="194" t="s"/>
      <c r="H83" s="194" t="s"/>
      <c r="I83" s="194" t="s"/>
      <c r="J83" s="194" t="s"/>
      <c r="K83" s="194" t="s"/>
    </row>
    <row r="84" spans="1:11" customHeight="false">
      <c r="A84" s="955">
        <v>12</v>
      </c>
      <c r="B84" s="956" t="s">
        <v>1584</v>
      </c>
      <c r="C84" s="956" t="s">
        <v>1585</v>
      </c>
      <c r="D84" s="956" t="s">
        <v>36</v>
      </c>
      <c r="E84" s="957">
        <v>2</v>
      </c>
      <c r="F84" s="194" t="s"/>
      <c r="G84" s="194" t="s"/>
      <c r="H84" s="194" t="s"/>
      <c r="I84" s="194" t="s"/>
      <c r="J84" s="194" t="s"/>
      <c r="K84" s="194" t="s"/>
    </row>
    <row r="85" spans="1:11" customHeight="false">
      <c r="A85" s="955">
        <v>13</v>
      </c>
      <c r="B85" s="956" t="s">
        <v>1584</v>
      </c>
      <c r="C85" s="956" t="s">
        <v>1588</v>
      </c>
      <c r="D85" s="956" t="s">
        <v>36</v>
      </c>
      <c r="E85" s="957">
        <v>2</v>
      </c>
      <c r="F85" s="194" t="s"/>
      <c r="G85" s="194" t="s"/>
      <c r="H85" s="194" t="s"/>
      <c r="I85" s="194" t="s"/>
      <c r="J85" s="194" t="s"/>
      <c r="K85" s="194" t="s"/>
    </row>
    <row r="86" spans="1:11" customHeight="false">
      <c r="A86" s="955">
        <v>14</v>
      </c>
      <c r="B86" s="956" t="s">
        <v>1592</v>
      </c>
      <c r="C86" s="956" t="s">
        <v>1598</v>
      </c>
      <c r="D86" s="956" t="s">
        <v>36</v>
      </c>
      <c r="E86" s="957">
        <v>4</v>
      </c>
      <c r="F86" s="194" t="s"/>
      <c r="G86" s="194" t="s"/>
      <c r="H86" s="194" t="s"/>
      <c r="I86" s="194" t="s"/>
      <c r="J86" s="194" t="s"/>
      <c r="K86" s="194" t="s"/>
    </row>
    <row r="87" spans="1:11" customHeight="false">
      <c r="A87" s="955">
        <v>15</v>
      </c>
      <c r="B87" s="956" t="s">
        <v>1592</v>
      </c>
      <c r="C87" s="956" t="s">
        <v>2450</v>
      </c>
      <c r="D87" s="956" t="s">
        <v>36</v>
      </c>
      <c r="E87" s="957">
        <v>6</v>
      </c>
      <c r="F87" s="194" t="s"/>
      <c r="G87" s="194" t="s"/>
      <c r="H87" s="194" t="s"/>
      <c r="I87" s="194" t="s"/>
      <c r="J87" s="194" t="s"/>
      <c r="K87" s="194" t="s"/>
    </row>
    <row r="88" spans="1:11" customHeight="false">
      <c r="A88" s="955">
        <v>16</v>
      </c>
      <c r="B88" s="956" t="s">
        <v>637</v>
      </c>
      <c r="C88" s="956" t="s">
        <v>2451</v>
      </c>
      <c r="D88" s="956" t="s">
        <v>45</v>
      </c>
      <c r="E88" s="957">
        <v>2</v>
      </c>
      <c r="F88" s="194" t="s"/>
      <c r="G88" s="194" t="s"/>
      <c r="H88" s="194" t="s"/>
      <c r="I88" s="194" t="s"/>
      <c r="J88" s="194" t="s"/>
      <c r="K88" s="194" t="s"/>
    </row>
    <row r="89" spans="1:11" customHeight="false">
      <c r="A89" s="955">
        <v>17</v>
      </c>
      <c r="B89" s="956" t="s">
        <v>637</v>
      </c>
      <c r="C89" s="956" t="s">
        <v>1603</v>
      </c>
      <c r="D89" s="956" t="s">
        <v>45</v>
      </c>
      <c r="E89" s="957">
        <v>8</v>
      </c>
      <c r="F89" s="194" t="s"/>
      <c r="G89" s="194" t="s"/>
      <c r="H89" s="194" t="s"/>
      <c r="I89" s="194" t="s"/>
      <c r="J89" s="194" t="s"/>
      <c r="K89" s="194" t="s"/>
    </row>
    <row r="90" spans="1:11" customHeight="false">
      <c r="A90" s="955">
        <v>18</v>
      </c>
      <c r="B90" s="956" t="s">
        <v>637</v>
      </c>
      <c r="C90" s="956" t="s">
        <v>2452</v>
      </c>
      <c r="D90" s="956" t="s">
        <v>32</v>
      </c>
      <c r="E90" s="957">
        <v>4</v>
      </c>
      <c r="F90" s="194" t="s"/>
      <c r="G90" s="194" t="s"/>
      <c r="H90" s="194" t="s"/>
      <c r="I90" s="194" t="s"/>
      <c r="J90" s="194" t="s"/>
      <c r="K90" s="194" t="s"/>
    </row>
    <row r="91" spans="1:11" customHeight="false">
      <c r="A91" s="953" t="s">
        <v>1500</v>
      </c>
      <c r="B91" s="954" t="s"/>
      <c r="C91" s="954" t="s"/>
      <c r="D91" s="954" t="s"/>
      <c r="E91" s="951" t="s"/>
      <c r="F91" s="194" t="s"/>
      <c r="G91" s="194" t="s"/>
      <c r="H91" s="194" t="s"/>
      <c r="I91" s="194" t="s"/>
      <c r="J91" s="194" t="s"/>
      <c r="K91" s="194" t="s"/>
    </row>
    <row r="92" spans="1:11" customHeight="false">
      <c r="A92" s="955">
        <v>1</v>
      </c>
      <c r="B92" s="956" t="s">
        <v>1609</v>
      </c>
      <c r="C92" s="956" t="s">
        <v>1610</v>
      </c>
      <c r="D92" s="956" t="s">
        <v>36</v>
      </c>
      <c r="E92" s="957">
        <v>14</v>
      </c>
      <c r="F92" s="194" t="s"/>
      <c r="G92" s="194" t="s"/>
      <c r="H92" s="194" t="s"/>
      <c r="I92" s="194" t="s"/>
      <c r="J92" s="194" t="s"/>
      <c r="K92" s="194" t="s"/>
    </row>
    <row r="93" spans="1:11" customHeight="false">
      <c r="A93" s="955">
        <v>2</v>
      </c>
      <c r="B93" s="956" t="s">
        <v>1363</v>
      </c>
      <c r="C93" s="956" t="s">
        <v>1612</v>
      </c>
      <c r="D93" s="956" t="s">
        <v>36</v>
      </c>
      <c r="E93" s="957">
        <v>2</v>
      </c>
      <c r="F93" s="194" t="s"/>
      <c r="G93" s="194" t="s"/>
      <c r="H93" s="194" t="s"/>
      <c r="I93" s="194" t="s"/>
      <c r="J93" s="194" t="s"/>
      <c r="K93" s="194" t="s"/>
    </row>
    <row r="94" spans="1:11" customHeight="false">
      <c r="A94" s="955">
        <v>3</v>
      </c>
      <c r="B94" s="956" t="s">
        <v>1615</v>
      </c>
      <c r="C94" s="958" t="s"/>
      <c r="D94" s="956" t="s">
        <v>36</v>
      </c>
      <c r="E94" s="957">
        <v>2</v>
      </c>
      <c r="F94" s="194" t="s"/>
      <c r="G94" s="194" t="s"/>
      <c r="H94" s="194" t="s"/>
      <c r="I94" s="194" t="s"/>
      <c r="J94" s="194" t="s"/>
      <c r="K94" s="194" t="s"/>
    </row>
    <row r="95" spans="1:11" customHeight="false">
      <c r="A95" s="955">
        <v>4</v>
      </c>
      <c r="B95" s="956" t="s">
        <v>1618</v>
      </c>
      <c r="C95" s="958" t="s"/>
      <c r="D95" s="956" t="s">
        <v>36</v>
      </c>
      <c r="E95" s="957">
        <v>4</v>
      </c>
      <c r="F95" s="194" t="s"/>
      <c r="G95" s="194" t="s"/>
      <c r="H95" s="194" t="s"/>
      <c r="I95" s="194" t="s"/>
      <c r="J95" s="194" t="s"/>
      <c r="K95" s="194" t="s"/>
    </row>
    <row r="96" spans="1:11" customHeight="false">
      <c r="A96" s="955">
        <v>5</v>
      </c>
      <c r="B96" s="956" t="s">
        <v>1621</v>
      </c>
      <c r="C96" s="956" t="s">
        <v>927</v>
      </c>
      <c r="D96" s="956" t="s">
        <v>36</v>
      </c>
      <c r="E96" s="957">
        <v>6</v>
      </c>
      <c r="F96" s="194" t="s"/>
      <c r="G96" s="194" t="s"/>
      <c r="H96" s="194" t="s"/>
      <c r="I96" s="194" t="s"/>
      <c r="J96" s="194" t="s"/>
      <c r="K96" s="194" t="s"/>
    </row>
    <row r="97" spans="1:11" customHeight="false">
      <c r="A97" s="955">
        <v>6</v>
      </c>
      <c r="B97" s="956" t="s">
        <v>1107</v>
      </c>
      <c r="C97" s="956" t="s">
        <v>1624</v>
      </c>
      <c r="D97" s="956" t="s">
        <v>36</v>
      </c>
      <c r="E97" s="957">
        <v>2</v>
      </c>
      <c r="F97" s="194" t="s"/>
      <c r="G97" s="194" t="s"/>
      <c r="H97" s="194" t="s"/>
      <c r="I97" s="194" t="s"/>
      <c r="J97" s="194" t="s"/>
      <c r="K97" s="194" t="s"/>
    </row>
    <row r="98" spans="1:11" customHeight="false">
      <c r="A98" s="955">
        <v>7</v>
      </c>
      <c r="B98" s="956" t="s">
        <v>1107</v>
      </c>
      <c r="C98" s="956" t="s">
        <v>1627</v>
      </c>
      <c r="D98" s="956" t="s">
        <v>36</v>
      </c>
      <c r="E98" s="957">
        <v>2</v>
      </c>
      <c r="F98" s="194" t="s"/>
      <c r="G98" s="194" t="s"/>
      <c r="H98" s="194" t="s"/>
      <c r="I98" s="194" t="s"/>
      <c r="J98" s="194" t="s"/>
      <c r="K98" s="194" t="s"/>
    </row>
    <row r="99" spans="1:11" customHeight="false">
      <c r="A99" s="955">
        <v>8</v>
      </c>
      <c r="B99" s="956" t="s">
        <v>1532</v>
      </c>
      <c r="C99" s="956" t="s">
        <v>1629</v>
      </c>
      <c r="D99" s="956" t="s">
        <v>36</v>
      </c>
      <c r="E99" s="957">
        <v>8</v>
      </c>
      <c r="F99" s="194" t="s"/>
      <c r="G99" s="194" t="s"/>
      <c r="H99" s="194" t="s"/>
      <c r="I99" s="194" t="s"/>
      <c r="J99" s="194" t="s"/>
      <c r="K99" s="194" t="s"/>
    </row>
    <row r="100" spans="1:11" customHeight="false">
      <c r="A100" s="955">
        <v>9</v>
      </c>
      <c r="B100" s="956" t="s">
        <v>1105</v>
      </c>
      <c r="C100" s="956" t="s">
        <v>1633</v>
      </c>
      <c r="D100" s="956" t="s">
        <v>36</v>
      </c>
      <c r="E100" s="957">
        <v>14</v>
      </c>
      <c r="F100" s="194" t="s"/>
      <c r="G100" s="194" t="s"/>
      <c r="H100" s="194" t="s"/>
      <c r="I100" s="194" t="s"/>
      <c r="J100" s="194" t="s"/>
      <c r="K100" s="194" t="s"/>
    </row>
    <row r="101" spans="1:11" customHeight="false">
      <c r="A101" s="953" t="s">
        <v>1634</v>
      </c>
      <c r="B101" s="954" t="s"/>
      <c r="C101" s="954" t="s"/>
      <c r="D101" s="954" t="s"/>
      <c r="E101" s="951" t="s"/>
      <c r="F101" s="194" t="s"/>
      <c r="G101" s="194" t="s"/>
      <c r="H101" s="194" t="s"/>
      <c r="I101" s="194" t="s"/>
      <c r="J101" s="194" t="s"/>
      <c r="K101" s="194" t="s"/>
    </row>
    <row r="102" spans="1:11" customHeight="false">
      <c r="A102" s="953" t="s">
        <v>1537</v>
      </c>
      <c r="B102" s="954" t="s"/>
      <c r="C102" s="954" t="s"/>
      <c r="D102" s="954" t="s"/>
      <c r="E102" s="951" t="s"/>
      <c r="F102" s="194" t="s"/>
      <c r="G102" s="194" t="s"/>
      <c r="H102" s="194" t="s"/>
      <c r="I102" s="194" t="s"/>
      <c r="J102" s="194" t="s"/>
      <c r="K102" s="194" t="s"/>
    </row>
    <row r="103" spans="1:11" customHeight="false">
      <c r="A103" s="955">
        <v>1</v>
      </c>
      <c r="B103" s="956" t="s">
        <v>1636</v>
      </c>
      <c r="C103" s="956" t="s">
        <v>1637</v>
      </c>
      <c r="D103" s="956" t="s">
        <v>36</v>
      </c>
      <c r="E103" s="957">
        <v>10</v>
      </c>
      <c r="F103" s="194" t="s"/>
      <c r="G103" s="194" t="s"/>
      <c r="H103" s="194" t="s"/>
      <c r="I103" s="194" t="s"/>
      <c r="J103" s="194" t="s"/>
      <c r="K103" s="194" t="s"/>
    </row>
    <row r="104" spans="1:11" customHeight="false">
      <c r="A104" s="955">
        <v>2</v>
      </c>
      <c r="B104" s="956" t="s">
        <v>1640</v>
      </c>
      <c r="C104" s="956" t="s">
        <v>2453</v>
      </c>
      <c r="D104" s="956" t="s">
        <v>32</v>
      </c>
      <c r="E104" s="957">
        <v>10</v>
      </c>
      <c r="F104" s="194" t="s"/>
      <c r="G104" s="194" t="s"/>
      <c r="H104" s="194" t="s"/>
      <c r="I104" s="194" t="s"/>
      <c r="J104" s="194" t="s"/>
      <c r="K104" s="194" t="s"/>
    </row>
    <row r="105" spans="1:11" customHeight="false">
      <c r="A105" s="955">
        <v>3</v>
      </c>
      <c r="B105" s="956" t="s">
        <v>1584</v>
      </c>
      <c r="C105" s="956" t="s">
        <v>2454</v>
      </c>
      <c r="D105" s="956" t="s">
        <v>45</v>
      </c>
      <c r="E105" s="957">
        <v>10</v>
      </c>
      <c r="F105" s="194" t="s"/>
      <c r="G105" s="194" t="s"/>
      <c r="H105" s="194" t="s"/>
      <c r="I105" s="194" t="s"/>
      <c r="J105" s="194" t="s"/>
      <c r="K105" s="194" t="s"/>
    </row>
    <row r="106" spans="1:11" customHeight="false">
      <c r="A106" s="955">
        <v>4</v>
      </c>
      <c r="B106" s="956" t="s">
        <v>1648</v>
      </c>
      <c r="C106" s="956" t="s">
        <v>1650</v>
      </c>
      <c r="D106" s="956" t="s">
        <v>32</v>
      </c>
      <c r="E106" s="957">
        <v>8</v>
      </c>
      <c r="F106" s="194" t="s"/>
      <c r="G106" s="194" t="s"/>
      <c r="H106" s="194" t="s"/>
      <c r="I106" s="194" t="s"/>
      <c r="J106" s="194" t="s"/>
      <c r="K106" s="194" t="s"/>
    </row>
    <row r="107" spans="1:11" customHeight="false">
      <c r="A107" s="955">
        <v>5</v>
      </c>
      <c r="B107" s="956" t="s">
        <v>637</v>
      </c>
      <c r="C107" s="956" t="s">
        <v>2455</v>
      </c>
      <c r="D107" s="956" t="s">
        <v>32</v>
      </c>
      <c r="E107" s="957">
        <v>2</v>
      </c>
      <c r="F107" s="194" t="s"/>
      <c r="G107" s="194" t="s"/>
      <c r="H107" s="194" t="s"/>
      <c r="I107" s="194" t="s"/>
      <c r="J107" s="194" t="s"/>
      <c r="K107" s="194" t="s"/>
    </row>
    <row r="108" spans="1:11" customHeight="false">
      <c r="A108" s="955">
        <v>6</v>
      </c>
      <c r="B108" s="956" t="s">
        <v>1654</v>
      </c>
      <c r="C108" s="956" t="s">
        <v>1655</v>
      </c>
      <c r="D108" s="956" t="s">
        <v>32</v>
      </c>
      <c r="E108" s="957">
        <v>2</v>
      </c>
      <c r="F108" s="194" t="s"/>
      <c r="G108" s="194" t="s"/>
      <c r="H108" s="194" t="s"/>
      <c r="I108" s="194" t="s"/>
      <c r="J108" s="194" t="s"/>
      <c r="K108" s="194" t="s"/>
    </row>
    <row r="109" spans="1:11" customHeight="false">
      <c r="A109" s="955">
        <v>7</v>
      </c>
      <c r="B109" s="956" t="s">
        <v>611</v>
      </c>
      <c r="C109" s="956" t="s">
        <v>1658</v>
      </c>
      <c r="D109" s="956" t="s">
        <v>36</v>
      </c>
      <c r="E109" s="957">
        <v>1</v>
      </c>
      <c r="F109" s="194" t="s"/>
      <c r="G109" s="194" t="s"/>
      <c r="H109" s="194" t="s"/>
      <c r="I109" s="194" t="s"/>
      <c r="J109" s="194" t="s"/>
      <c r="K109" s="194" t="s"/>
    </row>
    <row r="110" spans="1:11" customHeight="false">
      <c r="A110" s="955">
        <v>8</v>
      </c>
      <c r="B110" s="956" t="s">
        <v>637</v>
      </c>
      <c r="C110" s="956" t="s">
        <v>2456</v>
      </c>
      <c r="D110" s="956" t="s">
        <v>45</v>
      </c>
      <c r="E110" s="957">
        <v>1</v>
      </c>
      <c r="F110" s="194" t="s"/>
      <c r="G110" s="194" t="s"/>
      <c r="H110" s="194" t="s"/>
      <c r="I110" s="194" t="s"/>
      <c r="J110" s="194" t="s"/>
      <c r="K110" s="194" t="s"/>
    </row>
    <row r="111" spans="1:11" customHeight="false">
      <c r="A111" s="953" t="s">
        <v>1500</v>
      </c>
      <c r="B111" s="954" t="s"/>
      <c r="C111" s="954" t="s"/>
      <c r="D111" s="954" t="s"/>
      <c r="E111" s="951" t="s"/>
      <c r="F111" s="194" t="s"/>
      <c r="G111" s="194" t="s"/>
      <c r="H111" s="194" t="s"/>
      <c r="I111" s="194" t="s"/>
      <c r="J111" s="194" t="s"/>
      <c r="K111" s="194" t="s"/>
    </row>
    <row r="112" spans="1:11" customHeight="false">
      <c r="A112" s="955">
        <v>1</v>
      </c>
      <c r="B112" s="956" t="s">
        <v>1661</v>
      </c>
      <c r="C112" s="958" t="s"/>
      <c r="D112" s="956" t="s">
        <v>36</v>
      </c>
      <c r="E112" s="957">
        <v>2</v>
      </c>
      <c r="F112" s="194" t="s"/>
      <c r="G112" s="194" t="s"/>
      <c r="H112" s="194" t="s"/>
      <c r="I112" s="194" t="s"/>
      <c r="J112" s="194" t="s"/>
      <c r="K112" s="194" t="s"/>
    </row>
    <row r="113" spans="1:11" customHeight="false">
      <c r="A113" s="955">
        <v>2</v>
      </c>
      <c r="B113" s="956" t="s">
        <v>1107</v>
      </c>
      <c r="C113" s="956" t="s">
        <v>2457</v>
      </c>
      <c r="D113" s="956" t="s">
        <v>36</v>
      </c>
      <c r="E113" s="957">
        <v>1</v>
      </c>
      <c r="F113" s="194" t="s"/>
      <c r="G113" s="194" t="s"/>
      <c r="H113" s="194" t="s"/>
      <c r="I113" s="194" t="s"/>
      <c r="J113" s="194" t="s"/>
      <c r="K113" s="194" t="s"/>
    </row>
    <row r="114" spans="1:11" customHeight="false">
      <c r="A114" s="953" t="s">
        <v>1663</v>
      </c>
      <c r="B114" s="954" t="s"/>
      <c r="C114" s="954" t="s"/>
      <c r="D114" s="954" t="s"/>
      <c r="E114" s="951" t="s"/>
      <c r="F114" s="194" t="s"/>
      <c r="G114" s="194" t="s"/>
      <c r="H114" s="194" t="s"/>
      <c r="I114" s="194" t="s"/>
      <c r="J114" s="194" t="s"/>
      <c r="K114" s="194" t="s"/>
    </row>
    <row r="115" spans="1:11" customHeight="false">
      <c r="A115" s="955">
        <v>1</v>
      </c>
      <c r="B115" s="956" t="s">
        <v>1665</v>
      </c>
      <c r="C115" s="956" t="s">
        <v>1666</v>
      </c>
      <c r="D115" s="956" t="s">
        <v>36</v>
      </c>
      <c r="E115" s="957">
        <v>3</v>
      </c>
      <c r="F115" s="194" t="s"/>
      <c r="G115" s="194" t="s"/>
      <c r="H115" s="194" t="s"/>
      <c r="I115" s="194" t="s"/>
      <c r="J115" s="194" t="s"/>
      <c r="K115" s="194" t="s"/>
    </row>
    <row r="116" spans="1:11" customHeight="false">
      <c r="A116" s="955">
        <v>2</v>
      </c>
      <c r="B116" s="956" t="s">
        <v>1670</v>
      </c>
      <c r="C116" s="956" t="s">
        <v>1672</v>
      </c>
      <c r="D116" s="956" t="s">
        <v>36</v>
      </c>
      <c r="E116" s="957">
        <v>3</v>
      </c>
      <c r="F116" s="194" t="s"/>
      <c r="G116" s="194" t="s"/>
      <c r="H116" s="194" t="s"/>
      <c r="I116" s="194" t="s"/>
      <c r="J116" s="194" t="s"/>
      <c r="K116" s="194" t="s"/>
    </row>
    <row r="117" spans="1:11" customHeight="false">
      <c r="A117" s="955">
        <v>3</v>
      </c>
      <c r="B117" s="956" t="s">
        <v>1675</v>
      </c>
      <c r="C117" s="956" t="s">
        <v>1676</v>
      </c>
      <c r="D117" s="956" t="s">
        <v>36</v>
      </c>
      <c r="E117" s="957">
        <v>3</v>
      </c>
      <c r="F117" s="194" t="s"/>
      <c r="G117" s="194" t="s"/>
      <c r="H117" s="194" t="s"/>
      <c r="I117" s="194" t="s"/>
      <c r="J117" s="194" t="s"/>
      <c r="K117" s="194" t="s"/>
    </row>
    <row r="118" spans="1:11" customHeight="false">
      <c r="A118" s="955">
        <v>4</v>
      </c>
      <c r="B118" s="956" t="s">
        <v>1679</v>
      </c>
      <c r="C118" s="956" t="s">
        <v>1680</v>
      </c>
      <c r="D118" s="956" t="s">
        <v>36</v>
      </c>
      <c r="E118" s="957">
        <v>3</v>
      </c>
      <c r="F118" s="194" t="s"/>
      <c r="G118" s="194" t="s"/>
      <c r="H118" s="194" t="s"/>
      <c r="I118" s="194" t="s"/>
      <c r="J118" s="194" t="s"/>
      <c r="K118" s="194" t="s"/>
    </row>
    <row r="119" spans="1:11" customHeight="false">
      <c r="A119" s="955">
        <v>5</v>
      </c>
      <c r="B119" s="956" t="s">
        <v>1682</v>
      </c>
      <c r="C119" s="956" t="s">
        <v>1683</v>
      </c>
      <c r="D119" s="956" t="s">
        <v>36</v>
      </c>
      <c r="E119" s="957">
        <v>3</v>
      </c>
      <c r="F119" s="194" t="s"/>
      <c r="G119" s="194" t="s"/>
      <c r="H119" s="194" t="s"/>
      <c r="I119" s="194" t="s"/>
      <c r="J119" s="194" t="s"/>
      <c r="K119" s="194" t="s"/>
    </row>
    <row r="120" spans="1:11" customHeight="false">
      <c r="A120" s="955">
        <v>6</v>
      </c>
      <c r="B120" s="956" t="s">
        <v>1685</v>
      </c>
      <c r="C120" s="956" t="s">
        <v>1686</v>
      </c>
      <c r="D120" s="956" t="s">
        <v>36</v>
      </c>
      <c r="E120" s="957">
        <v>3</v>
      </c>
      <c r="F120" s="194" t="s"/>
      <c r="G120" s="194" t="s"/>
      <c r="H120" s="194" t="s"/>
      <c r="I120" s="194" t="s"/>
      <c r="J120" s="194" t="s"/>
      <c r="K120" s="194" t="s"/>
    </row>
    <row r="121" spans="1:11" customHeight="false">
      <c r="A121" s="955">
        <v>7</v>
      </c>
      <c r="B121" s="956" t="s">
        <v>1689</v>
      </c>
      <c r="C121" s="956" t="s">
        <v>1690</v>
      </c>
      <c r="D121" s="956" t="s">
        <v>36</v>
      </c>
      <c r="E121" s="957">
        <v>3</v>
      </c>
      <c r="F121" s="194" t="s"/>
      <c r="G121" s="194" t="s"/>
      <c r="H121" s="194" t="s"/>
      <c r="I121" s="194" t="s"/>
      <c r="J121" s="194" t="s"/>
      <c r="K121" s="194" t="s"/>
    </row>
    <row r="122" spans="1:11" customHeight="false">
      <c r="A122" s="955">
        <v>8</v>
      </c>
      <c r="B122" s="956" t="s">
        <v>1692</v>
      </c>
      <c r="C122" s="956" t="s">
        <v>1693</v>
      </c>
      <c r="D122" s="956" t="s">
        <v>36</v>
      </c>
      <c r="E122" s="957">
        <v>3</v>
      </c>
      <c r="F122" s="194" t="s"/>
      <c r="G122" s="194" t="s"/>
      <c r="H122" s="194" t="s"/>
      <c r="I122" s="194" t="s"/>
      <c r="J122" s="194" t="s"/>
      <c r="K122" s="194" t="s"/>
    </row>
    <row r="123" spans="1:11" customHeight="false">
      <c r="A123" s="955">
        <v>9</v>
      </c>
      <c r="B123" s="956" t="s">
        <v>1695</v>
      </c>
      <c r="C123" s="956" t="s">
        <v>1696</v>
      </c>
      <c r="D123" s="956" t="s">
        <v>32</v>
      </c>
      <c r="E123" s="957">
        <v>3</v>
      </c>
      <c r="F123" s="194" t="s"/>
      <c r="G123" s="194" t="s"/>
      <c r="H123" s="194" t="s"/>
      <c r="I123" s="194" t="s"/>
      <c r="J123" s="194" t="s"/>
      <c r="K123" s="194" t="s"/>
    </row>
    <row r="124" spans="1:11" customHeight="false">
      <c r="A124" s="955">
        <v>10</v>
      </c>
      <c r="B124" s="956" t="s">
        <v>1698</v>
      </c>
      <c r="C124" s="956" t="s">
        <v>1699</v>
      </c>
      <c r="D124" s="956" t="s">
        <v>32</v>
      </c>
      <c r="E124" s="957">
        <v>6</v>
      </c>
      <c r="F124" s="194" t="s"/>
      <c r="G124" s="194" t="s"/>
      <c r="H124" s="194" t="s"/>
      <c r="I124" s="194" t="s"/>
      <c r="J124" s="194" t="s"/>
      <c r="K124" s="194" t="s"/>
    </row>
    <row r="125" spans="1:11" customHeight="false">
      <c r="A125" s="955">
        <v>11</v>
      </c>
      <c r="B125" s="956" t="s">
        <v>1703</v>
      </c>
      <c r="C125" s="956" t="s">
        <v>1704</v>
      </c>
      <c r="D125" s="956" t="s">
        <v>32</v>
      </c>
      <c r="E125" s="957">
        <v>6</v>
      </c>
      <c r="F125" s="194" t="s"/>
      <c r="G125" s="194" t="s"/>
      <c r="H125" s="194" t="s"/>
      <c r="I125" s="194" t="s"/>
      <c r="J125" s="194" t="s"/>
      <c r="K125" s="194" t="s"/>
    </row>
    <row r="126" spans="1:11" customHeight="false">
      <c r="A126" s="955">
        <v>12</v>
      </c>
      <c r="B126" s="956" t="s">
        <v>1707</v>
      </c>
      <c r="C126" s="956" t="s">
        <v>1708</v>
      </c>
      <c r="D126" s="956" t="s">
        <v>36</v>
      </c>
      <c r="E126" s="957">
        <v>2</v>
      </c>
      <c r="F126" s="194" t="s"/>
      <c r="G126" s="194" t="s"/>
      <c r="H126" s="194" t="s"/>
      <c r="I126" s="194" t="s"/>
      <c r="J126" s="194" t="s"/>
      <c r="K126" s="194" t="s"/>
    </row>
    <row r="127" spans="1:11" customHeight="false">
      <c r="A127" s="955">
        <v>13</v>
      </c>
      <c r="B127" s="956" t="s">
        <v>1712</v>
      </c>
      <c r="C127" s="958" t="s"/>
      <c r="D127" s="956" t="s">
        <v>36</v>
      </c>
      <c r="E127" s="957">
        <v>3</v>
      </c>
      <c r="F127" s="194" t="s"/>
      <c r="G127" s="194" t="s"/>
      <c r="H127" s="194" t="s"/>
      <c r="I127" s="194" t="s"/>
      <c r="J127" s="194" t="s"/>
      <c r="K127" s="194" t="s"/>
    </row>
    <row r="128" spans="1:11" customHeight="false">
      <c r="A128" s="955">
        <v>14</v>
      </c>
      <c r="B128" s="956" t="s">
        <v>1715</v>
      </c>
      <c r="C128" s="956" t="s">
        <v>1717</v>
      </c>
      <c r="D128" s="956" t="s">
        <v>25</v>
      </c>
      <c r="E128" s="957">
        <v>3</v>
      </c>
      <c r="F128" s="194" t="s"/>
      <c r="G128" s="194" t="s"/>
      <c r="H128" s="194" t="s"/>
      <c r="I128" s="194" t="s"/>
      <c r="J128" s="194" t="s"/>
      <c r="K128" s="194" t="s"/>
    </row>
    <row r="129" spans="1:11" customHeight="false">
      <c r="A129" s="955">
        <v>15</v>
      </c>
      <c r="B129" s="956" t="s">
        <v>1719</v>
      </c>
      <c r="C129" s="956" t="s">
        <v>1721</v>
      </c>
      <c r="D129" s="956" t="s">
        <v>32</v>
      </c>
      <c r="E129" s="957">
        <v>4</v>
      </c>
      <c r="F129" s="194" t="s"/>
      <c r="G129" s="194" t="s"/>
      <c r="H129" s="194" t="s"/>
      <c r="I129" s="194" t="s"/>
      <c r="J129" s="194" t="s"/>
      <c r="K129" s="194" t="s"/>
    </row>
    <row r="130" spans="1:11" customHeight="false">
      <c r="A130" s="955">
        <v>16</v>
      </c>
      <c r="B130" s="956" t="s">
        <v>1724</v>
      </c>
      <c r="C130" s="958" t="s"/>
      <c r="D130" s="956" t="s">
        <v>36</v>
      </c>
      <c r="E130" s="957">
        <v>1</v>
      </c>
      <c r="F130" s="194" t="s"/>
      <c r="G130" s="194" t="s"/>
      <c r="H130" s="194" t="s"/>
      <c r="I130" s="194" t="s"/>
      <c r="J130" s="194" t="s"/>
      <c r="K130" s="194" t="s"/>
    </row>
    <row r="131" spans="1:11" customHeight="false">
      <c r="A131" s="955">
        <v>17</v>
      </c>
      <c r="B131" s="956" t="s">
        <v>1727</v>
      </c>
      <c r="C131" s="956" t="s">
        <v>1728</v>
      </c>
      <c r="D131" s="956" t="s">
        <v>32</v>
      </c>
      <c r="E131" s="957">
        <v>4</v>
      </c>
      <c r="F131" s="194" t="s"/>
      <c r="G131" s="194" t="s"/>
      <c r="H131" s="194" t="s"/>
      <c r="I131" s="194" t="s"/>
      <c r="J131" s="194" t="s"/>
      <c r="K131" s="194" t="s"/>
    </row>
    <row r="132" spans="1:11" customHeight="false">
      <c r="A132" s="955">
        <v>18</v>
      </c>
      <c r="B132" s="956" t="s">
        <v>1730</v>
      </c>
      <c r="C132" s="956" t="s">
        <v>1731</v>
      </c>
      <c r="D132" s="956" t="s">
        <v>32</v>
      </c>
      <c r="E132" s="957">
        <v>1</v>
      </c>
      <c r="F132" s="194" t="s"/>
      <c r="G132" s="194" t="s"/>
      <c r="H132" s="194" t="s"/>
      <c r="I132" s="194" t="s"/>
      <c r="J132" s="194" t="s"/>
      <c r="K132" s="194" t="s"/>
    </row>
    <row r="133" spans="1:11" customHeight="false">
      <c r="A133" s="955">
        <v>19</v>
      </c>
      <c r="B133" s="956" t="s">
        <v>1734</v>
      </c>
      <c r="C133" s="956" t="s">
        <v>359</v>
      </c>
      <c r="D133" s="956" t="s">
        <v>45</v>
      </c>
      <c r="E133" s="957">
        <v>6</v>
      </c>
      <c r="F133" s="194" t="s"/>
      <c r="G133" s="194" t="s"/>
      <c r="H133" s="194" t="s"/>
      <c r="I133" s="194" t="s"/>
      <c r="J133" s="194" t="s"/>
      <c r="K133" s="194" t="s"/>
    </row>
    <row r="134" spans="1:11" customHeight="false">
      <c r="A134" s="955">
        <v>20</v>
      </c>
      <c r="B134" s="956" t="s">
        <v>1735</v>
      </c>
      <c r="C134" s="958" t="s"/>
      <c r="D134" s="956" t="s">
        <v>36</v>
      </c>
      <c r="E134" s="957">
        <v>1</v>
      </c>
      <c r="F134" s="194" t="s"/>
      <c r="G134" s="194" t="s"/>
      <c r="H134" s="194" t="s"/>
      <c r="I134" s="194" t="s"/>
      <c r="J134" s="194" t="s"/>
      <c r="K134" s="194" t="s"/>
    </row>
    <row r="135" spans="1:11" customHeight="false">
      <c r="A135" s="955">
        <v>21</v>
      </c>
      <c r="B135" s="956" t="s">
        <v>1363</v>
      </c>
      <c r="C135" s="956" t="s">
        <v>1736</v>
      </c>
      <c r="D135" s="956" t="s">
        <v>36</v>
      </c>
      <c r="E135" s="957">
        <v>2</v>
      </c>
      <c r="F135" s="194" t="s"/>
      <c r="G135" s="194" t="s"/>
      <c r="H135" s="194" t="s"/>
      <c r="I135" s="194" t="s"/>
      <c r="J135" s="194" t="s"/>
      <c r="K135" s="194" t="s"/>
    </row>
    <row r="136" spans="1:11" customHeight="false">
      <c r="A136" s="955">
        <v>22</v>
      </c>
      <c r="B136" s="956" t="s">
        <v>1738</v>
      </c>
      <c r="C136" s="956" t="s">
        <v>1739</v>
      </c>
      <c r="D136" s="956" t="s">
        <v>36</v>
      </c>
      <c r="E136" s="957">
        <v>1</v>
      </c>
      <c r="F136" s="194" t="s"/>
      <c r="G136" s="194" t="s"/>
      <c r="H136" s="194" t="s"/>
      <c r="I136" s="194" t="s"/>
      <c r="J136" s="194" t="s"/>
      <c r="K136" s="194" t="s"/>
    </row>
    <row r="137" spans="1:11" customHeight="false">
      <c r="A137" s="955">
        <v>23</v>
      </c>
      <c r="B137" s="956" t="s">
        <v>1741</v>
      </c>
      <c r="C137" s="956" t="s">
        <v>1742</v>
      </c>
      <c r="D137" s="956" t="s">
        <v>36</v>
      </c>
      <c r="E137" s="957">
        <v>2</v>
      </c>
      <c r="F137" s="194" t="s"/>
      <c r="G137" s="194" t="s"/>
      <c r="H137" s="194" t="s"/>
      <c r="I137" s="194" t="s"/>
      <c r="J137" s="194" t="s"/>
      <c r="K137" s="194" t="s"/>
    </row>
    <row r="138" spans="1:11" customHeight="false">
      <c r="A138" s="955">
        <v>24</v>
      </c>
      <c r="B138" s="956" t="s">
        <v>1741</v>
      </c>
      <c r="C138" s="956" t="s">
        <v>1742</v>
      </c>
      <c r="D138" s="956" t="s">
        <v>36</v>
      </c>
      <c r="E138" s="957">
        <v>2</v>
      </c>
      <c r="F138" s="194" t="s"/>
      <c r="G138" s="194" t="s"/>
      <c r="H138" s="194" t="s"/>
      <c r="I138" s="194" t="s"/>
      <c r="J138" s="194" t="s"/>
      <c r="K138" s="194" t="s"/>
    </row>
    <row r="139" spans="1:11" customHeight="false">
      <c r="A139" s="959" t="s">
        <v>2458</v>
      </c>
      <c r="B139" s="960" t="s"/>
      <c r="C139" s="960" t="s"/>
      <c r="D139" s="960" t="s"/>
      <c r="E139" s="961" t="s"/>
      <c r="F139" s="194" t="s"/>
      <c r="G139" s="194" t="s"/>
      <c r="H139" s="194" t="s"/>
      <c r="I139" s="194" t="s"/>
      <c r="J139" s="194" t="s"/>
      <c r="K139" s="194" t="s"/>
    </row>
    <row r="140" spans="1:11" customHeight="false">
      <c r="A140" s="962">
        <v>1</v>
      </c>
      <c r="B140" s="963" t="s">
        <v>2459</v>
      </c>
      <c r="C140" s="963" t="s">
        <v>2460</v>
      </c>
      <c r="D140" s="963" t="s">
        <v>36</v>
      </c>
      <c r="E140" s="964">
        <v>5</v>
      </c>
      <c r="F140" s="194" t="s"/>
      <c r="G140" s="194" t="s"/>
      <c r="H140" s="194" t="s"/>
      <c r="I140" s="194" t="s"/>
      <c r="J140" s="194" t="s"/>
      <c r="K140" s="194" t="s"/>
    </row>
    <row r="141" spans="1:11" customHeight="false">
      <c r="A141" s="962">
        <v>2</v>
      </c>
      <c r="B141" s="963" t="s">
        <v>2461</v>
      </c>
      <c r="C141" s="963" t="s">
        <v>2462</v>
      </c>
      <c r="D141" s="963" t="s">
        <v>32</v>
      </c>
      <c r="E141" s="964">
        <v>2</v>
      </c>
      <c r="F141" s="194" t="s"/>
      <c r="G141" s="194" t="s"/>
      <c r="H141" s="194" t="s"/>
      <c r="I141" s="194" t="s"/>
      <c r="J141" s="194" t="s"/>
      <c r="K141" s="194" t="s"/>
    </row>
    <row r="142" spans="1:11" customHeight="false">
      <c r="A142" s="959" t="s">
        <v>1745</v>
      </c>
      <c r="B142" s="960" t="s"/>
      <c r="C142" s="960" t="s"/>
      <c r="D142" s="960" t="s"/>
      <c r="E142" s="961" t="s"/>
      <c r="F142" s="194" t="s"/>
      <c r="G142" s="194" t="s"/>
      <c r="H142" s="194" t="s"/>
      <c r="I142" s="194" t="s"/>
      <c r="J142" s="194" t="s"/>
      <c r="K142" s="194" t="s"/>
    </row>
    <row r="143" spans="1:11" customHeight="false">
      <c r="A143" s="959" t="s">
        <v>429</v>
      </c>
      <c r="B143" s="960" t="s"/>
      <c r="C143" s="960" t="s"/>
      <c r="D143" s="960" t="s"/>
      <c r="E143" s="961" t="s"/>
      <c r="F143" s="194" t="s"/>
      <c r="G143" s="194" t="s"/>
      <c r="H143" s="194" t="s"/>
      <c r="I143" s="194" t="s"/>
      <c r="J143" s="194" t="s"/>
      <c r="K143" s="194" t="s"/>
    </row>
    <row r="144" spans="1:11" customHeight="false">
      <c r="A144" s="962">
        <v>1</v>
      </c>
      <c r="B144" s="963" t="s">
        <v>1689</v>
      </c>
      <c r="C144" s="963" t="s">
        <v>2583</v>
      </c>
      <c r="D144" s="963" t="s">
        <v>36</v>
      </c>
      <c r="E144" s="964">
        <v>2</v>
      </c>
      <c r="F144" s="194" t="s"/>
      <c r="G144" s="194" t="s"/>
      <c r="H144" s="194" t="s"/>
      <c r="I144" s="194" t="s"/>
      <c r="J144" s="194" t="s"/>
      <c r="K144" s="194" t="s"/>
    </row>
    <row r="145" spans="1:11" customHeight="false">
      <c r="A145" s="972" t="s">
        <v>2463</v>
      </c>
      <c r="B145" s="972" t="s"/>
      <c r="C145" s="972" t="s"/>
      <c r="D145" s="972" t="s"/>
      <c r="E145" s="972" t="s"/>
      <c r="F145" s="194" t="s"/>
      <c r="G145" s="194" t="s"/>
      <c r="H145" s="194" t="s"/>
      <c r="I145" s="194" t="s"/>
      <c r="J145" s="194" t="s"/>
      <c r="K145" s="194" t="s"/>
    </row>
    <row r="146" spans="1:11" customHeight="false">
      <c r="A146" s="973">
        <v>1</v>
      </c>
      <c r="B146" s="963" t="s">
        <v>2464</v>
      </c>
      <c r="C146" s="305" t="s">
        <v>2465</v>
      </c>
      <c r="D146" s="974" t="s">
        <v>32</v>
      </c>
      <c r="E146" s="975">
        <v>4</v>
      </c>
      <c r="F146" s="194" t="s"/>
      <c r="G146" s="194" t="s"/>
      <c r="H146" s="194" t="s"/>
      <c r="I146" s="194" t="s"/>
      <c r="J146" s="194" t="s"/>
      <c r="K146" s="194" t="s"/>
    </row>
    <row r="147" spans="1:11" customHeight="false">
      <c r="A147" s="973">
        <v>2</v>
      </c>
      <c r="B147" s="963" t="s">
        <v>1213</v>
      </c>
      <c r="C147" s="306" t="s">
        <v>2466</v>
      </c>
      <c r="D147" s="974" t="s">
        <v>32</v>
      </c>
      <c r="E147" s="975">
        <v>3</v>
      </c>
      <c r="F147" s="194" t="s"/>
      <c r="G147" s="194" t="s"/>
      <c r="H147" s="194" t="s"/>
      <c r="I147" s="194" t="s"/>
      <c r="J147" s="194" t="s"/>
      <c r="K147" s="194" t="s"/>
    </row>
    <row r="148" spans="1:11" customHeight="false">
      <c r="A148" s="973">
        <v>3</v>
      </c>
      <c r="B148" s="963" t="s">
        <v>2467</v>
      </c>
      <c r="C148" s="976" t="s">
        <v>2468</v>
      </c>
      <c r="D148" s="974" t="s">
        <v>32</v>
      </c>
      <c r="E148" s="975">
        <v>1</v>
      </c>
      <c r="F148" s="194" t="s"/>
      <c r="G148" s="194" t="s"/>
      <c r="H148" s="194" t="s"/>
      <c r="I148" s="194" t="s"/>
      <c r="J148" s="194" t="s"/>
      <c r="K148" s="194" t="s"/>
    </row>
    <row r="149" spans="1:11" customHeight="false">
      <c r="A149" s="973">
        <v>4</v>
      </c>
      <c r="B149" s="963" t="s">
        <v>1207</v>
      </c>
      <c r="C149" s="976" t="s">
        <v>2584</v>
      </c>
      <c r="D149" s="974" t="s">
        <v>32</v>
      </c>
      <c r="E149" s="975">
        <v>2</v>
      </c>
      <c r="F149" s="194" t="s"/>
      <c r="G149" s="194" t="s"/>
      <c r="H149" s="194" t="s"/>
      <c r="I149" s="194" t="s"/>
      <c r="J149" s="194" t="s"/>
      <c r="K149" s="194" t="s"/>
    </row>
    <row r="150" spans="1:11" customHeight="false">
      <c r="A150" s="972" t="s">
        <v>2469</v>
      </c>
      <c r="B150" s="972" t="s"/>
      <c r="C150" s="972" t="s"/>
      <c r="D150" s="972" t="s"/>
      <c r="E150" s="972" t="s"/>
      <c r="F150" s="194" t="s"/>
      <c r="G150" s="194" t="s"/>
      <c r="H150" s="194" t="s"/>
      <c r="I150" s="194" t="s"/>
      <c r="J150" s="194" t="s"/>
      <c r="K150" s="194" t="s"/>
    </row>
    <row r="151" spans="1:11" customHeight="false">
      <c r="A151" s="973">
        <v>5</v>
      </c>
      <c r="B151" s="963" t="s">
        <v>1209</v>
      </c>
      <c r="C151" s="976" t="s">
        <v>2470</v>
      </c>
      <c r="D151" s="974" t="s">
        <v>32</v>
      </c>
      <c r="E151" s="975">
        <v>3</v>
      </c>
      <c r="F151" s="194" t="s"/>
      <c r="G151" s="194" t="s"/>
      <c r="H151" s="194" t="s"/>
      <c r="I151" s="194" t="s"/>
      <c r="J151" s="194" t="s"/>
      <c r="K151" s="194" t="s"/>
    </row>
    <row r="152" spans="1:11" customHeight="false">
      <c r="A152" s="976">
        <v>6</v>
      </c>
      <c r="B152" s="963" t="s">
        <v>2471</v>
      </c>
      <c r="C152" s="973" t="s">
        <v>2585</v>
      </c>
      <c r="D152" s="974" t="s">
        <v>36</v>
      </c>
      <c r="E152" s="975">
        <v>3</v>
      </c>
      <c r="F152" s="194" t="s"/>
      <c r="G152" s="194" t="s"/>
      <c r="H152" s="194" t="s"/>
      <c r="I152" s="194" t="s"/>
      <c r="J152" s="194" t="s"/>
      <c r="K152" s="194" t="s"/>
    </row>
    <row r="153" spans="1:11" customHeight="false">
      <c r="A153" s="972" t="s">
        <v>2472</v>
      </c>
      <c r="B153" s="972" t="s"/>
      <c r="C153" s="972" t="s"/>
      <c r="D153" s="972" t="s"/>
      <c r="E153" s="972" t="s"/>
      <c r="F153" s="194" t="s"/>
      <c r="G153" s="194" t="s"/>
      <c r="H153" s="194" t="s"/>
      <c r="I153" s="194" t="s"/>
      <c r="J153" s="194" t="s"/>
      <c r="K153" s="194" t="s"/>
    </row>
    <row r="154" spans="1:11" customHeight="false">
      <c r="A154" s="973">
        <v>7</v>
      </c>
      <c r="B154" s="963" t="s">
        <v>1215</v>
      </c>
      <c r="C154" s="306" t="s">
        <v>2586</v>
      </c>
      <c r="D154" s="974" t="s">
        <v>32</v>
      </c>
      <c r="E154" s="975">
        <v>3</v>
      </c>
      <c r="F154" s="194" t="s"/>
      <c r="G154" s="194" t="s"/>
      <c r="H154" s="194" t="s"/>
      <c r="I154" s="194" t="s"/>
      <c r="J154" s="194" t="s"/>
      <c r="K154" s="194" t="s"/>
    </row>
    <row r="155" spans="1:11" customHeight="false">
      <c r="A155" s="973">
        <v>8</v>
      </c>
      <c r="B155" s="963" t="s">
        <v>2473</v>
      </c>
      <c r="C155" s="306" t="s">
        <v>2474</v>
      </c>
      <c r="D155" s="974" t="s">
        <v>32</v>
      </c>
      <c r="E155" s="975">
        <v>2</v>
      </c>
      <c r="F155" s="194" t="s"/>
      <c r="G155" s="194" t="s"/>
      <c r="H155" s="194" t="s"/>
      <c r="I155" s="194" t="s"/>
      <c r="J155" s="194" t="s"/>
      <c r="K155" s="194" t="s"/>
    </row>
    <row r="156" spans="1:11" customHeight="false">
      <c r="A156" s="973">
        <v>9</v>
      </c>
      <c r="B156" s="963" t="s">
        <v>1217</v>
      </c>
      <c r="C156" s="306" t="s">
        <v>2587</v>
      </c>
      <c r="D156" s="974" t="s">
        <v>32</v>
      </c>
      <c r="E156" s="975">
        <v>3</v>
      </c>
      <c r="F156" s="194" t="s"/>
      <c r="G156" s="194" t="s"/>
      <c r="H156" s="194" t="s"/>
      <c r="I156" s="194" t="s"/>
      <c r="J156" s="194" t="s"/>
      <c r="K156" s="194" t="s"/>
    </row>
    <row r="157" spans="1:11" customHeight="false">
      <c r="A157" s="973">
        <v>10</v>
      </c>
      <c r="B157" s="963" t="s">
        <v>1219</v>
      </c>
      <c r="C157" s="306" t="s">
        <v>1068</v>
      </c>
      <c r="D157" s="974" t="s">
        <v>32</v>
      </c>
      <c r="E157" s="975">
        <v>3</v>
      </c>
      <c r="F157" s="194" t="s"/>
      <c r="G157" s="194" t="s"/>
      <c r="H157" s="194" t="s"/>
      <c r="I157" s="194" t="s"/>
      <c r="J157" s="194" t="s"/>
      <c r="K157" s="194" t="s"/>
    </row>
    <row r="158" spans="1:11" customHeight="false">
      <c r="A158" s="972" t="s">
        <v>2475</v>
      </c>
      <c r="B158" s="972" t="s"/>
      <c r="C158" s="972" t="s"/>
      <c r="D158" s="972" t="s"/>
      <c r="E158" s="972" t="s"/>
      <c r="F158" s="194" t="s"/>
      <c r="G158" s="194" t="s"/>
      <c r="H158" s="194" t="s"/>
      <c r="I158" s="194" t="s"/>
      <c r="J158" s="194" t="s"/>
      <c r="K158" s="194" t="s"/>
    </row>
    <row r="159" spans="1:11" customHeight="false">
      <c r="A159" s="973">
        <v>11</v>
      </c>
      <c r="B159" s="963" t="s">
        <v>1221</v>
      </c>
      <c r="C159" s="976" t="s">
        <v>2588</v>
      </c>
      <c r="D159" s="974" t="s">
        <v>32</v>
      </c>
      <c r="E159" s="975">
        <v>3</v>
      </c>
      <c r="F159" s="194" t="s"/>
      <c r="G159" s="194" t="s"/>
      <c r="H159" s="194" t="s"/>
      <c r="I159" s="194" t="s"/>
      <c r="J159" s="194" t="s"/>
      <c r="K159" s="194" t="s"/>
    </row>
    <row r="160" spans="1:11" customHeight="false">
      <c r="A160" s="973">
        <v>12</v>
      </c>
      <c r="B160" s="963" t="s">
        <v>1223</v>
      </c>
      <c r="C160" s="976" t="s">
        <v>2476</v>
      </c>
      <c r="D160" s="974" t="s">
        <v>32</v>
      </c>
      <c r="E160" s="975">
        <v>1</v>
      </c>
      <c r="F160" s="194" t="s"/>
      <c r="G160" s="194" t="s"/>
      <c r="H160" s="194" t="s"/>
      <c r="I160" s="194" t="s"/>
      <c r="J160" s="194" t="s"/>
      <c r="K160" s="194" t="s"/>
    </row>
    <row r="161" spans="1:11" customHeight="false">
      <c r="A161" s="973">
        <v>13</v>
      </c>
      <c r="B161" s="963" t="s">
        <v>1225</v>
      </c>
      <c r="C161" s="976" t="s">
        <v>2589</v>
      </c>
      <c r="D161" s="974" t="s">
        <v>32</v>
      </c>
      <c r="E161" s="975">
        <v>3</v>
      </c>
      <c r="F161" s="194" t="s"/>
      <c r="G161" s="194" t="s"/>
      <c r="H161" s="194" t="s"/>
      <c r="I161" s="194" t="s"/>
      <c r="J161" s="194" t="s"/>
      <c r="K161" s="194" t="s"/>
    </row>
    <row r="162" spans="1:11" customHeight="false">
      <c r="A162" s="973">
        <v>14</v>
      </c>
      <c r="B162" s="963" t="s">
        <v>2477</v>
      </c>
      <c r="C162" s="973" t="s">
        <v>2590</v>
      </c>
      <c r="D162" s="974" t="s">
        <v>32</v>
      </c>
      <c r="E162" s="975">
        <v>2</v>
      </c>
      <c r="F162" s="194" t="s"/>
      <c r="G162" s="194" t="s"/>
      <c r="H162" s="194" t="s"/>
      <c r="I162" s="194" t="s"/>
      <c r="J162" s="194" t="s"/>
      <c r="K162" s="194" t="s"/>
    </row>
    <row r="163" spans="1:11" customHeight="false">
      <c r="A163" s="973">
        <v>15</v>
      </c>
      <c r="B163" s="963" t="s">
        <v>1229</v>
      </c>
      <c r="C163" s="976" t="s">
        <v>2591</v>
      </c>
      <c r="D163" s="974" t="s">
        <v>32</v>
      </c>
      <c r="E163" s="975">
        <v>2</v>
      </c>
      <c r="F163" s="194" t="s"/>
      <c r="G163" s="194" t="s"/>
      <c r="H163" s="194" t="s"/>
      <c r="I163" s="194" t="s"/>
      <c r="J163" s="194" t="s"/>
      <c r="K163" s="194" t="s"/>
    </row>
    <row r="164" spans="1:11" customHeight="false">
      <c r="A164" s="973">
        <v>16</v>
      </c>
      <c r="B164" s="963" t="s">
        <v>2478</v>
      </c>
      <c r="C164" s="976" t="s">
        <v>2479</v>
      </c>
      <c r="D164" s="974" t="s">
        <v>32</v>
      </c>
      <c r="E164" s="975">
        <v>1</v>
      </c>
      <c r="F164" s="194" t="s"/>
      <c r="G164" s="194" t="s"/>
      <c r="H164" s="194" t="s"/>
      <c r="I164" s="194" t="s"/>
      <c r="J164" s="194" t="s"/>
      <c r="K164" s="194" t="s"/>
    </row>
    <row r="165" spans="1:11" customHeight="false">
      <c r="A165" s="972" t="s">
        <v>2480</v>
      </c>
      <c r="B165" s="972" t="s"/>
      <c r="C165" s="972" t="s"/>
      <c r="D165" s="972" t="s"/>
      <c r="E165" s="972" t="s"/>
      <c r="F165" s="194" t="s"/>
      <c r="G165" s="194" t="s"/>
      <c r="H165" s="194" t="s"/>
      <c r="I165" s="194" t="s"/>
      <c r="J165" s="194" t="s"/>
      <c r="K165" s="194" t="s"/>
    </row>
    <row r="166" spans="1:11" customHeight="false">
      <c r="A166" s="973">
        <v>13</v>
      </c>
      <c r="B166" s="963" t="s">
        <v>1231</v>
      </c>
      <c r="C166" s="976" t="s">
        <v>2592</v>
      </c>
      <c r="D166" s="974" t="s">
        <v>32</v>
      </c>
      <c r="E166" s="975">
        <v>3</v>
      </c>
      <c r="F166" s="194" t="s"/>
      <c r="G166" s="194" t="s"/>
      <c r="H166" s="194" t="s"/>
      <c r="I166" s="194" t="s"/>
      <c r="J166" s="194" t="s"/>
      <c r="K166" s="194" t="s"/>
    </row>
    <row r="167" spans="1:11" customHeight="false">
      <c r="A167" s="973">
        <v>14</v>
      </c>
      <c r="B167" s="963" t="s">
        <v>1233</v>
      </c>
      <c r="C167" s="976" t="s">
        <v>2481</v>
      </c>
      <c r="D167" s="974" t="s">
        <v>32</v>
      </c>
      <c r="E167" s="975">
        <v>3</v>
      </c>
      <c r="F167" s="194" t="s"/>
      <c r="G167" s="194" t="s"/>
      <c r="H167" s="194" t="s"/>
      <c r="I167" s="194" t="s"/>
      <c r="J167" s="194" t="s"/>
      <c r="K167" s="194" t="s"/>
    </row>
    <row r="168" spans="1:11" customHeight="false">
      <c r="A168" s="973">
        <v>15</v>
      </c>
      <c r="B168" s="963" t="s">
        <v>1235</v>
      </c>
      <c r="C168" s="976" t="s">
        <v>1236</v>
      </c>
      <c r="D168" s="974" t="s">
        <v>32</v>
      </c>
      <c r="E168" s="975">
        <v>3</v>
      </c>
      <c r="F168" s="194" t="s"/>
      <c r="G168" s="194" t="s"/>
      <c r="H168" s="194" t="s"/>
      <c r="I168" s="194" t="s"/>
      <c r="J168" s="194" t="s"/>
      <c r="K168" s="194" t="s"/>
    </row>
    <row r="169" spans="1:11" customHeight="false">
      <c r="A169" s="973">
        <v>16</v>
      </c>
      <c r="B169" s="963" t="s">
        <v>1237</v>
      </c>
      <c r="C169" s="976" t="s">
        <v>1238</v>
      </c>
      <c r="D169" s="974" t="s">
        <v>32</v>
      </c>
      <c r="E169" s="975">
        <v>3</v>
      </c>
      <c r="F169" s="194" t="s"/>
      <c r="G169" s="194" t="s"/>
      <c r="H169" s="194" t="s"/>
      <c r="I169" s="194" t="s"/>
      <c r="J169" s="194" t="s"/>
      <c r="K169" s="194" t="s"/>
    </row>
    <row r="170" spans="1:11" customHeight="false">
      <c r="A170" s="973">
        <v>17</v>
      </c>
      <c r="B170" s="963" t="s">
        <v>1239</v>
      </c>
      <c r="C170" s="976" t="s">
        <v>2593</v>
      </c>
      <c r="D170" s="974" t="s">
        <v>32</v>
      </c>
      <c r="E170" s="975">
        <v>3</v>
      </c>
      <c r="F170" s="194" t="s"/>
      <c r="G170" s="194" t="s"/>
      <c r="H170" s="194" t="s"/>
      <c r="I170" s="194" t="s"/>
      <c r="J170" s="194" t="s"/>
      <c r="K170" s="194" t="s"/>
    </row>
    <row r="171" spans="1:11" customHeight="false">
      <c r="A171" s="973">
        <v>18</v>
      </c>
      <c r="B171" s="305" t="s">
        <v>2482</v>
      </c>
      <c r="C171" s="976" t="s">
        <v>2594</v>
      </c>
      <c r="D171" s="974" t="s">
        <v>32</v>
      </c>
      <c r="E171" s="975">
        <v>1</v>
      </c>
      <c r="F171" s="194" t="s"/>
      <c r="G171" s="194" t="s"/>
      <c r="H171" s="194" t="s"/>
      <c r="I171" s="194" t="s"/>
      <c r="J171" s="194" t="s"/>
      <c r="K171" s="194" t="s"/>
    </row>
    <row r="172" spans="1:11" customHeight="false">
      <c r="A172" s="972" t="s">
        <v>2483</v>
      </c>
      <c r="B172" s="972" t="s"/>
      <c r="C172" s="972" t="s"/>
      <c r="D172" s="972" t="s"/>
      <c r="E172" s="972" t="s"/>
      <c r="F172" s="194" t="s"/>
      <c r="G172" s="194" t="s"/>
      <c r="H172" s="194" t="s"/>
      <c r="I172" s="194" t="s"/>
      <c r="J172" s="194" t="s"/>
      <c r="K172" s="194" t="s"/>
    </row>
    <row r="173" spans="1:11" customHeight="false">
      <c r="A173" s="973">
        <v>19</v>
      </c>
      <c r="B173" s="963" t="s">
        <v>2484</v>
      </c>
      <c r="C173" s="976" t="s">
        <v>2595</v>
      </c>
      <c r="D173" s="974" t="s">
        <v>32</v>
      </c>
      <c r="E173" s="975">
        <v>2</v>
      </c>
      <c r="F173" s="194" t="s"/>
      <c r="G173" s="194" t="s"/>
      <c r="H173" s="194" t="s"/>
      <c r="I173" s="194" t="s"/>
      <c r="J173" s="194" t="s"/>
      <c r="K173" s="194" t="s"/>
    </row>
    <row r="174" spans="1:11" customHeight="false">
      <c r="A174" s="973">
        <v>20</v>
      </c>
      <c r="B174" s="963" t="s">
        <v>2485</v>
      </c>
      <c r="C174" s="976" t="s">
        <v>2486</v>
      </c>
      <c r="D174" s="974" t="s">
        <v>32</v>
      </c>
      <c r="E174" s="975">
        <v>2</v>
      </c>
      <c r="F174" s="194" t="s"/>
      <c r="G174" s="194" t="s"/>
      <c r="H174" s="194" t="s"/>
      <c r="I174" s="194" t="s"/>
      <c r="J174" s="194" t="s"/>
      <c r="K174" s="194" t="s"/>
    </row>
    <row r="175" spans="1:11" customHeight="false">
      <c r="A175" s="973">
        <v>21</v>
      </c>
      <c r="B175" s="963" t="s">
        <v>1245</v>
      </c>
      <c r="C175" s="976" t="s">
        <v>2596</v>
      </c>
      <c r="D175" s="974" t="s">
        <v>32</v>
      </c>
      <c r="E175" s="975">
        <v>1</v>
      </c>
      <c r="F175" s="194" t="s"/>
      <c r="G175" s="194" t="s"/>
      <c r="H175" s="194" t="s"/>
      <c r="I175" s="194" t="s"/>
      <c r="J175" s="194" t="s"/>
      <c r="K175" s="194" t="s"/>
    </row>
    <row r="176" spans="1:11" customHeight="false">
      <c r="A176" s="973">
        <v>22</v>
      </c>
      <c r="B176" s="963" t="s">
        <v>1245</v>
      </c>
      <c r="C176" s="976" t="s">
        <v>2597</v>
      </c>
      <c r="D176" s="974" t="s">
        <v>32</v>
      </c>
      <c r="E176" s="975">
        <v>1</v>
      </c>
      <c r="F176" s="194" t="s"/>
      <c r="G176" s="194" t="s"/>
      <c r="H176" s="194" t="s"/>
      <c r="I176" s="194" t="s"/>
      <c r="J176" s="194" t="s"/>
      <c r="K176" s="194" t="s"/>
    </row>
    <row r="177" spans="1:11" customHeight="false">
      <c r="A177" s="972" t="s">
        <v>2487</v>
      </c>
      <c r="B177" s="972" t="s"/>
      <c r="C177" s="972" t="s"/>
      <c r="D177" s="972" t="s"/>
      <c r="E177" s="972" t="s"/>
      <c r="F177" s="194" t="s"/>
      <c r="G177" s="194" t="s"/>
      <c r="H177" s="194" t="s"/>
      <c r="I177" s="194" t="s"/>
      <c r="J177" s="194" t="s"/>
      <c r="K177" s="194" t="s"/>
    </row>
    <row r="178" spans="1:11" customHeight="false">
      <c r="A178" s="973">
        <v>23</v>
      </c>
      <c r="B178" s="963" t="s">
        <v>605</v>
      </c>
      <c r="C178" s="976" t="s">
        <v>2598</v>
      </c>
      <c r="D178" s="974" t="s">
        <v>32</v>
      </c>
      <c r="E178" s="975">
        <v>3</v>
      </c>
      <c r="F178" s="194" t="s"/>
      <c r="G178" s="194" t="s"/>
      <c r="H178" s="194" t="s"/>
      <c r="I178" s="194" t="s"/>
      <c r="J178" s="194" t="s"/>
      <c r="K178" s="194" t="s"/>
    </row>
    <row r="179" spans="1:11" customHeight="false">
      <c r="A179" s="973">
        <v>24</v>
      </c>
      <c r="B179" s="973" t="s">
        <v>2488</v>
      </c>
      <c r="C179" s="976" t="s">
        <v>2489</v>
      </c>
      <c r="D179" s="974" t="s">
        <v>32</v>
      </c>
      <c r="E179" s="975">
        <v>2</v>
      </c>
      <c r="F179" s="194" t="s"/>
      <c r="G179" s="194" t="s"/>
      <c r="H179" s="194" t="s"/>
      <c r="I179" s="194" t="s"/>
      <c r="J179" s="194" t="s"/>
      <c r="K179" s="194" t="s"/>
    </row>
    <row r="180" spans="1:11" customHeight="false">
      <c r="A180" s="973">
        <v>25</v>
      </c>
      <c r="B180" s="973" t="s">
        <v>1813</v>
      </c>
      <c r="C180" s="976" t="s">
        <v>2490</v>
      </c>
      <c r="D180" s="974" t="s">
        <v>32</v>
      </c>
      <c r="E180" s="975">
        <v>1</v>
      </c>
      <c r="F180" s="194" t="s"/>
      <c r="G180" s="194" t="s"/>
      <c r="H180" s="194" t="s"/>
      <c r="I180" s="194" t="s"/>
      <c r="J180" s="194" t="s"/>
      <c r="K180" s="194" t="s"/>
    </row>
    <row r="181" spans="1:11" customHeight="false">
      <c r="A181" s="972" t="s">
        <v>2491</v>
      </c>
      <c r="B181" s="972" t="s"/>
      <c r="C181" s="972" t="s"/>
      <c r="D181" s="972" t="s"/>
      <c r="E181" s="972" t="s"/>
      <c r="F181" s="194" t="s"/>
      <c r="G181" s="194" t="s"/>
      <c r="H181" s="194" t="s"/>
      <c r="I181" s="194" t="s"/>
      <c r="J181" s="194" t="s"/>
      <c r="K181" s="194" t="s"/>
    </row>
    <row r="182" spans="1:11" customHeight="false">
      <c r="A182" s="973">
        <v>26</v>
      </c>
      <c r="B182" s="305" t="s">
        <v>2492</v>
      </c>
      <c r="C182" s="976" t="s">
        <v>2599</v>
      </c>
      <c r="D182" s="974" t="s">
        <v>36</v>
      </c>
      <c r="E182" s="975">
        <v>3</v>
      </c>
      <c r="F182" s="194" t="s"/>
      <c r="G182" s="194" t="s"/>
      <c r="H182" s="194" t="s"/>
      <c r="I182" s="194" t="s"/>
      <c r="J182" s="194" t="s"/>
      <c r="K182" s="194" t="s"/>
    </row>
    <row r="183" spans="1:11" customHeight="false">
      <c r="A183" s="972" t="s">
        <v>2493</v>
      </c>
      <c r="B183" s="972" t="s"/>
      <c r="C183" s="972" t="s"/>
      <c r="D183" s="972" t="s"/>
      <c r="E183" s="972" t="s"/>
      <c r="F183" s="194" t="s"/>
      <c r="G183" s="194" t="s"/>
      <c r="H183" s="194" t="s"/>
      <c r="I183" s="194" t="s"/>
      <c r="J183" s="194" t="s"/>
      <c r="K183" s="194" t="s"/>
    </row>
    <row r="184" spans="1:11" customHeight="false">
      <c r="A184" s="973">
        <v>27</v>
      </c>
      <c r="B184" s="305" t="s">
        <v>611</v>
      </c>
      <c r="C184" s="963" t="s">
        <v>2600</v>
      </c>
      <c r="D184" s="974" t="s">
        <v>32</v>
      </c>
      <c r="E184" s="975">
        <v>4</v>
      </c>
      <c r="F184" s="194" t="s"/>
      <c r="G184" s="194" t="s"/>
      <c r="H184" s="194" t="s"/>
      <c r="I184" s="194" t="s"/>
      <c r="J184" s="194" t="s"/>
      <c r="K184" s="194" t="s"/>
    </row>
    <row r="185" spans="1:11" customHeight="false">
      <c r="A185" s="973">
        <v>28</v>
      </c>
      <c r="B185" s="305" t="s">
        <v>925</v>
      </c>
      <c r="C185" s="976" t="s">
        <v>2601</v>
      </c>
      <c r="D185" s="974" t="s">
        <v>32</v>
      </c>
      <c r="E185" s="975">
        <v>2</v>
      </c>
      <c r="F185" s="194" t="s"/>
      <c r="G185" s="194" t="s"/>
      <c r="H185" s="194" t="s"/>
      <c r="I185" s="194" t="s"/>
      <c r="J185" s="194" t="s"/>
      <c r="K185" s="194" t="s"/>
    </row>
    <row r="186" spans="1:11" customHeight="false">
      <c r="A186" s="962" t="s">
        <v>1298</v>
      </c>
      <c r="B186" s="977" t="s"/>
      <c r="C186" s="977" t="s"/>
      <c r="D186" s="977" t="s"/>
      <c r="E186" s="977" t="s"/>
      <c r="F186" s="194" t="s"/>
      <c r="G186" s="194" t="s"/>
      <c r="H186" s="194" t="s"/>
      <c r="I186" s="194" t="s"/>
      <c r="J186" s="194" t="s"/>
      <c r="K186" s="194" t="s"/>
    </row>
    <row r="187" spans="1:11" customHeight="false">
      <c r="A187" s="962">
        <v>1</v>
      </c>
      <c r="B187" s="963" t="s">
        <v>1838</v>
      </c>
      <c r="C187" s="963" t="s">
        <v>1839</v>
      </c>
      <c r="D187" s="963" t="s">
        <v>32</v>
      </c>
      <c r="E187" s="964">
        <v>3</v>
      </c>
      <c r="F187" s="194" t="s"/>
      <c r="G187" s="194" t="s"/>
      <c r="H187" s="194" t="s"/>
      <c r="I187" s="194" t="s"/>
      <c r="J187" s="194" t="s"/>
      <c r="K187" s="194" t="s"/>
    </row>
    <row r="188" spans="1:11" customHeight="false">
      <c r="A188" s="962">
        <v>2</v>
      </c>
      <c r="B188" s="963" t="s">
        <v>1841</v>
      </c>
      <c r="C188" s="963" t="s">
        <v>1842</v>
      </c>
      <c r="D188" s="963" t="s">
        <v>32</v>
      </c>
      <c r="E188" s="964">
        <v>3</v>
      </c>
      <c r="F188" s="194" t="s"/>
      <c r="G188" s="194" t="s"/>
      <c r="H188" s="194" t="s"/>
      <c r="I188" s="194" t="s"/>
      <c r="J188" s="194" t="s"/>
      <c r="K188" s="194" t="s"/>
    </row>
    <row r="189" spans="1:11" customHeight="false">
      <c r="A189" s="962">
        <v>3</v>
      </c>
      <c r="B189" s="963" t="s">
        <v>1844</v>
      </c>
      <c r="C189" s="963" t="s">
        <v>1846</v>
      </c>
      <c r="D189" s="963" t="s">
        <v>32</v>
      </c>
      <c r="E189" s="964">
        <v>2</v>
      </c>
      <c r="F189" s="194" t="s"/>
      <c r="G189" s="194" t="s"/>
      <c r="H189" s="194" t="s"/>
      <c r="I189" s="194" t="s"/>
      <c r="J189" s="194" t="s"/>
      <c r="K189" s="194" t="s"/>
    </row>
    <row r="190" spans="1:11" customHeight="false">
      <c r="A190" s="962">
        <v>4</v>
      </c>
      <c r="B190" s="963" t="s">
        <v>1849</v>
      </c>
      <c r="C190" s="963" t="s">
        <v>1851</v>
      </c>
      <c r="D190" s="963" t="s">
        <v>32</v>
      </c>
      <c r="E190" s="964">
        <v>1</v>
      </c>
      <c r="F190" s="194" t="s"/>
      <c r="G190" s="194" t="s"/>
      <c r="H190" s="194" t="s"/>
      <c r="I190" s="194" t="s"/>
      <c r="J190" s="194" t="s"/>
      <c r="K190" s="194" t="s"/>
    </row>
    <row r="191" spans="1:11" customHeight="false">
      <c r="A191" s="962">
        <v>5</v>
      </c>
      <c r="B191" s="963" t="s">
        <v>1361</v>
      </c>
      <c r="C191" s="977" t="s"/>
      <c r="D191" s="963" t="s">
        <v>32</v>
      </c>
      <c r="E191" s="964">
        <v>2</v>
      </c>
      <c r="F191" s="194" t="s"/>
      <c r="G191" s="194" t="s"/>
      <c r="H191" s="194" t="s"/>
      <c r="I191" s="194" t="s"/>
      <c r="J191" s="194" t="s"/>
      <c r="K191" s="194" t="s"/>
    </row>
    <row r="192" spans="1:11" customHeight="false">
      <c r="A192" s="962">
        <v>6</v>
      </c>
      <c r="B192" s="963" t="s">
        <v>1361</v>
      </c>
      <c r="C192" s="977" t="s"/>
      <c r="D192" s="963" t="s">
        <v>32</v>
      </c>
      <c r="E192" s="964">
        <v>2</v>
      </c>
      <c r="F192" s="194" t="s"/>
      <c r="G192" s="194" t="s"/>
      <c r="H192" s="194" t="s"/>
      <c r="I192" s="194" t="s"/>
      <c r="J192" s="194" t="s"/>
      <c r="K192" s="194" t="s"/>
    </row>
    <row r="193" spans="1:11" customHeight="false">
      <c r="A193" s="962">
        <v>7</v>
      </c>
      <c r="B193" s="963" t="s">
        <v>1504</v>
      </c>
      <c r="C193" s="977" t="s"/>
      <c r="D193" s="963" t="s">
        <v>32</v>
      </c>
      <c r="E193" s="964">
        <v>2</v>
      </c>
      <c r="F193" s="194" t="s"/>
      <c r="G193" s="194" t="s"/>
      <c r="H193" s="194" t="s"/>
      <c r="I193" s="194" t="s"/>
      <c r="J193" s="194" t="s"/>
      <c r="K193" s="194" t="s"/>
    </row>
    <row r="194" spans="1:11" customHeight="false">
      <c r="A194" s="962">
        <v>8</v>
      </c>
      <c r="B194" s="963" t="s">
        <v>1504</v>
      </c>
      <c r="C194" s="977" t="s"/>
      <c r="D194" s="963" t="s">
        <v>32</v>
      </c>
      <c r="E194" s="964">
        <v>3</v>
      </c>
      <c r="F194" s="194" t="s"/>
      <c r="G194" s="194" t="s"/>
      <c r="H194" s="194" t="s"/>
      <c r="I194" s="194" t="s"/>
      <c r="J194" s="194" t="s"/>
      <c r="K194" s="194" t="s"/>
    </row>
    <row r="195" spans="1:11" customHeight="false">
      <c r="A195" s="962">
        <v>9</v>
      </c>
      <c r="B195" s="963" t="s">
        <v>1857</v>
      </c>
      <c r="C195" s="977" t="s"/>
      <c r="D195" s="963" t="s">
        <v>32</v>
      </c>
      <c r="E195" s="964">
        <v>2</v>
      </c>
      <c r="F195" s="194" t="s"/>
      <c r="G195" s="194" t="s"/>
      <c r="H195" s="194" t="s"/>
      <c r="I195" s="194" t="s"/>
      <c r="J195" s="194" t="s"/>
      <c r="K195" s="194" t="s"/>
    </row>
    <row r="196" spans="1:11" customHeight="false">
      <c r="A196" s="962">
        <v>10</v>
      </c>
      <c r="B196" s="963" t="s">
        <v>1857</v>
      </c>
      <c r="C196" s="977" t="s"/>
      <c r="D196" s="963" t="s">
        <v>32</v>
      </c>
      <c r="E196" s="964">
        <v>2</v>
      </c>
      <c r="F196" s="194" t="s"/>
      <c r="G196" s="194" t="s"/>
      <c r="H196" s="194" t="s"/>
      <c r="I196" s="194" t="s"/>
      <c r="J196" s="194" t="s"/>
      <c r="K196" s="194" t="s"/>
    </row>
    <row r="197" spans="1:11" customHeight="false">
      <c r="A197" s="953" t="s">
        <v>1858</v>
      </c>
      <c r="B197" s="954" t="s"/>
      <c r="C197" s="954" t="s"/>
      <c r="D197" s="954" t="s"/>
      <c r="E197" s="951" t="s"/>
      <c r="F197" s="194" t="s"/>
      <c r="G197" s="194" t="s"/>
      <c r="H197" s="194" t="s"/>
      <c r="I197" s="194" t="s"/>
      <c r="J197" s="194" t="s"/>
      <c r="K197" s="194" t="s"/>
    </row>
    <row r="198" spans="1:11" customHeight="false">
      <c r="A198" s="955">
        <v>1</v>
      </c>
      <c r="B198" s="956" t="s">
        <v>1860</v>
      </c>
      <c r="C198" s="956" t="s">
        <v>2494</v>
      </c>
      <c r="D198" s="956" t="s">
        <v>32</v>
      </c>
      <c r="E198" s="957">
        <v>2</v>
      </c>
      <c r="F198" s="194" t="s"/>
      <c r="G198" s="194" t="s"/>
      <c r="H198" s="194" t="s"/>
      <c r="I198" s="194" t="s"/>
      <c r="J198" s="194" t="s"/>
      <c r="K198" s="194" t="s"/>
    </row>
    <row r="199" spans="1:11" customHeight="false">
      <c r="A199" s="955">
        <v>2</v>
      </c>
      <c r="B199" s="956" t="s">
        <v>1867</v>
      </c>
      <c r="C199" s="956" t="s">
        <v>1868</v>
      </c>
      <c r="D199" s="956" t="s">
        <v>45</v>
      </c>
      <c r="E199" s="957">
        <v>1</v>
      </c>
      <c r="F199" s="194" t="s"/>
      <c r="G199" s="194" t="s"/>
      <c r="H199" s="194" t="s"/>
      <c r="I199" s="194" t="s"/>
      <c r="J199" s="194" t="s"/>
      <c r="K199" s="194" t="s"/>
    </row>
    <row r="200" spans="1:11" customHeight="false">
      <c r="A200" s="955">
        <v>3</v>
      </c>
      <c r="B200" s="956" t="s">
        <v>1870</v>
      </c>
      <c r="C200" s="956" t="s">
        <v>1872</v>
      </c>
      <c r="D200" s="956" t="s">
        <v>32</v>
      </c>
      <c r="E200" s="957">
        <v>3</v>
      </c>
      <c r="F200" s="194" t="s"/>
      <c r="G200" s="194" t="s"/>
      <c r="H200" s="194" t="s"/>
      <c r="I200" s="194" t="s"/>
      <c r="J200" s="194" t="s"/>
      <c r="K200" s="194" t="s"/>
    </row>
    <row r="201" spans="1:11" customHeight="false">
      <c r="A201" s="955">
        <v>4</v>
      </c>
      <c r="B201" s="956" t="s">
        <v>1870</v>
      </c>
      <c r="C201" s="956" t="s">
        <v>1875</v>
      </c>
      <c r="D201" s="956" t="s">
        <v>32</v>
      </c>
      <c r="E201" s="957">
        <v>2</v>
      </c>
      <c r="F201" s="194" t="s"/>
      <c r="G201" s="194" t="s"/>
      <c r="H201" s="194" t="s"/>
      <c r="I201" s="194" t="s"/>
      <c r="J201" s="194" t="s"/>
      <c r="K201" s="194" t="s"/>
    </row>
    <row r="202" spans="1:11" customHeight="false">
      <c r="A202" s="955">
        <v>5</v>
      </c>
      <c r="B202" s="956" t="s">
        <v>1877</v>
      </c>
      <c r="C202" s="956" t="s">
        <v>1879</v>
      </c>
      <c r="D202" s="956" t="s">
        <v>32</v>
      </c>
      <c r="E202" s="957">
        <v>2</v>
      </c>
      <c r="F202" s="194" t="s"/>
      <c r="G202" s="194" t="s"/>
      <c r="H202" s="194" t="s"/>
      <c r="I202" s="194" t="s"/>
      <c r="J202" s="194" t="s"/>
      <c r="K202" s="194" t="s"/>
    </row>
    <row r="203" spans="1:11" customHeight="false">
      <c r="A203" s="955">
        <v>6</v>
      </c>
      <c r="B203" s="956" t="s">
        <v>1882</v>
      </c>
      <c r="C203" s="956" t="s">
        <v>1884</v>
      </c>
      <c r="D203" s="956" t="s">
        <v>36</v>
      </c>
      <c r="E203" s="957">
        <v>1</v>
      </c>
      <c r="F203" s="194" t="s"/>
      <c r="G203" s="194" t="s"/>
      <c r="H203" s="194" t="s"/>
      <c r="I203" s="194" t="s"/>
      <c r="J203" s="194" t="s"/>
      <c r="K203" s="194" t="s"/>
    </row>
    <row r="204" spans="1:11" customHeight="false">
      <c r="A204" s="955">
        <v>7</v>
      </c>
      <c r="B204" s="956" t="s">
        <v>637</v>
      </c>
      <c r="C204" s="956" t="s">
        <v>1888</v>
      </c>
      <c r="D204" s="956" t="s">
        <v>45</v>
      </c>
      <c r="E204" s="957">
        <v>2</v>
      </c>
      <c r="F204" s="194" t="s"/>
      <c r="G204" s="194" t="s"/>
      <c r="H204" s="194" t="s"/>
      <c r="I204" s="194" t="s"/>
      <c r="J204" s="194" t="s"/>
      <c r="K204" s="194" t="s"/>
    </row>
    <row r="205" spans="1:11" customHeight="false">
      <c r="A205" s="955">
        <v>8</v>
      </c>
      <c r="B205" s="956" t="s">
        <v>1363</v>
      </c>
      <c r="C205" s="956" t="s">
        <v>1890</v>
      </c>
      <c r="D205" s="956" t="s">
        <v>45</v>
      </c>
      <c r="E205" s="957">
        <v>1</v>
      </c>
      <c r="F205" s="194" t="s"/>
      <c r="G205" s="194" t="s"/>
      <c r="H205" s="194" t="s"/>
      <c r="I205" s="194" t="s"/>
      <c r="J205" s="194" t="s"/>
      <c r="K205" s="194" t="s"/>
    </row>
    <row r="206" spans="1:11" customHeight="false">
      <c r="A206" s="955">
        <v>9</v>
      </c>
      <c r="B206" s="956" t="s">
        <v>1363</v>
      </c>
      <c r="C206" s="956" t="s">
        <v>1890</v>
      </c>
      <c r="D206" s="956" t="s">
        <v>45</v>
      </c>
      <c r="E206" s="957">
        <v>1</v>
      </c>
      <c r="F206" s="194" t="s"/>
      <c r="G206" s="194" t="s"/>
      <c r="H206" s="194" t="s"/>
      <c r="I206" s="194" t="s"/>
      <c r="J206" s="194" t="s"/>
      <c r="K206" s="194" t="s"/>
    </row>
    <row r="207" spans="1:11" customHeight="false">
      <c r="A207" s="955">
        <v>10</v>
      </c>
      <c r="B207" s="956" t="s">
        <v>1363</v>
      </c>
      <c r="C207" s="956" t="s">
        <v>1890</v>
      </c>
      <c r="D207" s="956" t="s">
        <v>45</v>
      </c>
      <c r="E207" s="957">
        <v>1</v>
      </c>
      <c r="F207" s="194" t="s"/>
      <c r="G207" s="194" t="s"/>
      <c r="H207" s="194" t="s"/>
      <c r="I207" s="194" t="s"/>
      <c r="J207" s="194" t="s"/>
      <c r="K207" s="194" t="s"/>
    </row>
    <row r="208" spans="1:11" customHeight="false">
      <c r="A208" s="955">
        <v>11</v>
      </c>
      <c r="B208" s="956" t="s">
        <v>1507</v>
      </c>
      <c r="C208" s="956" t="s">
        <v>1896</v>
      </c>
      <c r="D208" s="956" t="s">
        <v>45</v>
      </c>
      <c r="E208" s="957">
        <v>1</v>
      </c>
      <c r="F208" s="194" t="s"/>
      <c r="G208" s="194" t="s"/>
      <c r="H208" s="194" t="s"/>
      <c r="I208" s="194" t="s"/>
      <c r="J208" s="194" t="s"/>
      <c r="K208" s="194" t="s"/>
    </row>
    <row r="209" spans="1:11" customHeight="false">
      <c r="A209" s="955">
        <v>12</v>
      </c>
      <c r="B209" s="956" t="s">
        <v>1107</v>
      </c>
      <c r="C209" s="956" t="s">
        <v>2495</v>
      </c>
      <c r="D209" s="956" t="s">
        <v>45</v>
      </c>
      <c r="E209" s="957">
        <v>1</v>
      </c>
      <c r="F209" s="194" t="s"/>
      <c r="G209" s="194" t="s"/>
      <c r="H209" s="194" t="s"/>
      <c r="I209" s="194" t="s"/>
      <c r="J209" s="194" t="s"/>
      <c r="K209" s="194" t="s"/>
    </row>
    <row r="210" spans="1:11" customHeight="false">
      <c r="A210" s="953" t="s">
        <v>1901</v>
      </c>
      <c r="B210" s="954" t="s"/>
      <c r="C210" s="954" t="s"/>
      <c r="D210" s="954" t="s"/>
      <c r="E210" s="951" t="s"/>
      <c r="F210" s="194" t="s"/>
      <c r="G210" s="194" t="s"/>
      <c r="H210" s="194" t="s"/>
      <c r="I210" s="194" t="s"/>
      <c r="J210" s="194" t="s"/>
      <c r="K210" s="194" t="s"/>
    </row>
    <row r="211" spans="1:11" customHeight="false">
      <c r="A211" s="953" t="s">
        <v>1537</v>
      </c>
      <c r="B211" s="954" t="s"/>
      <c r="C211" s="954" t="s"/>
      <c r="D211" s="954" t="s"/>
      <c r="E211" s="951" t="s"/>
      <c r="F211" s="194" t="s"/>
      <c r="G211" s="194" t="s"/>
      <c r="H211" s="194" t="s"/>
      <c r="I211" s="194" t="s"/>
      <c r="J211" s="194" t="s"/>
      <c r="K211" s="194" t="s"/>
    </row>
    <row r="212" spans="1:11" customHeight="false">
      <c r="A212" s="955">
        <v>1</v>
      </c>
      <c r="B212" s="956" t="s">
        <v>1903</v>
      </c>
      <c r="C212" s="956" t="s">
        <v>1905</v>
      </c>
      <c r="D212" s="956" t="s">
        <v>36</v>
      </c>
      <c r="E212" s="957">
        <v>5</v>
      </c>
      <c r="F212" s="194" t="s"/>
      <c r="G212" s="194" t="s"/>
      <c r="H212" s="194" t="s"/>
      <c r="I212" s="194" t="s"/>
      <c r="J212" s="194" t="s"/>
      <c r="K212" s="194" t="s"/>
    </row>
    <row r="213" spans="1:11" customHeight="false">
      <c r="A213" s="955">
        <v>2</v>
      </c>
      <c r="B213" s="956" t="s">
        <v>1908</v>
      </c>
      <c r="C213" s="956" t="s">
        <v>1910</v>
      </c>
      <c r="D213" s="956" t="s">
        <v>36</v>
      </c>
      <c r="E213" s="957">
        <v>1</v>
      </c>
      <c r="F213" s="194" t="s"/>
      <c r="G213" s="194" t="s"/>
      <c r="H213" s="194" t="s"/>
      <c r="I213" s="194" t="s"/>
      <c r="J213" s="194" t="s"/>
      <c r="K213" s="194" t="s"/>
    </row>
    <row r="214" spans="1:11" customHeight="false">
      <c r="A214" s="955">
        <v>3</v>
      </c>
      <c r="B214" s="956" t="s">
        <v>1913</v>
      </c>
      <c r="C214" s="956" t="s">
        <v>1914</v>
      </c>
      <c r="D214" s="956" t="s">
        <v>36</v>
      </c>
      <c r="E214" s="957">
        <v>5</v>
      </c>
      <c r="F214" s="194" t="s"/>
      <c r="G214" s="194" t="s"/>
      <c r="H214" s="194" t="s"/>
      <c r="I214" s="194" t="s"/>
      <c r="J214" s="194" t="s"/>
      <c r="K214" s="194" t="s"/>
    </row>
    <row r="215" spans="1:11" customHeight="false">
      <c r="A215" s="955">
        <v>4</v>
      </c>
      <c r="B215" s="956" t="s">
        <v>1913</v>
      </c>
      <c r="C215" s="956" t="s">
        <v>2496</v>
      </c>
      <c r="D215" s="956" t="s">
        <v>36</v>
      </c>
      <c r="E215" s="957">
        <v>1</v>
      </c>
      <c r="F215" s="194" t="s"/>
      <c r="G215" s="194" t="s"/>
      <c r="H215" s="194" t="s"/>
      <c r="I215" s="194" t="s"/>
      <c r="J215" s="194" t="s"/>
      <c r="K215" s="194" t="s"/>
    </row>
    <row r="216" spans="1:11" customHeight="false">
      <c r="A216" s="955">
        <v>5</v>
      </c>
      <c r="B216" s="956" t="s">
        <v>1919</v>
      </c>
      <c r="C216" s="956" t="s">
        <v>1921</v>
      </c>
      <c r="D216" s="956" t="s">
        <v>36</v>
      </c>
      <c r="E216" s="957">
        <v>1</v>
      </c>
      <c r="F216" s="194" t="s"/>
      <c r="G216" s="194" t="s"/>
      <c r="H216" s="194" t="s"/>
      <c r="I216" s="194" t="s"/>
      <c r="J216" s="194" t="s"/>
      <c r="K216" s="194" t="s"/>
    </row>
    <row r="217" spans="1:11" customHeight="false">
      <c r="A217" s="953" t="s">
        <v>1500</v>
      </c>
      <c r="B217" s="954" t="s"/>
      <c r="C217" s="954" t="s"/>
      <c r="D217" s="954" t="s"/>
      <c r="E217" s="951" t="s"/>
      <c r="F217" s="194" t="s"/>
      <c r="G217" s="194" t="s"/>
      <c r="H217" s="194" t="s"/>
      <c r="I217" s="194" t="s"/>
      <c r="J217" s="194" t="s"/>
      <c r="K217" s="194" t="s"/>
    </row>
    <row r="218" spans="1:11" customHeight="false">
      <c r="A218" s="955">
        <v>1</v>
      </c>
      <c r="B218" s="956" t="s">
        <v>1105</v>
      </c>
      <c r="C218" s="956" t="s">
        <v>1633</v>
      </c>
      <c r="D218" s="956" t="s">
        <v>36</v>
      </c>
      <c r="E218" s="957">
        <v>6</v>
      </c>
      <c r="F218" s="194" t="s"/>
      <c r="G218" s="194" t="s"/>
      <c r="H218" s="194" t="s"/>
      <c r="I218" s="194" t="s"/>
      <c r="J218" s="194" t="s"/>
      <c r="K218" s="194" t="s"/>
    </row>
    <row r="219" spans="1:11" customHeight="false">
      <c r="A219" s="955">
        <v>2</v>
      </c>
      <c r="B219" s="956" t="s">
        <v>1532</v>
      </c>
      <c r="C219" s="956" t="s">
        <v>2497</v>
      </c>
      <c r="D219" s="956" t="s">
        <v>36</v>
      </c>
      <c r="E219" s="957">
        <v>2</v>
      </c>
      <c r="F219" s="194" t="s"/>
      <c r="G219" s="194" t="s"/>
      <c r="H219" s="194" t="s"/>
      <c r="I219" s="194" t="s"/>
      <c r="J219" s="194" t="s"/>
      <c r="K219" s="194" t="s"/>
    </row>
    <row r="220" spans="1:11" customHeight="false">
      <c r="A220" s="955">
        <v>3</v>
      </c>
      <c r="B220" s="956" t="s">
        <v>1924</v>
      </c>
      <c r="C220" s="958" t="s"/>
      <c r="D220" s="956" t="s">
        <v>36</v>
      </c>
      <c r="E220" s="957">
        <v>1</v>
      </c>
      <c r="F220" s="194" t="s"/>
      <c r="G220" s="194" t="s"/>
      <c r="H220" s="194" t="s"/>
      <c r="I220" s="194" t="s"/>
      <c r="J220" s="194" t="s"/>
      <c r="K220" s="194" t="s"/>
    </row>
    <row r="221" spans="1:11" customHeight="false">
      <c r="A221" s="953" t="s">
        <v>1925</v>
      </c>
      <c r="B221" s="954" t="s"/>
      <c r="C221" s="954" t="s"/>
      <c r="D221" s="954" t="s"/>
      <c r="E221" s="951" t="s"/>
      <c r="F221" s="194" t="s"/>
      <c r="G221" s="194" t="s"/>
      <c r="H221" s="194" t="s"/>
      <c r="I221" s="194" t="s"/>
      <c r="J221" s="194" t="s"/>
      <c r="K221" s="194" t="s"/>
    </row>
    <row r="222" spans="1:11" customHeight="false">
      <c r="A222" s="955">
        <v>1</v>
      </c>
      <c r="B222" s="956" t="s">
        <v>1927</v>
      </c>
      <c r="C222" s="956" t="s">
        <v>1929</v>
      </c>
      <c r="D222" s="956" t="s">
        <v>32</v>
      </c>
      <c r="E222" s="957">
        <v>2</v>
      </c>
      <c r="F222" s="194" t="s"/>
      <c r="G222" s="194" t="s"/>
      <c r="H222" s="194" t="s"/>
      <c r="I222" s="194" t="s"/>
      <c r="J222" s="194" t="s"/>
      <c r="K222" s="194" t="s"/>
    </row>
    <row r="223" spans="1:11" customHeight="false">
      <c r="A223" s="955">
        <v>2</v>
      </c>
      <c r="B223" s="956" t="s">
        <v>1931</v>
      </c>
      <c r="C223" s="956" t="s">
        <v>1933</v>
      </c>
      <c r="D223" s="956" t="s">
        <v>36</v>
      </c>
      <c r="E223" s="957">
        <v>4</v>
      </c>
      <c r="F223" s="194" t="s"/>
      <c r="G223" s="194" t="s"/>
      <c r="H223" s="194" t="s"/>
      <c r="I223" s="194" t="s"/>
      <c r="J223" s="194" t="s"/>
      <c r="K223" s="194" t="s"/>
    </row>
    <row r="224" spans="1:11" customHeight="false">
      <c r="A224" s="955">
        <v>3</v>
      </c>
      <c r="B224" s="956" t="s">
        <v>1741</v>
      </c>
      <c r="C224" s="956" t="s">
        <v>1936</v>
      </c>
      <c r="D224" s="956" t="s">
        <v>45</v>
      </c>
      <c r="E224" s="957">
        <v>1</v>
      </c>
      <c r="F224" s="194" t="s"/>
      <c r="G224" s="194" t="s"/>
      <c r="H224" s="194" t="s"/>
      <c r="I224" s="194" t="s"/>
      <c r="J224" s="194" t="s"/>
      <c r="K224" s="194" t="s"/>
    </row>
    <row r="225" spans="1:11" customHeight="false">
      <c r="A225" s="955">
        <v>4</v>
      </c>
      <c r="B225" s="956" t="s">
        <v>1114</v>
      </c>
      <c r="C225" s="956" t="s">
        <v>1939</v>
      </c>
      <c r="D225" s="956" t="s">
        <v>45</v>
      </c>
      <c r="E225" s="957">
        <v>1</v>
      </c>
      <c r="F225" s="194" t="s"/>
      <c r="G225" s="194" t="s"/>
      <c r="H225" s="194" t="s"/>
      <c r="I225" s="194" t="s"/>
      <c r="J225" s="194" t="s"/>
      <c r="K225" s="194" t="s"/>
    </row>
    <row r="226" spans="1:11" customHeight="false">
      <c r="A226" s="955">
        <v>5</v>
      </c>
      <c r="B226" s="956" t="s">
        <v>1942</v>
      </c>
      <c r="C226" s="956" t="s">
        <v>1943</v>
      </c>
      <c r="D226" s="956" t="s">
        <v>45</v>
      </c>
      <c r="E226" s="957">
        <v>3</v>
      </c>
      <c r="F226" s="194" t="s"/>
      <c r="G226" s="194" t="s"/>
      <c r="H226" s="194" t="s"/>
      <c r="I226" s="194" t="s"/>
      <c r="J226" s="194" t="s"/>
      <c r="K226" s="194" t="s"/>
    </row>
    <row r="227" spans="1:11" customHeight="false">
      <c r="A227" s="955">
        <v>6</v>
      </c>
      <c r="B227" s="956" t="s">
        <v>1945</v>
      </c>
      <c r="C227" s="956" t="s">
        <v>1947</v>
      </c>
      <c r="D227" s="956" t="s">
        <v>32</v>
      </c>
      <c r="E227" s="957">
        <v>1</v>
      </c>
      <c r="F227" s="194" t="s"/>
      <c r="G227" s="194" t="s"/>
      <c r="H227" s="194" t="s"/>
      <c r="I227" s="194" t="s"/>
      <c r="J227" s="194" t="s"/>
      <c r="K227" s="194" t="s"/>
    </row>
    <row r="228" spans="1:11" customHeight="false">
      <c r="A228" s="955">
        <v>7</v>
      </c>
      <c r="B228" s="956" t="s">
        <v>1949</v>
      </c>
      <c r="C228" s="956" t="s">
        <v>1950</v>
      </c>
      <c r="D228" s="956" t="s">
        <v>32</v>
      </c>
      <c r="E228" s="957">
        <v>3</v>
      </c>
      <c r="F228" s="194" t="s"/>
      <c r="G228" s="194" t="s"/>
      <c r="H228" s="194" t="s"/>
      <c r="I228" s="194" t="s"/>
      <c r="J228" s="194" t="s"/>
      <c r="K228" s="194" t="s"/>
    </row>
    <row r="229" spans="1:11" customHeight="false">
      <c r="A229" s="955">
        <v>8</v>
      </c>
      <c r="B229" s="956" t="s">
        <v>1952</v>
      </c>
      <c r="C229" s="956" t="s">
        <v>1929</v>
      </c>
      <c r="D229" s="956" t="s">
        <v>32</v>
      </c>
      <c r="E229" s="957">
        <v>1</v>
      </c>
      <c r="F229" s="194" t="s"/>
      <c r="G229" s="194" t="s"/>
      <c r="H229" s="194" t="s"/>
      <c r="I229" s="194" t="s"/>
      <c r="J229" s="194" t="s"/>
      <c r="K229" s="194" t="s"/>
    </row>
    <row r="230" spans="1:11" customHeight="false">
      <c r="A230" s="955">
        <v>9</v>
      </c>
      <c r="B230" s="956" t="s">
        <v>1741</v>
      </c>
      <c r="C230" s="956" t="s">
        <v>1936</v>
      </c>
      <c r="D230" s="956" t="s">
        <v>45</v>
      </c>
      <c r="E230" s="957">
        <v>3</v>
      </c>
      <c r="F230" s="194" t="s"/>
      <c r="G230" s="194" t="s"/>
      <c r="H230" s="194" t="s"/>
      <c r="I230" s="194" t="s"/>
      <c r="J230" s="194" t="s"/>
      <c r="K230" s="194" t="s"/>
    </row>
    <row r="231" spans="1:11" customHeight="false">
      <c r="A231" s="955">
        <v>10</v>
      </c>
      <c r="B231" s="956" t="s">
        <v>1114</v>
      </c>
      <c r="C231" s="956" t="s">
        <v>1939</v>
      </c>
      <c r="D231" s="956" t="s">
        <v>45</v>
      </c>
      <c r="E231" s="957">
        <v>1</v>
      </c>
      <c r="F231" s="194" t="s"/>
      <c r="G231" s="194" t="s"/>
      <c r="H231" s="194" t="s"/>
      <c r="I231" s="194" t="s"/>
      <c r="J231" s="194" t="s"/>
      <c r="K231" s="194" t="s"/>
    </row>
    <row r="232" spans="1:11" customHeight="false">
      <c r="A232" s="955">
        <v>11</v>
      </c>
      <c r="B232" s="956" t="s">
        <v>1957</v>
      </c>
      <c r="C232" s="956" t="s">
        <v>1929</v>
      </c>
      <c r="D232" s="956" t="s">
        <v>32</v>
      </c>
      <c r="E232" s="957">
        <v>1</v>
      </c>
      <c r="F232" s="194" t="s"/>
      <c r="G232" s="194" t="s"/>
      <c r="H232" s="194" t="s"/>
      <c r="I232" s="194" t="s"/>
      <c r="J232" s="194" t="s"/>
      <c r="K232" s="194" t="s"/>
    </row>
    <row r="233" spans="1:11" customHeight="false">
      <c r="A233" s="955">
        <v>12</v>
      </c>
      <c r="B233" s="956" t="s">
        <v>1959</v>
      </c>
      <c r="C233" s="956" t="s">
        <v>1960</v>
      </c>
      <c r="D233" s="956" t="s">
        <v>36</v>
      </c>
      <c r="E233" s="957">
        <v>1</v>
      </c>
      <c r="F233" s="194" t="s"/>
      <c r="G233" s="194" t="s"/>
      <c r="H233" s="194" t="s"/>
      <c r="I233" s="194" t="s"/>
      <c r="J233" s="194" t="s"/>
      <c r="K233" s="194" t="s"/>
    </row>
    <row r="234" spans="1:11" customHeight="false">
      <c r="A234" s="955">
        <v>13</v>
      </c>
      <c r="B234" s="956" t="s">
        <v>1719</v>
      </c>
      <c r="C234" s="956" t="s">
        <v>1963</v>
      </c>
      <c r="D234" s="956" t="s">
        <v>36</v>
      </c>
      <c r="E234" s="957">
        <v>3</v>
      </c>
      <c r="F234" s="194" t="s"/>
      <c r="G234" s="194" t="s"/>
      <c r="H234" s="194" t="s"/>
      <c r="I234" s="194" t="s"/>
      <c r="J234" s="194" t="s"/>
      <c r="K234" s="194" t="s"/>
    </row>
    <row r="235" spans="1:11" customHeight="false">
      <c r="A235" s="955">
        <v>14</v>
      </c>
      <c r="B235" s="956" t="s">
        <v>1741</v>
      </c>
      <c r="C235" s="956" t="s">
        <v>1936</v>
      </c>
      <c r="D235" s="956" t="s">
        <v>36</v>
      </c>
      <c r="E235" s="957">
        <v>1</v>
      </c>
      <c r="F235" s="194" t="s"/>
      <c r="G235" s="194" t="s"/>
      <c r="H235" s="194" t="s"/>
      <c r="I235" s="194" t="s"/>
      <c r="J235" s="194" t="s"/>
      <c r="K235" s="194" t="s"/>
    </row>
    <row r="236" spans="1:11" customHeight="false">
      <c r="A236" s="955">
        <v>15</v>
      </c>
      <c r="B236" s="956" t="s">
        <v>1969</v>
      </c>
      <c r="C236" s="956" t="s">
        <v>359</v>
      </c>
      <c r="D236" s="956" t="s">
        <v>45</v>
      </c>
      <c r="E236" s="957">
        <v>1</v>
      </c>
      <c r="F236" s="194" t="s"/>
      <c r="G236" s="194" t="s"/>
      <c r="H236" s="194" t="s"/>
      <c r="I236" s="194" t="s"/>
      <c r="J236" s="194" t="s"/>
      <c r="K236" s="194" t="s"/>
    </row>
    <row r="237" spans="1:11" customHeight="false">
      <c r="A237" s="955">
        <v>16</v>
      </c>
      <c r="B237" s="956" t="s">
        <v>1114</v>
      </c>
      <c r="C237" s="956" t="s">
        <v>1939</v>
      </c>
      <c r="D237" s="956" t="s">
        <v>45</v>
      </c>
      <c r="E237" s="957">
        <v>1</v>
      </c>
      <c r="F237" s="194" t="s"/>
      <c r="G237" s="194" t="s"/>
      <c r="H237" s="194" t="s"/>
      <c r="I237" s="194" t="s"/>
      <c r="J237" s="194" t="s"/>
      <c r="K237" s="194" t="s"/>
    </row>
    <row r="238" spans="1:11" customHeight="false">
      <c r="A238" s="955">
        <v>17</v>
      </c>
      <c r="B238" s="956" t="s">
        <v>1974</v>
      </c>
      <c r="C238" s="956" t="s">
        <v>1975</v>
      </c>
      <c r="D238" s="956" t="s">
        <v>36</v>
      </c>
      <c r="E238" s="957">
        <v>1</v>
      </c>
      <c r="F238" s="194" t="s"/>
      <c r="G238" s="194" t="s"/>
      <c r="H238" s="194" t="s"/>
      <c r="I238" s="194" t="s"/>
      <c r="J238" s="194" t="s"/>
      <c r="K238" s="194" t="s"/>
    </row>
    <row r="239" spans="1:11" customHeight="false">
      <c r="A239" s="955">
        <v>18</v>
      </c>
      <c r="B239" s="956" t="s">
        <v>1727</v>
      </c>
      <c r="C239" s="956" t="s">
        <v>1978</v>
      </c>
      <c r="D239" s="956" t="s">
        <v>36</v>
      </c>
      <c r="E239" s="957">
        <v>3</v>
      </c>
      <c r="F239" s="194" t="s"/>
      <c r="G239" s="194" t="s"/>
      <c r="H239" s="194" t="s"/>
      <c r="I239" s="194" t="s"/>
      <c r="J239" s="194" t="s"/>
      <c r="K239" s="194" t="s"/>
    </row>
    <row r="240" spans="1:11" customHeight="false">
      <c r="A240" s="955">
        <v>19</v>
      </c>
      <c r="B240" s="956" t="s">
        <v>1741</v>
      </c>
      <c r="C240" s="956" t="s">
        <v>1936</v>
      </c>
      <c r="D240" s="956" t="s">
        <v>36</v>
      </c>
      <c r="E240" s="957">
        <v>1</v>
      </c>
      <c r="F240" s="194" t="s"/>
      <c r="G240" s="194" t="s"/>
      <c r="H240" s="194" t="s"/>
      <c r="I240" s="194" t="s"/>
      <c r="J240" s="194" t="s"/>
      <c r="K240" s="194" t="s"/>
    </row>
    <row r="241" spans="1:11" customHeight="false">
      <c r="A241" s="955">
        <v>20</v>
      </c>
      <c r="B241" s="956" t="s">
        <v>1982</v>
      </c>
      <c r="C241" s="956" t="s">
        <v>2498</v>
      </c>
      <c r="D241" s="956" t="s">
        <v>45</v>
      </c>
      <c r="E241" s="957">
        <v>1</v>
      </c>
      <c r="F241" s="194" t="s"/>
      <c r="G241" s="194" t="s"/>
      <c r="H241" s="194" t="s"/>
      <c r="I241" s="194" t="s"/>
      <c r="J241" s="194" t="s"/>
      <c r="K241" s="194" t="s"/>
    </row>
    <row r="242" spans="1:11" customHeight="false">
      <c r="A242" s="955">
        <v>21</v>
      </c>
      <c r="B242" s="956" t="s">
        <v>1949</v>
      </c>
      <c r="C242" s="956" t="s">
        <v>1985</v>
      </c>
      <c r="D242" s="956" t="s">
        <v>36</v>
      </c>
      <c r="E242" s="957">
        <v>1</v>
      </c>
      <c r="F242" s="194" t="s"/>
      <c r="G242" s="194" t="s"/>
      <c r="H242" s="194" t="s"/>
      <c r="I242" s="194" t="s"/>
      <c r="J242" s="194" t="s"/>
      <c r="K242" s="194" t="s"/>
    </row>
    <row r="243" spans="1:11" customHeight="false">
      <c r="A243" s="953" t="s">
        <v>1986</v>
      </c>
      <c r="B243" s="954" t="s"/>
      <c r="C243" s="954" t="s"/>
      <c r="D243" s="954" t="s"/>
      <c r="E243" s="951" t="s"/>
      <c r="F243" s="194" t="s"/>
      <c r="G243" s="194" t="s"/>
      <c r="H243" s="194" t="s"/>
      <c r="I243" s="194" t="s"/>
      <c r="J243" s="194" t="s"/>
      <c r="K243" s="194" t="s"/>
    </row>
    <row r="244" spans="1:11" customHeight="false">
      <c r="A244" s="953" t="s">
        <v>1987</v>
      </c>
      <c r="B244" s="954" t="s"/>
      <c r="C244" s="954" t="s"/>
      <c r="D244" s="954" t="s"/>
      <c r="E244" s="951" t="s"/>
      <c r="F244" s="194" t="s"/>
      <c r="G244" s="194" t="s"/>
      <c r="H244" s="194" t="s"/>
      <c r="I244" s="194" t="s"/>
      <c r="J244" s="194" t="s"/>
      <c r="K244" s="194" t="s"/>
    </row>
    <row r="245" spans="1:11" customHeight="false">
      <c r="A245" s="955">
        <v>1</v>
      </c>
      <c r="B245" s="956" t="s">
        <v>1989</v>
      </c>
      <c r="C245" s="956" t="s">
        <v>1990</v>
      </c>
      <c r="D245" s="956" t="s">
        <v>32</v>
      </c>
      <c r="E245" s="957">
        <v>24</v>
      </c>
      <c r="F245" s="194" t="s"/>
      <c r="G245" s="194" t="s"/>
      <c r="H245" s="194" t="s"/>
      <c r="I245" s="194" t="s"/>
      <c r="J245" s="194" t="s"/>
      <c r="K245" s="194" t="s"/>
    </row>
    <row r="246" spans="1:11" customHeight="false">
      <c r="A246" s="955">
        <v>2</v>
      </c>
      <c r="B246" s="956" t="s">
        <v>1989</v>
      </c>
      <c r="C246" s="956" t="s">
        <v>1990</v>
      </c>
      <c r="D246" s="956" t="s">
        <v>32</v>
      </c>
      <c r="E246" s="957">
        <v>6</v>
      </c>
      <c r="F246" s="194" t="s"/>
      <c r="G246" s="194" t="s"/>
      <c r="H246" s="194" t="s"/>
      <c r="I246" s="194" t="s"/>
      <c r="J246" s="194" t="s"/>
      <c r="K246" s="194" t="s"/>
    </row>
    <row r="247" spans="1:11" customHeight="false">
      <c r="A247" s="955">
        <v>3</v>
      </c>
      <c r="B247" s="956" t="s">
        <v>1992</v>
      </c>
      <c r="C247" s="958" t="s"/>
      <c r="D247" s="956" t="s">
        <v>36</v>
      </c>
      <c r="E247" s="957">
        <v>15</v>
      </c>
      <c r="F247" s="194" t="s"/>
      <c r="G247" s="194" t="s"/>
      <c r="H247" s="194" t="s"/>
      <c r="I247" s="194" t="s"/>
      <c r="J247" s="194" t="s"/>
      <c r="K247" s="194" t="s"/>
    </row>
    <row r="248" spans="1:11" customHeight="false">
      <c r="A248" s="953" t="s">
        <v>432</v>
      </c>
      <c r="B248" s="954" t="s"/>
      <c r="C248" s="954" t="s"/>
      <c r="D248" s="954" t="s"/>
      <c r="E248" s="951" t="s"/>
      <c r="F248" s="194" t="s"/>
      <c r="G248" s="194" t="s"/>
      <c r="H248" s="194" t="s"/>
      <c r="I248" s="194" t="s"/>
      <c r="J248" s="194" t="s"/>
      <c r="K248" s="194" t="s"/>
    </row>
    <row r="249" spans="1:11" customHeight="false">
      <c r="A249" s="955">
        <v>4</v>
      </c>
      <c r="B249" s="956" t="s">
        <v>1995</v>
      </c>
      <c r="C249" s="956" t="s">
        <v>1996</v>
      </c>
      <c r="D249" s="956" t="s">
        <v>32</v>
      </c>
      <c r="E249" s="957">
        <v>2</v>
      </c>
      <c r="F249" s="194" t="s"/>
      <c r="G249" s="194" t="s"/>
      <c r="H249" s="194" t="s"/>
      <c r="I249" s="194" t="s"/>
      <c r="J249" s="194" t="s"/>
      <c r="K249" s="194" t="s"/>
    </row>
    <row r="250" spans="1:11" customHeight="false">
      <c r="A250" s="955">
        <v>5</v>
      </c>
      <c r="B250" s="956" t="s">
        <v>1998</v>
      </c>
      <c r="C250" s="956" t="s">
        <v>1999</v>
      </c>
      <c r="D250" s="956" t="s">
        <v>32</v>
      </c>
      <c r="E250" s="957">
        <v>2</v>
      </c>
      <c r="F250" s="194" t="s"/>
      <c r="G250" s="194" t="s"/>
      <c r="H250" s="194" t="s"/>
      <c r="I250" s="194" t="s"/>
      <c r="J250" s="194" t="s"/>
      <c r="K250" s="194" t="s"/>
    </row>
    <row r="251" spans="1:11" customHeight="false">
      <c r="A251" s="955">
        <v>6</v>
      </c>
      <c r="B251" s="956" t="s">
        <v>1114</v>
      </c>
      <c r="C251" s="956" t="s">
        <v>1632</v>
      </c>
      <c r="D251" s="956" t="s">
        <v>36</v>
      </c>
      <c r="E251" s="957">
        <v>1</v>
      </c>
      <c r="F251" s="194" t="s"/>
      <c r="G251" s="194" t="s"/>
      <c r="H251" s="194" t="s"/>
      <c r="I251" s="194" t="s"/>
      <c r="J251" s="194" t="s"/>
      <c r="K251" s="194" t="s"/>
    </row>
    <row r="252" spans="1:11" customHeight="false">
      <c r="A252" s="955">
        <v>7</v>
      </c>
      <c r="B252" s="956" t="s">
        <v>2001</v>
      </c>
      <c r="C252" s="958" t="s"/>
      <c r="D252" s="958" t="s"/>
      <c r="E252" s="958" t="s"/>
      <c r="F252" s="194" t="s"/>
      <c r="G252" s="194" t="s"/>
      <c r="H252" s="194" t="s"/>
      <c r="I252" s="194" t="s"/>
      <c r="J252" s="194" t="s"/>
      <c r="K252" s="194" t="s"/>
    </row>
    <row r="253" spans="1:11" customHeight="false">
      <c r="A253" s="955">
        <v>8</v>
      </c>
      <c r="B253" s="956" t="s">
        <v>2003</v>
      </c>
      <c r="C253" s="956" t="s">
        <v>2004</v>
      </c>
      <c r="D253" s="956" t="s">
        <v>32</v>
      </c>
      <c r="E253" s="957">
        <v>2</v>
      </c>
      <c r="F253" s="194" t="s"/>
      <c r="G253" s="194" t="s"/>
      <c r="H253" s="194" t="s"/>
      <c r="I253" s="194" t="s"/>
      <c r="J253" s="194" t="s"/>
      <c r="K253" s="194" t="s"/>
    </row>
    <row r="254" spans="1:11" customHeight="false">
      <c r="A254" s="955">
        <v>9</v>
      </c>
      <c r="B254" s="956" t="s">
        <v>2007</v>
      </c>
      <c r="C254" s="956" t="s">
        <v>2004</v>
      </c>
      <c r="D254" s="956" t="s">
        <v>32</v>
      </c>
      <c r="E254" s="957">
        <v>2</v>
      </c>
      <c r="F254" s="194" t="s"/>
      <c r="G254" s="194" t="s"/>
      <c r="H254" s="194" t="s"/>
      <c r="I254" s="194" t="s"/>
      <c r="J254" s="194" t="s"/>
      <c r="K254" s="194" t="s"/>
    </row>
    <row r="255" spans="1:11" customHeight="false">
      <c r="A255" s="955">
        <v>10</v>
      </c>
      <c r="B255" s="956" t="s">
        <v>1363</v>
      </c>
      <c r="C255" s="958" t="s"/>
      <c r="D255" s="956" t="s">
        <v>36</v>
      </c>
      <c r="E255" s="957">
        <v>1</v>
      </c>
      <c r="F255" s="194" t="s"/>
      <c r="G255" s="194" t="s"/>
      <c r="H255" s="194" t="s"/>
      <c r="I255" s="194" t="s"/>
      <c r="J255" s="194" t="s"/>
      <c r="K255" s="194" t="s"/>
    </row>
  </sheetData>
  <mergeCells count="41">
    <mergeCell ref="A2:E2"/>
    <mergeCell ref="A3:E3"/>
    <mergeCell ref="A9:E9"/>
    <mergeCell ref="A10:E10"/>
    <mergeCell ref="A15:E15"/>
    <mergeCell ref="A21:E21"/>
    <mergeCell ref="A27:E27"/>
    <mergeCell ref="A37:E37"/>
    <mergeCell ref="A42:E42"/>
    <mergeCell ref="A53:E53"/>
    <mergeCell ref="A71:E71"/>
    <mergeCell ref="A72:E72"/>
    <mergeCell ref="A91:E91"/>
    <mergeCell ref="A101:E101"/>
    <mergeCell ref="A102:E102"/>
    <mergeCell ref="A111:E111"/>
    <mergeCell ref="A114:E114"/>
    <mergeCell ref="A139:E139"/>
    <mergeCell ref="A142:E142"/>
    <mergeCell ref="A143:E143"/>
    <mergeCell ref="A145:E145"/>
    <mergeCell ref="A150:E150"/>
    <mergeCell ref="A153:E153"/>
    <mergeCell ref="A158:E158"/>
    <mergeCell ref="A165:E165"/>
    <mergeCell ref="A172:E172"/>
    <mergeCell ref="A177:E177"/>
    <mergeCell ref="A181:E181"/>
    <mergeCell ref="A183:E183"/>
    <mergeCell ref="A197:E197"/>
    <mergeCell ref="A210:E210"/>
    <mergeCell ref="A211:E211"/>
    <mergeCell ref="A217:E217"/>
    <mergeCell ref="A221:E221"/>
    <mergeCell ref="A243:E243"/>
    <mergeCell ref="A244:E244"/>
    <mergeCell ref="A248:E248"/>
    <mergeCell ref="A23:A24"/>
    <mergeCell ref="B23:B24"/>
    <mergeCell ref="D23:D24"/>
    <mergeCell ref="E23:E24"/>
  </mergeCells>
</worksheet>
</file>

<file path=xl/worksheets/sheet16.xml><?xml version="1.0" encoding="utf-8"?>
<worksheet xmlns="http://schemas.openxmlformats.org/spreadsheetml/2006/main">
  <sheetPr>
    <tabColor rgb="FFFFFFFF"/>
  </sheetPr>
  <dimension ref="S236"/>
  <sheetViews>
    <sheetView showGridLines="true" rightToLeft="false" workbookViewId="0"/>
  </sheetViews>
  <cols>
    <col min="1" max="1" width="29.293" customWidth="true"/>
    <col min="2" max="2" width="5.43359" customWidth="true"/>
    <col min="3" max="3" width="5.57422" customWidth="true"/>
    <col min="4" max="4" width="29.1523" customWidth="true"/>
    <col min="5" max="5" width="12.1445" customWidth="true"/>
    <col min="6" max="6" width="39.7344" customWidth="true"/>
    <col min="7" max="9" width="12.1445" customWidth="true"/>
    <col min="10" max="14" width="1.85156" customWidth="true"/>
    <col min="15" max="15" width="12.1445" customWidth="true"/>
    <col min="16" max="16" width="23.582" customWidth="true"/>
    <col min="17" max="18" width="12.1445" customWidth="true"/>
    <col min="19" max="19" width="34.0117" customWidth="true"/>
  </cols>
  <sheetData>
    <row r="1" spans="1:19" customHeight="false">
      <c r="A1" s="315" t="s">
        <v>3</v>
      </c>
      <c r="B1" s="315" t="s">
        <v>1335</v>
      </c>
      <c r="C1" s="315" t="s">
        <v>1336</v>
      </c>
      <c r="D1" s="315" t="s">
        <v>4</v>
      </c>
      <c r="E1" s="315" t="s">
        <v>1337</v>
      </c>
      <c r="F1" s="315" t="s">
        <v>1338</v>
      </c>
      <c r="G1" s="315" t="s">
        <v>7</v>
      </c>
      <c r="H1" s="315" t="s">
        <v>8</v>
      </c>
      <c r="I1" s="315" t="s">
        <v>1339</v>
      </c>
      <c r="J1" s="315" t="s">
        <v>1340</v>
      </c>
      <c r="K1" s="315" t="s">
        <v>1341</v>
      </c>
      <c r="L1" s="315" t="s">
        <v>1342</v>
      </c>
      <c r="M1" s="315" t="s">
        <v>1343</v>
      </c>
      <c r="N1" s="315" t="s">
        <v>1344</v>
      </c>
      <c r="O1" s="315" t="s">
        <v>1345</v>
      </c>
      <c r="P1" s="315" t="s">
        <v>258</v>
      </c>
      <c r="Q1" s="676" t="s"/>
      <c r="R1" s="676" t="s"/>
      <c r="S1" s="676" t="s"/>
    </row>
    <row r="2" spans="1:19" ht="19" customHeight="true">
      <c r="A2" s="677" t="s">
        <v>1346</v>
      </c>
      <c r="B2" s="677" t="s"/>
      <c r="C2" s="677" t="s"/>
      <c r="D2" s="677" t="s"/>
      <c r="E2" s="677" t="s"/>
      <c r="F2" s="677" t="s"/>
      <c r="G2" s="677" t="s"/>
      <c r="H2" s="677" t="s"/>
      <c r="I2" s="677" t="s"/>
      <c r="J2" s="677" t="s"/>
      <c r="K2" s="677" t="s"/>
      <c r="L2" s="677" t="s"/>
      <c r="M2" s="677" t="s"/>
      <c r="N2" s="677" t="s"/>
      <c r="O2" s="677" t="s"/>
      <c r="P2" s="677" t="s"/>
      <c r="Q2" s="676" t="s"/>
      <c r="R2" s="676" t="s"/>
      <c r="S2" s="676" t="s"/>
    </row>
    <row r="3" spans="1:19" customHeight="false">
      <c r="A3" s="678" t="s">
        <v>1347</v>
      </c>
      <c r="B3" s="678" t="s"/>
      <c r="C3" s="678" t="s"/>
      <c r="D3" s="678" t="s"/>
      <c r="E3" s="678" t="s"/>
      <c r="F3" s="678" t="s"/>
      <c r="G3" s="678" t="s"/>
      <c r="H3" s="678" t="s"/>
      <c r="I3" s="678" t="s"/>
      <c r="J3" s="678" t="s"/>
      <c r="K3" s="678" t="s"/>
      <c r="L3" s="678" t="s"/>
      <c r="M3" s="678" t="s"/>
      <c r="N3" s="678" t="s"/>
      <c r="O3" s="678" t="s"/>
      <c r="P3" s="678" t="s"/>
      <c r="Q3" s="679" t="s"/>
      <c r="R3" s="680">
        <f>=SUM(R4:R7)*1.35</f>
        <v>240.3</v>
      </c>
      <c r="S3" s="679" t="s"/>
    </row>
    <row r="4" spans="1:19" customHeight="false">
      <c r="A4" s="681">
        <v>1</v>
      </c>
      <c r="B4" s="681">
        <v>1</v>
      </c>
      <c r="C4" s="681" t="s"/>
      <c r="D4" s="681" t="s">
        <v>1348</v>
      </c>
      <c r="E4" s="681" t="s">
        <v>1349</v>
      </c>
      <c r="F4" s="681" t="s">
        <v>1350</v>
      </c>
      <c r="G4" s="681" t="s">
        <v>45</v>
      </c>
      <c r="H4" s="681">
        <f>=L4+M4+N4</f>
        <v>1</v>
      </c>
      <c r="I4" s="681">
        <v>5</v>
      </c>
      <c r="J4" s="682">
        <f>=I4*H4</f>
        <v>5</v>
      </c>
      <c r="K4" s="682">
        <f>=I4*L4</f>
        <v>5</v>
      </c>
      <c r="L4" s="681">
        <v>1</v>
      </c>
      <c r="M4" s="681">
        <v>0</v>
      </c>
      <c r="N4" s="681">
        <v>0</v>
      </c>
      <c r="O4" s="681" t="s">
        <v>1351</v>
      </c>
      <c r="P4" s="681" t="s">
        <v>1352</v>
      </c>
      <c r="Q4" s="682">
        <v>30</v>
      </c>
      <c r="R4" s="682">
        <f>=H4*Q4</f>
        <v>30</v>
      </c>
      <c r="S4" s="676" t="s"/>
    </row>
    <row r="5" spans="1:19" customHeight="false">
      <c r="A5" s="681">
        <v>2</v>
      </c>
      <c r="B5" s="681">
        <v>2</v>
      </c>
      <c r="C5" s="681" t="s"/>
      <c r="D5" s="681" t="s">
        <v>1348</v>
      </c>
      <c r="E5" s="681" t="s">
        <v>1349</v>
      </c>
      <c r="F5" s="681" t="s">
        <v>1353</v>
      </c>
      <c r="G5" s="681" t="s">
        <v>45</v>
      </c>
      <c r="H5" s="681">
        <v>1</v>
      </c>
      <c r="I5" s="681">
        <v>5</v>
      </c>
      <c r="J5" s="682">
        <f>=I5*H5</f>
        <v>5</v>
      </c>
      <c r="K5" s="682">
        <f>=I5*L5</f>
        <v>5</v>
      </c>
      <c r="L5" s="681">
        <v>1</v>
      </c>
      <c r="M5" s="681">
        <v>0</v>
      </c>
      <c r="N5" s="681">
        <v>0</v>
      </c>
      <c r="O5" s="681" t="s">
        <v>1351</v>
      </c>
      <c r="P5" s="681" t="s">
        <v>1354</v>
      </c>
      <c r="Q5" s="682">
        <v>35</v>
      </c>
      <c r="R5" s="682">
        <f>=H5*Q5</f>
        <v>35</v>
      </c>
      <c r="S5" s="676" t="s"/>
    </row>
    <row r="6" spans="1:19" customHeight="false">
      <c r="A6" s="681">
        <v>3</v>
      </c>
      <c r="B6" s="681">
        <v>3</v>
      </c>
      <c r="C6" s="681" t="s"/>
      <c r="D6" s="681" t="s">
        <v>1355</v>
      </c>
      <c r="E6" s="681" t="s">
        <v>1356</v>
      </c>
      <c r="F6" s="681" t="s">
        <v>1357</v>
      </c>
      <c r="G6" s="681" t="s">
        <v>45</v>
      </c>
      <c r="H6" s="681">
        <v>1</v>
      </c>
      <c r="I6" s="681">
        <v>4</v>
      </c>
      <c r="J6" s="682">
        <f>=I6*H6</f>
        <v>4</v>
      </c>
      <c r="K6" s="682">
        <f>=I6*L6</f>
        <v>4</v>
      </c>
      <c r="L6" s="681">
        <v>1</v>
      </c>
      <c r="M6" s="681">
        <v>0</v>
      </c>
      <c r="N6" s="681">
        <v>0</v>
      </c>
      <c r="O6" s="681" t="s">
        <v>1351</v>
      </c>
      <c r="P6" s="681" t="s">
        <v>1358</v>
      </c>
      <c r="Q6" s="682">
        <v>110</v>
      </c>
      <c r="R6" s="682">
        <f>=H6*Q6</f>
        <v>110</v>
      </c>
      <c r="S6" s="676" t="s"/>
    </row>
    <row r="7" spans="1:19" customHeight="false">
      <c r="A7" s="681">
        <v>4</v>
      </c>
      <c r="B7" s="681">
        <v>4</v>
      </c>
      <c r="C7" s="683" t="s">
        <v>1359</v>
      </c>
      <c r="D7" s="315" t="s">
        <v>611</v>
      </c>
      <c r="E7" s="315" t="s"/>
      <c r="F7" s="322" t="s">
        <v>1360</v>
      </c>
      <c r="G7" s="322" t="s">
        <v>36</v>
      </c>
      <c r="H7" s="681">
        <f>=L7+M7+N7</f>
        <v>1</v>
      </c>
      <c r="I7" s="322">
        <v>7.5</v>
      </c>
      <c r="J7" s="322">
        <f>=I7*H7</f>
        <v>7.5</v>
      </c>
      <c r="K7" s="322">
        <f>=I7*L7</f>
        <v>7.5</v>
      </c>
      <c r="L7" s="322">
        <v>1</v>
      </c>
      <c r="M7" s="322" t="s"/>
      <c r="N7" s="322" t="s"/>
      <c r="O7" s="322" t="s">
        <v>1355</v>
      </c>
      <c r="P7" s="322" t="s"/>
      <c r="Q7" s="316">
        <v>3</v>
      </c>
      <c r="R7" s="682">
        <f>=H7*Q7</f>
        <v>3</v>
      </c>
      <c r="S7" s="676" t="s"/>
    </row>
    <row r="8" spans="1:19" customHeight="false">
      <c r="A8" s="681" t="s"/>
      <c r="B8" s="681" t="s"/>
      <c r="C8" s="681" t="s"/>
      <c r="D8" s="681" t="s">
        <v>1361</v>
      </c>
      <c r="E8" s="681" t="s"/>
      <c r="F8" s="681" t="s"/>
      <c r="G8" s="681" t="s">
        <v>36</v>
      </c>
      <c r="H8" s="681">
        <v>1</v>
      </c>
      <c r="I8" s="681" t="s"/>
      <c r="J8" s="682">
        <f>=I8*H8</f>
        <v>0</v>
      </c>
      <c r="K8" s="682">
        <f>=I8*L8</f>
        <v>0</v>
      </c>
      <c r="L8" s="681">
        <v>1</v>
      </c>
      <c r="M8" s="681" t="s"/>
      <c r="N8" s="681" t="s"/>
      <c r="O8" s="681" t="s"/>
      <c r="P8" s="681" t="s">
        <v>1362</v>
      </c>
      <c r="Q8" s="676" t="s"/>
      <c r="R8" s="676" t="s"/>
      <c r="S8" s="676" t="s"/>
    </row>
    <row r="9" spans="1:19" customHeight="false">
      <c r="A9" s="681" t="s"/>
      <c r="B9" s="681" t="s"/>
      <c r="C9" s="681" t="s"/>
      <c r="D9" s="681" t="s">
        <v>1363</v>
      </c>
      <c r="E9" s="321" t="s"/>
      <c r="F9" s="681" t="s">
        <v>1364</v>
      </c>
      <c r="G9" s="681" t="s">
        <v>36</v>
      </c>
      <c r="H9" s="681">
        <v>1</v>
      </c>
      <c r="I9" s="681" t="s"/>
      <c r="J9" s="682">
        <f>=I9*H9</f>
        <v>0</v>
      </c>
      <c r="K9" s="682">
        <f>=I9*L9</f>
        <v>0</v>
      </c>
      <c r="L9" s="681">
        <v>1</v>
      </c>
      <c r="M9" s="681" t="s"/>
      <c r="N9" s="681" t="s"/>
      <c r="O9" s="681" t="s"/>
      <c r="P9" s="681" t="s">
        <v>1362</v>
      </c>
      <c r="Q9" s="676" t="s"/>
      <c r="R9" s="676" t="s"/>
      <c r="S9" s="676" t="s"/>
    </row>
    <row r="10" spans="1:19" customHeight="false">
      <c r="A10" s="678" t="s">
        <v>1365</v>
      </c>
      <c r="B10" s="678" t="s"/>
      <c r="C10" s="678" t="s"/>
      <c r="D10" s="678" t="s"/>
      <c r="E10" s="678" t="s"/>
      <c r="F10" s="678" t="s"/>
      <c r="G10" s="678" t="s"/>
      <c r="H10" s="678" t="s"/>
      <c r="I10" s="678" t="s"/>
      <c r="J10" s="678" t="s"/>
      <c r="K10" s="678" t="s"/>
      <c r="L10" s="678" t="s"/>
      <c r="M10" s="678" t="s"/>
      <c r="N10" s="678" t="s"/>
      <c r="O10" s="678" t="s"/>
      <c r="P10" s="678" t="s"/>
      <c r="Q10" s="679" t="s"/>
      <c r="R10" s="680">
        <f>=SUM(R12:R50)*1.55</f>
        <v>2096.685</v>
      </c>
      <c r="S10" s="679" t="s"/>
    </row>
    <row r="11" spans="1:19" ht="19" customHeight="true">
      <c r="A11" s="684" t="s">
        <v>1366</v>
      </c>
      <c r="B11" s="685" t="s"/>
      <c r="C11" s="685" t="s"/>
      <c r="D11" s="685" t="s"/>
      <c r="E11" s="685" t="s"/>
      <c r="F11" s="685" t="s"/>
      <c r="G11" s="685" t="s"/>
      <c r="H11" s="685" t="s"/>
      <c r="I11" s="685" t="s"/>
      <c r="J11" s="685" t="s"/>
      <c r="K11" s="685" t="s"/>
      <c r="L11" s="685" t="s"/>
      <c r="M11" s="685" t="s"/>
      <c r="N11" s="685" t="s"/>
      <c r="O11" s="685" t="s"/>
      <c r="P11" s="686" t="s"/>
      <c r="Q11" s="676" t="s"/>
      <c r="R11" s="676" t="s"/>
      <c r="S11" s="676" t="s"/>
    </row>
    <row r="12" spans="1:19" customHeight="false">
      <c r="A12" s="322">
        <v>1</v>
      </c>
      <c r="B12" s="322">
        <v>1</v>
      </c>
      <c r="C12" s="683" t="s">
        <v>1367</v>
      </c>
      <c r="D12" s="315" t="s">
        <v>1368</v>
      </c>
      <c r="E12" s="315" t="s"/>
      <c r="F12" s="322" t="s">
        <v>1369</v>
      </c>
      <c r="G12" s="322" t="s">
        <v>36</v>
      </c>
      <c r="H12" s="681">
        <f>=L12+M12+N12</f>
        <v>1</v>
      </c>
      <c r="I12" s="322">
        <v>3.87</v>
      </c>
      <c r="J12" s="322">
        <f>=I12*H12</f>
        <v>3.87</v>
      </c>
      <c r="K12" s="322">
        <f>=I12*L12</f>
        <v>3.87</v>
      </c>
      <c r="L12" s="322">
        <v>1</v>
      </c>
      <c r="M12" s="322" t="s"/>
      <c r="N12" s="322" t="s"/>
      <c r="O12" s="322" t="s">
        <v>1370</v>
      </c>
      <c r="P12" s="322" t="s">
        <v>1371</v>
      </c>
      <c r="Q12" s="316">
        <v>65</v>
      </c>
      <c r="R12" s="682">
        <f>=H12*Q12</f>
        <v>65</v>
      </c>
      <c r="S12" s="676" t="s"/>
    </row>
    <row r="13" spans="1:19" customHeight="false">
      <c r="A13" s="322">
        <v>2</v>
      </c>
      <c r="B13" s="322">
        <v>2</v>
      </c>
      <c r="C13" s="681" t="s">
        <v>1372</v>
      </c>
      <c r="D13" s="681" t="s">
        <v>1373</v>
      </c>
      <c r="E13" s="681" t="s">
        <v>1374</v>
      </c>
      <c r="F13" s="681" t="s">
        <v>1375</v>
      </c>
      <c r="G13" s="681" t="s">
        <v>45</v>
      </c>
      <c r="H13" s="681">
        <f>=L13+M13+N13</f>
        <v>4</v>
      </c>
      <c r="I13" s="681">
        <v>0.75</v>
      </c>
      <c r="J13" s="682">
        <f>=I13*H13</f>
        <v>3</v>
      </c>
      <c r="K13" s="682">
        <f>=I13*L13</f>
        <v>3</v>
      </c>
      <c r="L13" s="681">
        <v>4</v>
      </c>
      <c r="M13" s="321" t="s"/>
      <c r="N13" s="321" t="s"/>
      <c r="O13" s="681" t="s">
        <v>1376</v>
      </c>
      <c r="P13" s="322" t="s">
        <v>1377</v>
      </c>
      <c r="Q13" s="681">
        <v>30</v>
      </c>
      <c r="R13" s="682">
        <f>=H13*Q13</f>
        <v>120</v>
      </c>
      <c r="S13" s="676" t="s"/>
    </row>
    <row r="14" spans="1:19" customHeight="false">
      <c r="A14" s="322">
        <v>3</v>
      </c>
      <c r="B14" s="322">
        <v>3</v>
      </c>
      <c r="C14" s="681" t="s">
        <v>1378</v>
      </c>
      <c r="D14" s="681" t="s">
        <v>601</v>
      </c>
      <c r="E14" s="321" t="s"/>
      <c r="F14" s="681" t="s">
        <v>1379</v>
      </c>
      <c r="G14" s="681" t="s">
        <v>36</v>
      </c>
      <c r="H14" s="681">
        <f>=L14+M14+N14</f>
        <v>4</v>
      </c>
      <c r="I14" s="681">
        <v>2.2</v>
      </c>
      <c r="J14" s="682">
        <f>=I14*H14</f>
        <v>8.8</v>
      </c>
      <c r="K14" s="682">
        <f>=I14*L14</f>
        <v>6.6</v>
      </c>
      <c r="L14" s="681">
        <v>3</v>
      </c>
      <c r="M14" s="681">
        <v>1</v>
      </c>
      <c r="N14" s="321" t="s"/>
      <c r="O14" s="681" t="s">
        <v>1380</v>
      </c>
      <c r="P14" s="681" t="s">
        <v>1381</v>
      </c>
      <c r="Q14" s="681">
        <v>50</v>
      </c>
      <c r="R14" s="682">
        <f>=H14*Q14</f>
        <v>200</v>
      </c>
      <c r="S14" s="676" t="s"/>
    </row>
    <row r="15" spans="1:19" customHeight="false">
      <c r="A15" s="322">
        <v>4</v>
      </c>
      <c r="B15" s="322">
        <v>4</v>
      </c>
      <c r="C15" s="681" t="s">
        <v>1382</v>
      </c>
      <c r="D15" s="681" t="s">
        <v>1383</v>
      </c>
      <c r="E15" s="681" t="s">
        <v>1384</v>
      </c>
      <c r="F15" s="681" t="s">
        <v>1385</v>
      </c>
      <c r="G15" s="681" t="s">
        <v>45</v>
      </c>
      <c r="H15" s="681">
        <f>=L15+M15+N15</f>
        <v>4</v>
      </c>
      <c r="I15" s="681">
        <v>1.1</v>
      </c>
      <c r="J15" s="682">
        <f>=I15*H15</f>
        <v>4.4</v>
      </c>
      <c r="K15" s="682">
        <f>=I15*L15</f>
        <v>4.4</v>
      </c>
      <c r="L15" s="681">
        <v>4</v>
      </c>
      <c r="M15" s="321" t="s"/>
      <c r="N15" s="321" t="s"/>
      <c r="O15" s="681" t="s">
        <v>1386</v>
      </c>
      <c r="P15" s="321" t="s"/>
      <c r="Q15" s="681">
        <v>4</v>
      </c>
      <c r="R15" s="682">
        <f>=H15*Q15</f>
        <v>16</v>
      </c>
      <c r="S15" s="676" t="s"/>
    </row>
    <row r="16" spans="1:19" ht="19" customHeight="true">
      <c r="A16" s="684" t="s">
        <v>1387</v>
      </c>
      <c r="B16" s="685" t="s"/>
      <c r="C16" s="685" t="s"/>
      <c r="D16" s="685" t="s"/>
      <c r="E16" s="685" t="s"/>
      <c r="F16" s="685" t="s"/>
      <c r="G16" s="685" t="s"/>
      <c r="H16" s="681" t="s"/>
      <c r="I16" s="685" t="s"/>
      <c r="J16" s="682">
        <f>=I16*H16</f>
        <v>0</v>
      </c>
      <c r="K16" s="682">
        <f>=I16*L16</f>
        <v>0</v>
      </c>
      <c r="L16" s="685" t="s"/>
      <c r="M16" s="685" t="s"/>
      <c r="N16" s="321" t="s"/>
      <c r="O16" s="685" t="s"/>
      <c r="P16" s="686" t="s"/>
      <c r="Q16" s="676" t="s"/>
      <c r="R16" s="676" t="s"/>
      <c r="S16" s="676" t="s"/>
    </row>
    <row r="17" spans="1:19" customHeight="false">
      <c r="A17" s="681">
        <v>5</v>
      </c>
      <c r="B17" s="681">
        <v>5</v>
      </c>
      <c r="C17" s="681" t="s">
        <v>1388</v>
      </c>
      <c r="D17" s="681" t="s">
        <v>1383</v>
      </c>
      <c r="E17" s="681" t="s">
        <v>1384</v>
      </c>
      <c r="F17" s="681" t="s">
        <v>1389</v>
      </c>
      <c r="G17" s="681" t="s">
        <v>45</v>
      </c>
      <c r="H17" s="681">
        <f>=L17+M17+N17</f>
        <v>1</v>
      </c>
      <c r="I17" s="681">
        <v>1.1</v>
      </c>
      <c r="J17" s="682">
        <f>=I17*H17</f>
        <v>1.1</v>
      </c>
      <c r="K17" s="682">
        <f>=I17*L17</f>
        <v>1.1</v>
      </c>
      <c r="L17" s="681">
        <v>1</v>
      </c>
      <c r="M17" s="321" t="s"/>
      <c r="N17" s="321" t="s"/>
      <c r="O17" s="681" t="s">
        <v>1390</v>
      </c>
      <c r="P17" s="681" t="s">
        <v>1391</v>
      </c>
      <c r="Q17" s="681">
        <v>6</v>
      </c>
      <c r="R17" s="682">
        <f>=H17*Q17</f>
        <v>6</v>
      </c>
      <c r="S17" s="676" t="s"/>
    </row>
    <row r="18" spans="1:19" customHeight="false">
      <c r="A18" s="681">
        <v>6</v>
      </c>
      <c r="B18" s="681">
        <v>6</v>
      </c>
      <c r="C18" s="681" t="s">
        <v>1392</v>
      </c>
      <c r="D18" s="681" t="s">
        <v>1393</v>
      </c>
      <c r="E18" s="681" t="s">
        <v>925</v>
      </c>
      <c r="F18" s="681" t="s">
        <v>1394</v>
      </c>
      <c r="G18" s="681" t="s">
        <v>36</v>
      </c>
      <c r="H18" s="681">
        <f>=L18+M18+N18</f>
        <v>3</v>
      </c>
      <c r="I18" s="681">
        <v>100</v>
      </c>
      <c r="J18" s="682">
        <f>=I18*H18</f>
        <v>300</v>
      </c>
      <c r="K18" s="682">
        <f>=I18*L18</f>
        <v>100</v>
      </c>
      <c r="L18" s="681">
        <v>1</v>
      </c>
      <c r="M18" s="681">
        <v>2</v>
      </c>
      <c r="N18" s="321" t="s"/>
      <c r="O18" s="681" t="s">
        <v>1390</v>
      </c>
      <c r="P18" s="681" t="s">
        <v>1395</v>
      </c>
      <c r="Q18" s="681">
        <v>22</v>
      </c>
      <c r="R18" s="682">
        <f>=H18*Q18</f>
        <v>66</v>
      </c>
      <c r="S18" s="676" t="s"/>
    </row>
    <row r="19" spans="1:19" customHeight="false">
      <c r="A19" s="681">
        <v>7</v>
      </c>
      <c r="B19" s="681">
        <v>7</v>
      </c>
      <c r="C19" s="681" t="s">
        <v>1392</v>
      </c>
      <c r="D19" s="681" t="s">
        <v>1396</v>
      </c>
      <c r="E19" s="681" t="s">
        <v>925</v>
      </c>
      <c r="F19" s="681" t="s">
        <v>1397</v>
      </c>
      <c r="G19" s="681" t="s">
        <v>36</v>
      </c>
      <c r="H19" s="681">
        <f>=L19+M19+N19</f>
        <v>3</v>
      </c>
      <c r="I19" s="681">
        <v>50</v>
      </c>
      <c r="J19" s="682">
        <f>=I19*H19</f>
        <v>150</v>
      </c>
      <c r="K19" s="682">
        <f>=I19*L19</f>
        <v>100</v>
      </c>
      <c r="L19" s="681">
        <v>2</v>
      </c>
      <c r="M19" s="681">
        <v>1</v>
      </c>
      <c r="N19" s="321" t="s"/>
      <c r="O19" s="681" t="s">
        <v>1390</v>
      </c>
      <c r="P19" s="681" t="s">
        <v>1395</v>
      </c>
      <c r="Q19" s="681">
        <v>22</v>
      </c>
      <c r="R19" s="682">
        <f>=H19*Q19</f>
        <v>66</v>
      </c>
      <c r="S19" s="676" t="s"/>
    </row>
    <row r="20" spans="1:19" customHeight="false">
      <c r="A20" s="681">
        <v>8</v>
      </c>
      <c r="B20" s="681">
        <v>8</v>
      </c>
      <c r="C20" s="681" t="s">
        <v>1398</v>
      </c>
      <c r="D20" s="681" t="s">
        <v>1399</v>
      </c>
      <c r="E20" s="321" t="s"/>
      <c r="F20" s="681" t="s">
        <v>1400</v>
      </c>
      <c r="G20" s="681" t="s">
        <v>32</v>
      </c>
      <c r="H20" s="681">
        <f>=L20+M20+N20</f>
        <v>1</v>
      </c>
      <c r="I20" s="681">
        <v>3</v>
      </c>
      <c r="J20" s="682">
        <f>=I20*H20</f>
        <v>3</v>
      </c>
      <c r="K20" s="682">
        <f>=I20*L20</f>
        <v>3</v>
      </c>
      <c r="L20" s="681">
        <v>1</v>
      </c>
      <c r="M20" s="321" t="s"/>
      <c r="N20" s="321" t="s"/>
      <c r="O20" s="681" t="s">
        <v>1380</v>
      </c>
      <c r="P20" s="681" t="s">
        <v>1401</v>
      </c>
      <c r="Q20" s="681">
        <v>6</v>
      </c>
      <c r="R20" s="682">
        <f>=H20*Q20</f>
        <v>6</v>
      </c>
      <c r="S20" s="676" t="s"/>
    </row>
    <row r="21" spans="1:19" customHeight="false">
      <c r="A21" s="681">
        <v>9</v>
      </c>
      <c r="B21" s="681">
        <v>9</v>
      </c>
      <c r="C21" s="681" t="s">
        <v>1402</v>
      </c>
      <c r="D21" s="681" t="s">
        <v>1403</v>
      </c>
      <c r="E21" s="321" t="s"/>
      <c r="F21" s="681" t="s">
        <v>1404</v>
      </c>
      <c r="G21" s="681" t="s">
        <v>32</v>
      </c>
      <c r="H21" s="681">
        <f>=L21+M21+N21</f>
        <v>1</v>
      </c>
      <c r="I21" s="681">
        <v>2.2</v>
      </c>
      <c r="J21" s="682">
        <f>=I21*H21</f>
        <v>2.2</v>
      </c>
      <c r="K21" s="682">
        <f>=I21*L21</f>
        <v>2.2</v>
      </c>
      <c r="L21" s="681">
        <v>1</v>
      </c>
      <c r="M21" s="321" t="s"/>
      <c r="N21" s="321" t="s"/>
      <c r="O21" s="681" t="s">
        <v>1380</v>
      </c>
      <c r="P21" s="321" t="s"/>
      <c r="Q21" s="681">
        <v>8</v>
      </c>
      <c r="R21" s="682">
        <f>=H21*Q21</f>
        <v>8</v>
      </c>
      <c r="S21" s="676" t="s"/>
    </row>
    <row r="22" spans="1:19" ht="19" customHeight="true">
      <c r="A22" s="684" t="s">
        <v>1405</v>
      </c>
      <c r="B22" s="685" t="s"/>
      <c r="C22" s="685" t="s"/>
      <c r="D22" s="685" t="s"/>
      <c r="E22" s="685" t="s"/>
      <c r="F22" s="685" t="s"/>
      <c r="G22" s="685" t="s"/>
      <c r="H22" s="681" t="s"/>
      <c r="I22" s="685" t="s"/>
      <c r="J22" s="682">
        <f>=I22*H22</f>
        <v>0</v>
      </c>
      <c r="K22" s="682">
        <f>=I22*L22</f>
        <v>0</v>
      </c>
      <c r="L22" s="685" t="s"/>
      <c r="M22" s="685" t="s"/>
      <c r="N22" s="321" t="s"/>
      <c r="O22" s="685" t="s"/>
      <c r="P22" s="686" t="s"/>
      <c r="Q22" s="676" t="s"/>
      <c r="R22" s="682">
        <f>=H22*Q22</f>
        <v>0</v>
      </c>
      <c r="S22" s="676" t="s"/>
    </row>
    <row r="23" spans="1:19" customHeight="false">
      <c r="A23" s="681">
        <v>10</v>
      </c>
      <c r="B23" s="681">
        <v>10</v>
      </c>
      <c r="C23" s="681" t="s">
        <v>1406</v>
      </c>
      <c r="D23" s="681" t="s">
        <v>1407</v>
      </c>
      <c r="E23" s="321" t="s"/>
      <c r="F23" s="681" t="s">
        <v>1408</v>
      </c>
      <c r="G23" s="681" t="s">
        <v>36</v>
      </c>
      <c r="H23" s="681">
        <f>=L23+M23+N23</f>
        <v>4</v>
      </c>
      <c r="I23" s="681">
        <v>2.2</v>
      </c>
      <c r="J23" s="682">
        <f>=I23*H23</f>
        <v>8.8</v>
      </c>
      <c r="K23" s="682">
        <f>=I23*L23</f>
        <v>8.8</v>
      </c>
      <c r="L23" s="681">
        <v>4</v>
      </c>
      <c r="M23" s="321" t="s"/>
      <c r="N23" s="321" t="s"/>
      <c r="O23" s="681" t="s">
        <v>1409</v>
      </c>
      <c r="P23" s="681" t="s">
        <v>1410</v>
      </c>
      <c r="Q23" s="681">
        <v>8</v>
      </c>
      <c r="R23" s="682">
        <f>=H23*Q23</f>
        <v>32</v>
      </c>
      <c r="S23" s="676" t="s"/>
    </row>
    <row r="24" spans="1:19" customHeight="false">
      <c r="A24" s="681">
        <v>11</v>
      </c>
      <c r="B24" s="681">
        <v>11</v>
      </c>
      <c r="C24" s="681" t="s">
        <v>1411</v>
      </c>
      <c r="D24" s="681" t="s">
        <v>392</v>
      </c>
      <c r="E24" s="321" t="s"/>
      <c r="F24" s="681" t="s">
        <v>1412</v>
      </c>
      <c r="G24" s="681" t="s">
        <v>36</v>
      </c>
      <c r="H24" s="681">
        <f>=L24+M24+N24</f>
        <v>1</v>
      </c>
      <c r="I24" s="681">
        <v>3</v>
      </c>
      <c r="J24" s="682">
        <f>=I24*H24</f>
        <v>3</v>
      </c>
      <c r="K24" s="682">
        <f>=I24*L24</f>
        <v>3</v>
      </c>
      <c r="L24" s="681">
        <v>1</v>
      </c>
      <c r="M24" s="321" t="s"/>
      <c r="N24" s="321" t="s"/>
      <c r="O24" s="681" t="s">
        <v>1409</v>
      </c>
      <c r="P24" s="681" t="s">
        <v>1413</v>
      </c>
      <c r="Q24" s="681">
        <v>65</v>
      </c>
      <c r="R24" s="682">
        <f>=H24*Q24</f>
        <v>65</v>
      </c>
      <c r="S24" s="676" t="s"/>
    </row>
    <row r="25" spans="1:19" customHeight="false">
      <c r="A25" s="681">
        <v>12</v>
      </c>
      <c r="B25" s="681">
        <v>12</v>
      </c>
      <c r="C25" s="681" t="s">
        <v>1414</v>
      </c>
      <c r="D25" s="681" t="s">
        <v>1415</v>
      </c>
      <c r="E25" s="321" t="s"/>
      <c r="F25" s="681" t="s">
        <v>1416</v>
      </c>
      <c r="G25" s="681" t="s">
        <v>36</v>
      </c>
      <c r="H25" s="681">
        <f>=L25+M25+N25</f>
        <v>1</v>
      </c>
      <c r="I25" s="681">
        <v>1.1</v>
      </c>
      <c r="J25" s="682">
        <f>=I25*H25</f>
        <v>1.1</v>
      </c>
      <c r="K25" s="682">
        <f>=I25*L25</f>
        <v>1.1</v>
      </c>
      <c r="L25" s="681">
        <v>1</v>
      </c>
      <c r="M25" s="321" t="s"/>
      <c r="N25" s="321" t="s"/>
      <c r="O25" s="681" t="s">
        <v>1409</v>
      </c>
      <c r="P25" s="321" t="s"/>
      <c r="Q25" s="681">
        <v>6</v>
      </c>
      <c r="R25" s="682">
        <f>=H25*Q25</f>
        <v>6</v>
      </c>
      <c r="S25" s="676" t="s"/>
    </row>
    <row r="26" spans="1:19" customHeight="false">
      <c r="A26" s="681">
        <v>13</v>
      </c>
      <c r="B26" s="681">
        <v>13</v>
      </c>
      <c r="C26" s="681" t="s">
        <v>1417</v>
      </c>
      <c r="D26" s="681" t="s">
        <v>1403</v>
      </c>
      <c r="E26" s="321" t="s"/>
      <c r="F26" s="681" t="s">
        <v>1418</v>
      </c>
      <c r="G26" s="681" t="s">
        <v>36</v>
      </c>
      <c r="H26" s="681">
        <f>=L26+M26+N26</f>
        <v>1</v>
      </c>
      <c r="I26" s="681">
        <v>1.1</v>
      </c>
      <c r="J26" s="682">
        <f>=I26*H26</f>
        <v>1.1</v>
      </c>
      <c r="K26" s="682">
        <f>=I26*L26</f>
        <v>1.1</v>
      </c>
      <c r="L26" s="681">
        <v>1</v>
      </c>
      <c r="M26" s="321" t="s"/>
      <c r="N26" s="321" t="s"/>
      <c r="O26" s="681" t="s">
        <v>1409</v>
      </c>
      <c r="P26" s="321" t="s"/>
      <c r="Q26" s="681">
        <v>8</v>
      </c>
      <c r="R26" s="682">
        <f>=H26*Q26</f>
        <v>8</v>
      </c>
      <c r="S26" s="676" t="s"/>
    </row>
    <row r="27" spans="1:19" ht="18" customHeight="true">
      <c r="A27" s="684" t="s">
        <v>394</v>
      </c>
      <c r="B27" s="685" t="s"/>
      <c r="C27" s="685" t="s"/>
      <c r="D27" s="685" t="s"/>
      <c r="E27" s="685" t="s"/>
      <c r="F27" s="685" t="s"/>
      <c r="G27" s="685" t="s"/>
      <c r="H27" s="681" t="s"/>
      <c r="I27" s="685" t="s"/>
      <c r="J27" s="685" t="s"/>
      <c r="K27" s="685" t="s"/>
      <c r="L27" s="685" t="s"/>
      <c r="M27" s="685" t="s"/>
      <c r="N27" s="685" t="s"/>
      <c r="O27" s="685" t="s"/>
      <c r="P27" s="686" t="s"/>
      <c r="Q27" s="676" t="s"/>
      <c r="R27" s="682">
        <f>=H27*Q27</f>
        <v>0</v>
      </c>
      <c r="S27" s="676" t="s"/>
    </row>
    <row r="28" spans="1:19" ht="19" customHeight="true">
      <c r="A28" s="322">
        <v>14</v>
      </c>
      <c r="B28" s="315">
        <v>8</v>
      </c>
      <c r="C28" s="683" t="s">
        <v>1419</v>
      </c>
      <c r="D28" s="315" t="s">
        <v>1420</v>
      </c>
      <c r="E28" s="315" t="s">
        <v>1421</v>
      </c>
      <c r="F28" s="322" t="s">
        <v>1422</v>
      </c>
      <c r="G28" s="322" t="s">
        <v>36</v>
      </c>
      <c r="H28" s="681">
        <f>=L28+M28+N28</f>
        <v>2</v>
      </c>
      <c r="I28" s="322">
        <v>1.1</v>
      </c>
      <c r="J28" s="322">
        <f>=I28*H28</f>
        <v>2.2</v>
      </c>
      <c r="K28" s="322">
        <f>=I28*L28</f>
        <v>2.2</v>
      </c>
      <c r="L28" s="322">
        <v>2</v>
      </c>
      <c r="M28" s="322" t="s"/>
      <c r="N28" s="322" t="s"/>
      <c r="O28" s="322" t="s">
        <v>1423</v>
      </c>
      <c r="P28" s="322" t="s"/>
      <c r="Q28" s="316">
        <v>9</v>
      </c>
      <c r="R28" s="682">
        <f>=H28*Q28</f>
        <v>18</v>
      </c>
      <c r="S28" s="676" t="s"/>
    </row>
    <row r="29" spans="1:19" ht="19" customHeight="true">
      <c r="A29" s="322">
        <f>=A28+1</f>
        <v>15</v>
      </c>
      <c r="B29" s="315">
        <v>9</v>
      </c>
      <c r="C29" s="683" t="s">
        <v>1424</v>
      </c>
      <c r="D29" s="315" t="s">
        <v>1425</v>
      </c>
      <c r="E29" s="315" t="s">
        <v>1426</v>
      </c>
      <c r="F29" s="322" t="s">
        <v>1427</v>
      </c>
      <c r="G29" s="322" t="s">
        <v>36</v>
      </c>
      <c r="H29" s="681">
        <f>=L29+M29+N29</f>
        <v>2</v>
      </c>
      <c r="I29" s="322">
        <v>0.55</v>
      </c>
      <c r="J29" s="322">
        <f>=I29*H29</f>
        <v>1.1</v>
      </c>
      <c r="K29" s="322">
        <f>=I29*L29</f>
        <v>1.1</v>
      </c>
      <c r="L29" s="322">
        <v>2</v>
      </c>
      <c r="M29" s="322" t="s"/>
      <c r="N29" s="322" t="s"/>
      <c r="O29" s="322" t="s">
        <v>394</v>
      </c>
      <c r="P29" s="322" t="s">
        <v>1428</v>
      </c>
      <c r="Q29" s="316">
        <v>25</v>
      </c>
      <c r="R29" s="682">
        <f>=H29*Q29</f>
        <v>50</v>
      </c>
      <c r="S29" s="676" t="s"/>
    </row>
    <row r="30" spans="1:19" ht="16" customHeight="true">
      <c r="A30" s="322">
        <f>=A29+1</f>
        <v>16</v>
      </c>
      <c r="B30" s="315">
        <v>10</v>
      </c>
      <c r="C30" s="683" t="s">
        <v>1429</v>
      </c>
      <c r="D30" s="315" t="s">
        <v>1430</v>
      </c>
      <c r="E30" s="315" t="s"/>
      <c r="F30" s="322" t="s">
        <v>1431</v>
      </c>
      <c r="G30" s="322" t="s">
        <v>32</v>
      </c>
      <c r="H30" s="681">
        <f>=L30+M30+N30</f>
        <v>3</v>
      </c>
      <c r="I30" s="322">
        <v>15</v>
      </c>
      <c r="J30" s="322">
        <f>=I30*H30</f>
        <v>45</v>
      </c>
      <c r="K30" s="322">
        <f>=I30*L30</f>
        <v>30</v>
      </c>
      <c r="L30" s="322">
        <v>2</v>
      </c>
      <c r="M30" s="322">
        <v>1</v>
      </c>
      <c r="N30" s="322" t="s"/>
      <c r="O30" s="322" t="s"/>
      <c r="P30" s="322" t="s">
        <v>1432</v>
      </c>
      <c r="Q30" s="316">
        <v>5</v>
      </c>
      <c r="R30" s="682">
        <f>=H30*Q30</f>
        <v>15</v>
      </c>
      <c r="S30" s="676" t="s"/>
    </row>
    <row r="31" spans="1:19" ht="16" customHeight="true">
      <c r="A31" s="322">
        <f>=A30+1</f>
        <v>17</v>
      </c>
      <c r="B31" s="315">
        <v>11</v>
      </c>
      <c r="C31" s="683" t="s">
        <v>1433</v>
      </c>
      <c r="D31" s="315" t="s">
        <v>1434</v>
      </c>
      <c r="E31" s="315" t="s"/>
      <c r="F31" s="322" t="s">
        <v>1435</v>
      </c>
      <c r="G31" s="322" t="s">
        <v>36</v>
      </c>
      <c r="H31" s="681">
        <f>=L31+M31+N31</f>
        <v>1</v>
      </c>
      <c r="I31" s="322">
        <v>1.1</v>
      </c>
      <c r="J31" s="322">
        <f>=I31*H31</f>
        <v>1.1</v>
      </c>
      <c r="K31" s="322">
        <f>=I31*L31</f>
        <v>1.1</v>
      </c>
      <c r="L31" s="322">
        <v>1</v>
      </c>
      <c r="M31" s="322" t="s"/>
      <c r="N31" s="322" t="s"/>
      <c r="O31" s="322" t="s"/>
      <c r="P31" s="322" t="s"/>
      <c r="Q31" s="316">
        <v>6</v>
      </c>
      <c r="R31" s="682">
        <f>=H31*Q31</f>
        <v>6</v>
      </c>
      <c r="S31" s="676" t="s"/>
    </row>
    <row r="32" spans="1:19" ht="16" customHeight="true">
      <c r="A32" s="322">
        <f>=A31+1</f>
        <v>18</v>
      </c>
      <c r="B32" s="315">
        <v>12</v>
      </c>
      <c r="C32" s="683" t="s">
        <v>1436</v>
      </c>
      <c r="D32" s="315" t="s">
        <v>1437</v>
      </c>
      <c r="E32" s="315" t="s"/>
      <c r="F32" s="322" t="s">
        <v>1438</v>
      </c>
      <c r="G32" s="322" t="s">
        <v>36</v>
      </c>
      <c r="H32" s="681">
        <f>=L32+M32+N32</f>
        <v>1</v>
      </c>
      <c r="I32" s="322">
        <v>1</v>
      </c>
      <c r="J32" s="322">
        <f>=I32*H32</f>
        <v>1</v>
      </c>
      <c r="K32" s="322">
        <f>=I32*L32</f>
        <v>1</v>
      </c>
      <c r="L32" s="322">
        <v>1</v>
      </c>
      <c r="M32" s="322" t="s"/>
      <c r="N32" s="322" t="s"/>
      <c r="O32" s="322" t="s">
        <v>394</v>
      </c>
      <c r="P32" s="322" t="s">
        <v>1439</v>
      </c>
      <c r="Q32" s="316">
        <v>2</v>
      </c>
      <c r="R32" s="682">
        <f>=H32*Q32</f>
        <v>2</v>
      </c>
      <c r="S32" s="676" t="s"/>
    </row>
    <row r="33" spans="1:19" ht="16" customHeight="true">
      <c r="A33" s="322">
        <f>=A32+1</f>
        <v>19</v>
      </c>
      <c r="B33" s="315">
        <v>13</v>
      </c>
      <c r="C33" s="683" t="s">
        <v>1440</v>
      </c>
      <c r="D33" s="315" t="s">
        <v>1441</v>
      </c>
      <c r="E33" s="315" t="s">
        <v>1442</v>
      </c>
      <c r="F33" s="322" t="s">
        <v>1443</v>
      </c>
      <c r="G33" s="322" t="s">
        <v>32</v>
      </c>
      <c r="H33" s="681">
        <f>=L33+M33+N33</f>
        <v>3</v>
      </c>
      <c r="I33" s="322">
        <v>8.5</v>
      </c>
      <c r="J33" s="322">
        <f>=I33*H33</f>
        <v>25.5</v>
      </c>
      <c r="K33" s="322">
        <f>=I33*L33</f>
        <v>17</v>
      </c>
      <c r="L33" s="322">
        <v>2</v>
      </c>
      <c r="M33" s="322" t="s"/>
      <c r="N33" s="322">
        <v>1</v>
      </c>
      <c r="O33" s="322" t="s">
        <v>394</v>
      </c>
      <c r="P33" s="322" t="s">
        <v>1444</v>
      </c>
      <c r="Q33" s="316">
        <v>3</v>
      </c>
      <c r="R33" s="682">
        <f>=H33*Q33</f>
        <v>9</v>
      </c>
      <c r="S33" s="676" t="s"/>
    </row>
    <row r="34" spans="1:19" ht="16" customHeight="true">
      <c r="A34" s="322">
        <f>=A33+1</f>
        <v>20</v>
      </c>
      <c r="B34" s="315">
        <v>14</v>
      </c>
      <c r="C34" s="683" t="s">
        <v>1445</v>
      </c>
      <c r="D34" s="315" t="s">
        <v>1446</v>
      </c>
      <c r="E34" s="315" t="s">
        <v>1447</v>
      </c>
      <c r="F34" s="322" t="s">
        <v>1448</v>
      </c>
      <c r="G34" s="322" t="s">
        <v>36</v>
      </c>
      <c r="H34" s="681">
        <f>=L34+M34+N34</f>
        <v>2</v>
      </c>
      <c r="I34" s="322">
        <v>1.1</v>
      </c>
      <c r="J34" s="322">
        <f>=I34*H34</f>
        <v>2.2</v>
      </c>
      <c r="K34" s="322">
        <f>=I34*L34</f>
        <v>2.2</v>
      </c>
      <c r="L34" s="322">
        <v>2</v>
      </c>
      <c r="M34" s="322" t="s"/>
      <c r="N34" s="322" t="s"/>
      <c r="O34" s="322" t="s">
        <v>1449</v>
      </c>
      <c r="P34" s="322" t="s">
        <v>1377</v>
      </c>
      <c r="Q34" s="316">
        <v>12</v>
      </c>
      <c r="R34" s="682">
        <f>=H34*Q34</f>
        <v>24</v>
      </c>
      <c r="S34" s="676" t="s"/>
    </row>
    <row r="35" spans="1:19" ht="16" customHeight="true">
      <c r="A35" s="677" t="s">
        <v>1450</v>
      </c>
      <c r="B35" s="677" t="s"/>
      <c r="C35" s="677" t="s"/>
      <c r="D35" s="677" t="s"/>
      <c r="E35" s="677" t="s"/>
      <c r="F35" s="677" t="s"/>
      <c r="G35" s="677" t="s"/>
      <c r="H35" s="681" t="s"/>
      <c r="I35" s="677" t="s"/>
      <c r="J35" s="677" t="s"/>
      <c r="K35" s="677" t="s"/>
      <c r="L35" s="677" t="s"/>
      <c r="M35" s="677" t="s"/>
      <c r="N35" s="677" t="s"/>
      <c r="O35" s="677" t="s"/>
      <c r="P35" s="677" t="s"/>
      <c r="Q35" s="676" t="s"/>
      <c r="R35" s="682">
        <f>=H35*Q35</f>
        <v>0</v>
      </c>
      <c r="S35" s="676" t="s"/>
    </row>
    <row r="36" spans="1:19" ht="16" customHeight="true">
      <c r="A36" s="322">
        <f>=A34+1</f>
        <v>21</v>
      </c>
      <c r="B36" s="315">
        <v>15</v>
      </c>
      <c r="C36" s="683" t="s">
        <v>1451</v>
      </c>
      <c r="D36" s="315" t="s">
        <v>1420</v>
      </c>
      <c r="E36" s="315" t="s">
        <v>1421</v>
      </c>
      <c r="F36" s="322" t="s">
        <v>1452</v>
      </c>
      <c r="G36" s="322" t="s">
        <v>36</v>
      </c>
      <c r="H36" s="681">
        <f>=L36+M36+N36</f>
        <v>5</v>
      </c>
      <c r="I36" s="322">
        <v>1.1</v>
      </c>
      <c r="J36" s="322">
        <f>=I36*H36</f>
        <v>5.5</v>
      </c>
      <c r="K36" s="322">
        <f>=I36*L36</f>
        <v>5.5</v>
      </c>
      <c r="L36" s="322">
        <v>5</v>
      </c>
      <c r="M36" s="322" t="s"/>
      <c r="N36" s="322" t="s"/>
      <c r="O36" s="322" t="s"/>
      <c r="P36" s="322" t="s"/>
      <c r="Q36" s="316">
        <v>6</v>
      </c>
      <c r="R36" s="682">
        <f>=H36*Q36</f>
        <v>30</v>
      </c>
      <c r="S36" s="676" t="s"/>
    </row>
    <row r="37" spans="1:19" ht="19" customHeight="true">
      <c r="A37" s="322">
        <f>=A36+1</f>
        <v>22</v>
      </c>
      <c r="B37" s="322">
        <v>16</v>
      </c>
      <c r="C37" s="683" t="s">
        <v>1453</v>
      </c>
      <c r="D37" s="322" t="s">
        <v>1454</v>
      </c>
      <c r="E37" s="322" t="s">
        <v>1455</v>
      </c>
      <c r="F37" s="322" t="s">
        <v>1456</v>
      </c>
      <c r="G37" s="322" t="s">
        <v>36</v>
      </c>
      <c r="H37" s="681">
        <f>=L37+M37+N37</f>
        <v>4</v>
      </c>
      <c r="I37" s="322">
        <v>1.5</v>
      </c>
      <c r="J37" s="322">
        <f>=I37*H37</f>
        <v>6</v>
      </c>
      <c r="K37" s="322">
        <f>=I37*L37</f>
        <v>4.5</v>
      </c>
      <c r="L37" s="322">
        <v>3</v>
      </c>
      <c r="M37" s="322">
        <v>1</v>
      </c>
      <c r="N37" s="322" t="s"/>
      <c r="O37" s="322" t="s"/>
      <c r="P37" s="322" t="s">
        <v>1457</v>
      </c>
      <c r="Q37" s="316">
        <v>100</v>
      </c>
      <c r="R37" s="682">
        <f>=H37*Q37</f>
        <v>400</v>
      </c>
      <c r="S37" s="676" t="s"/>
    </row>
    <row r="38" spans="1:19" ht="19" customHeight="true">
      <c r="A38" s="322">
        <f>=A37+1</f>
        <v>23</v>
      </c>
      <c r="B38" s="322">
        <v>17</v>
      </c>
      <c r="C38" s="683" t="s">
        <v>1458</v>
      </c>
      <c r="D38" s="315" t="s">
        <v>1420</v>
      </c>
      <c r="E38" s="315" t="s">
        <v>1421</v>
      </c>
      <c r="F38" s="322" t="s">
        <v>1459</v>
      </c>
      <c r="G38" s="322" t="s">
        <v>36</v>
      </c>
      <c r="H38" s="681">
        <f>=L38+M38+N38</f>
        <v>5</v>
      </c>
      <c r="I38" s="322">
        <v>1.1</v>
      </c>
      <c r="J38" s="322">
        <f>=I38*H38</f>
        <v>5.5</v>
      </c>
      <c r="K38" s="322">
        <f>=I38*L38</f>
        <v>5.5</v>
      </c>
      <c r="L38" s="322">
        <v>5</v>
      </c>
      <c r="M38" s="322" t="s"/>
      <c r="N38" s="322" t="s"/>
      <c r="O38" s="322" t="s"/>
      <c r="P38" s="322" t="s"/>
      <c r="Q38" s="316">
        <v>12</v>
      </c>
      <c r="R38" s="682">
        <f>=H38*Q38</f>
        <v>60</v>
      </c>
      <c r="S38" s="676" t="s"/>
    </row>
    <row r="39" spans="1:19" customHeight="false">
      <c r="A39" s="322">
        <f>=A38+1</f>
        <v>24</v>
      </c>
      <c r="B39" s="322">
        <v>18</v>
      </c>
      <c r="C39" s="683" t="s">
        <v>1460</v>
      </c>
      <c r="D39" s="315" t="s">
        <v>1383</v>
      </c>
      <c r="E39" s="315" t="s">
        <v>1461</v>
      </c>
      <c r="F39" s="322" t="s">
        <v>1462</v>
      </c>
      <c r="G39" s="322" t="s">
        <v>36</v>
      </c>
      <c r="H39" s="681">
        <f>=L39+M39+N39</f>
        <v>1</v>
      </c>
      <c r="I39" s="322">
        <v>1.1</v>
      </c>
      <c r="J39" s="322">
        <f>=I39*H39</f>
        <v>1.1</v>
      </c>
      <c r="K39" s="322">
        <f>=I39*L39</f>
        <v>1.1</v>
      </c>
      <c r="L39" s="322">
        <v>1</v>
      </c>
      <c r="M39" s="322" t="s"/>
      <c r="N39" s="322" t="s"/>
      <c r="O39" s="322" t="s">
        <v>1463</v>
      </c>
      <c r="P39" s="322" t="s"/>
      <c r="Q39" s="316">
        <v>5</v>
      </c>
      <c r="R39" s="682">
        <f>=H39*Q39</f>
        <v>5</v>
      </c>
      <c r="S39" s="676" t="s"/>
    </row>
    <row r="40" spans="1:19" ht="20" customHeight="true">
      <c r="A40" s="677" t="s">
        <v>1464</v>
      </c>
      <c r="B40" s="677" t="s"/>
      <c r="C40" s="677" t="s"/>
      <c r="D40" s="677" t="s"/>
      <c r="E40" s="677" t="s"/>
      <c r="F40" s="677" t="s"/>
      <c r="G40" s="677" t="s"/>
      <c r="H40" s="681" t="s"/>
      <c r="I40" s="677" t="s"/>
      <c r="J40" s="677" t="s"/>
      <c r="K40" s="677" t="s"/>
      <c r="L40" s="677" t="s"/>
      <c r="M40" s="677" t="s"/>
      <c r="N40" s="677" t="s"/>
      <c r="O40" s="677" t="s"/>
      <c r="P40" s="677" t="s"/>
      <c r="Q40" s="676" t="s"/>
      <c r="R40" s="682">
        <f>=H40*Q40</f>
        <v>0</v>
      </c>
      <c r="S40" s="676" t="s"/>
    </row>
    <row r="41" spans="1:19" customHeight="false">
      <c r="A41" s="322">
        <v>25</v>
      </c>
      <c r="B41" s="322">
        <v>25</v>
      </c>
      <c r="C41" s="683" t="s">
        <v>1465</v>
      </c>
      <c r="D41" s="315" t="s">
        <v>1399</v>
      </c>
      <c r="E41" s="315" t="s"/>
      <c r="F41" s="322" t="s">
        <v>1466</v>
      </c>
      <c r="G41" s="322" t="s">
        <v>36</v>
      </c>
      <c r="H41" s="681">
        <f>=L41+M41+N41</f>
        <v>1</v>
      </c>
      <c r="I41" s="322">
        <v>3</v>
      </c>
      <c r="J41" s="322">
        <f>=I41*H41</f>
        <v>3</v>
      </c>
      <c r="K41" s="322">
        <f>=I41*L41</f>
        <v>3</v>
      </c>
      <c r="L41" s="322">
        <v>1</v>
      </c>
      <c r="M41" s="322" t="s"/>
      <c r="N41" s="322" t="s"/>
      <c r="O41" s="322" t="s">
        <v>1467</v>
      </c>
      <c r="P41" s="322" t="s">
        <v>601</v>
      </c>
      <c r="Q41" s="316">
        <v>6</v>
      </c>
      <c r="R41" s="682">
        <f>=H41*Q41</f>
        <v>6</v>
      </c>
      <c r="S41" s="676" t="s"/>
    </row>
    <row r="42" spans="1:19" ht="19" customHeight="true">
      <c r="A42" s="322">
        <v>26</v>
      </c>
      <c r="B42" s="322">
        <v>26</v>
      </c>
      <c r="C42" s="683" t="s">
        <v>1468</v>
      </c>
      <c r="D42" s="315" t="s">
        <v>1469</v>
      </c>
      <c r="E42" s="315" t="s"/>
      <c r="F42" s="322" t="s">
        <v>1470</v>
      </c>
      <c r="G42" s="322" t="s">
        <v>36</v>
      </c>
      <c r="H42" s="681">
        <f>=L42+M42+N42</f>
        <v>1</v>
      </c>
      <c r="I42" s="322">
        <v>2.2</v>
      </c>
      <c r="J42" s="322">
        <f>=I42*H42</f>
        <v>2.2</v>
      </c>
      <c r="K42" s="322">
        <f>=I42*L42</f>
        <v>2.2</v>
      </c>
      <c r="L42" s="322">
        <v>1</v>
      </c>
      <c r="M42" s="322" t="s"/>
      <c r="N42" s="322" t="s"/>
      <c r="O42" s="322" t="s">
        <v>1467</v>
      </c>
      <c r="P42" s="322" t="s">
        <v>601</v>
      </c>
      <c r="Q42" s="316">
        <v>0.1</v>
      </c>
      <c r="R42" s="682">
        <f>=H42*Q42</f>
        <v>0.1</v>
      </c>
      <c r="S42" s="676" t="s"/>
    </row>
    <row r="43" spans="1:19" customHeight="false">
      <c r="A43" s="322" t="s"/>
      <c r="B43" s="322" t="s"/>
      <c r="C43" s="683" t="s">
        <v>1471</v>
      </c>
      <c r="D43" s="322" t="s">
        <v>1472</v>
      </c>
      <c r="E43" s="322" t="s"/>
      <c r="F43" s="322" t="s">
        <v>1473</v>
      </c>
      <c r="G43" s="322" t="s">
        <v>36</v>
      </c>
      <c r="H43" s="681">
        <f>=L43+M43+N43</f>
        <v>1</v>
      </c>
      <c r="I43" s="322" t="s"/>
      <c r="J43" s="322" t="s"/>
      <c r="K43" s="322" t="s"/>
      <c r="L43" s="322">
        <v>1</v>
      </c>
      <c r="M43" s="322" t="s"/>
      <c r="N43" s="322" t="s"/>
      <c r="O43" s="322" t="s">
        <v>1474</v>
      </c>
      <c r="P43" s="322" t="s">
        <v>1475</v>
      </c>
      <c r="Q43" s="316">
        <v>4</v>
      </c>
      <c r="R43" s="682">
        <f>=H43*Q43</f>
        <v>4</v>
      </c>
      <c r="S43" s="676" t="s"/>
    </row>
    <row r="44" spans="1:19" ht="19" customHeight="true">
      <c r="A44" s="322">
        <v>27</v>
      </c>
      <c r="B44" s="322">
        <v>27</v>
      </c>
      <c r="C44" s="683" t="s">
        <v>1476</v>
      </c>
      <c r="D44" s="315" t="s">
        <v>979</v>
      </c>
      <c r="E44" s="315" t="s"/>
      <c r="F44" s="322" t="s">
        <v>1477</v>
      </c>
      <c r="G44" s="322" t="s">
        <v>36</v>
      </c>
      <c r="H44" s="681">
        <f>=L44+M44+N44</f>
        <v>2</v>
      </c>
      <c r="I44" s="322">
        <v>2.2</v>
      </c>
      <c r="J44" s="322">
        <f>=I44*H44</f>
        <v>4.4</v>
      </c>
      <c r="K44" s="322">
        <f>=I44*L44</f>
        <v>4.4</v>
      </c>
      <c r="L44" s="322">
        <v>2</v>
      </c>
      <c r="M44" s="322" t="s"/>
      <c r="N44" s="322" t="s"/>
      <c r="O44" s="322" t="s"/>
      <c r="P44" s="322" t="s">
        <v>396</v>
      </c>
      <c r="Q44" s="316">
        <v>8</v>
      </c>
      <c r="R44" s="682">
        <f>=H44*Q44</f>
        <v>16</v>
      </c>
      <c r="S44" s="676" t="s"/>
    </row>
    <row r="45" spans="1:19" customHeight="false">
      <c r="A45" s="322" t="s"/>
      <c r="B45" s="322" t="s"/>
      <c r="C45" s="683" t="s">
        <v>1478</v>
      </c>
      <c r="D45" s="322" t="s">
        <v>1479</v>
      </c>
      <c r="E45" s="322" t="s"/>
      <c r="F45" s="322" t="s">
        <v>1480</v>
      </c>
      <c r="G45" s="322" t="s">
        <v>36</v>
      </c>
      <c r="H45" s="681">
        <f>=L45+M45+N45</f>
        <v>3</v>
      </c>
      <c r="I45" s="322" t="s"/>
      <c r="J45" s="322" t="s"/>
      <c r="K45" s="322" t="s"/>
      <c r="L45" s="322">
        <v>3</v>
      </c>
      <c r="M45" s="322" t="s"/>
      <c r="N45" s="322" t="s"/>
      <c r="O45" s="322" t="s"/>
      <c r="P45" s="322" t="s">
        <v>1481</v>
      </c>
      <c r="Q45" s="316">
        <v>0.2</v>
      </c>
      <c r="R45" s="682">
        <f>=H45*Q45</f>
        <v>0.6</v>
      </c>
      <c r="S45" s="676" t="s"/>
    </row>
    <row r="46" spans="1:19" ht="19" customHeight="true">
      <c r="A46" s="322">
        <v>28</v>
      </c>
      <c r="B46" s="322">
        <v>28</v>
      </c>
      <c r="C46" s="683" t="s">
        <v>1482</v>
      </c>
      <c r="D46" s="322" t="s">
        <v>1483</v>
      </c>
      <c r="E46" s="322" t="s">
        <v>1484</v>
      </c>
      <c r="F46" s="322" t="s">
        <v>1485</v>
      </c>
      <c r="G46" s="322" t="s">
        <v>36</v>
      </c>
      <c r="H46" s="681">
        <f>=L46+M46+N46</f>
        <v>4</v>
      </c>
      <c r="I46" s="322">
        <v>15</v>
      </c>
      <c r="J46" s="322">
        <f>=I46*H46</f>
        <v>60</v>
      </c>
      <c r="K46" s="322">
        <f>=I46*L46</f>
        <v>30</v>
      </c>
      <c r="L46" s="322">
        <v>2</v>
      </c>
      <c r="M46" s="322">
        <v>2</v>
      </c>
      <c r="N46" s="322" t="s"/>
      <c r="O46" s="322" t="s"/>
      <c r="P46" s="322" t="s">
        <v>1486</v>
      </c>
      <c r="Q46" s="316">
        <v>5</v>
      </c>
      <c r="R46" s="682">
        <f>=H46*Q46</f>
        <v>20</v>
      </c>
      <c r="S46" s="676" t="s"/>
    </row>
    <row r="47" spans="1:19" customHeight="false">
      <c r="A47" s="322" t="s"/>
      <c r="B47" s="322" t="s"/>
      <c r="C47" s="683" t="s">
        <v>1487</v>
      </c>
      <c r="D47" s="322" t="s">
        <v>1488</v>
      </c>
      <c r="E47" s="315" t="s"/>
      <c r="F47" s="322" t="s">
        <v>1489</v>
      </c>
      <c r="G47" s="322" t="s">
        <v>36</v>
      </c>
      <c r="H47" s="681">
        <f>=L47+M47+N47</f>
        <v>2</v>
      </c>
      <c r="I47" s="322" t="s"/>
      <c r="J47" s="322" t="s"/>
      <c r="K47" s="322" t="s"/>
      <c r="L47" s="322">
        <v>2</v>
      </c>
      <c r="M47" s="322" t="s"/>
      <c r="N47" s="322" t="s"/>
      <c r="O47" s="322" t="s"/>
      <c r="P47" s="322" t="s">
        <v>1490</v>
      </c>
      <c r="Q47" s="316">
        <v>2</v>
      </c>
      <c r="R47" s="682">
        <f>=H47*Q47</f>
        <v>4</v>
      </c>
      <c r="S47" s="676" t="s"/>
    </row>
    <row r="48" spans="1:19" ht="16" customHeight="true">
      <c r="A48" s="322">
        <v>29</v>
      </c>
      <c r="B48" s="322">
        <v>29</v>
      </c>
      <c r="C48" s="683" t="s">
        <v>1491</v>
      </c>
      <c r="D48" s="315" t="s">
        <v>925</v>
      </c>
      <c r="E48" s="315" t="s"/>
      <c r="F48" s="322" t="s">
        <v>1492</v>
      </c>
      <c r="G48" s="322" t="s">
        <v>32</v>
      </c>
      <c r="H48" s="681">
        <f>=L48+M48+N48</f>
        <v>3</v>
      </c>
      <c r="I48" s="322">
        <v>11</v>
      </c>
      <c r="J48" s="322">
        <f>=I48*H48</f>
        <v>33</v>
      </c>
      <c r="K48" s="322">
        <f>=I48*L48</f>
        <v>33</v>
      </c>
      <c r="L48" s="322">
        <v>3</v>
      </c>
      <c r="M48" s="322">
        <v>0</v>
      </c>
      <c r="N48" s="322" t="s"/>
      <c r="O48" s="322" t="s">
        <v>425</v>
      </c>
      <c r="P48" s="322" t="s">
        <v>1493</v>
      </c>
      <c r="Q48" s="316">
        <v>3</v>
      </c>
      <c r="R48" s="682">
        <f>=H48*Q48</f>
        <v>9</v>
      </c>
      <c r="S48" s="676" t="s"/>
    </row>
    <row r="49" spans="1:19" customHeight="false">
      <c r="A49" s="322">
        <v>30</v>
      </c>
      <c r="B49" s="322">
        <v>30</v>
      </c>
      <c r="C49" s="683" t="s">
        <v>1494</v>
      </c>
      <c r="D49" s="315" t="s">
        <v>611</v>
      </c>
      <c r="E49" s="315" t="s"/>
      <c r="F49" s="322" t="s">
        <v>1495</v>
      </c>
      <c r="G49" s="322" t="s">
        <v>36</v>
      </c>
      <c r="H49" s="681">
        <f>=L49+M49+N49</f>
        <v>2</v>
      </c>
      <c r="I49" s="322">
        <v>7.5</v>
      </c>
      <c r="J49" s="322">
        <f>=I49*H49</f>
        <v>15</v>
      </c>
      <c r="K49" s="322">
        <f>=I49*L49</f>
        <v>15</v>
      </c>
      <c r="L49" s="322">
        <v>2</v>
      </c>
      <c r="M49" s="322" t="s"/>
      <c r="N49" s="322" t="s"/>
      <c r="O49" s="322" t="s">
        <v>1496</v>
      </c>
      <c r="P49" s="322" t="s"/>
      <c r="Q49" s="316">
        <v>2</v>
      </c>
      <c r="R49" s="682">
        <f>=H49*Q49</f>
        <v>4</v>
      </c>
      <c r="S49" s="676" t="s"/>
    </row>
    <row r="50" spans="1:19" customHeight="false">
      <c r="A50" s="322">
        <v>16</v>
      </c>
      <c r="B50" s="322">
        <v>14</v>
      </c>
      <c r="C50" s="322" t="s">
        <v>1497</v>
      </c>
      <c r="D50" s="687" t="s">
        <v>637</v>
      </c>
      <c r="E50" s="687" t="s"/>
      <c r="F50" s="687" t="s">
        <v>1498</v>
      </c>
      <c r="G50" s="687" t="s">
        <v>45</v>
      </c>
      <c r="H50" s="687">
        <v>1</v>
      </c>
      <c r="I50" s="687">
        <v>0.5</v>
      </c>
      <c r="J50" s="687">
        <f>=H50*I50</f>
        <v>0.5</v>
      </c>
      <c r="K50" s="687">
        <f>=L50*I50</f>
        <v>1</v>
      </c>
      <c r="L50" s="687">
        <v>2</v>
      </c>
      <c r="M50" s="687" t="s"/>
      <c r="N50" s="687" t="s"/>
      <c r="O50" s="687" t="s">
        <v>1499</v>
      </c>
      <c r="P50" s="687" t="s"/>
      <c r="Q50" s="676">
        <v>6</v>
      </c>
      <c r="R50" s="682">
        <f>=H50*Q50</f>
        <v>6</v>
      </c>
      <c r="S50" s="676" t="s"/>
    </row>
    <row r="51" spans="1:19" ht="16" customHeight="true">
      <c r="A51" s="677" t="s">
        <v>1500</v>
      </c>
      <c r="B51" s="677" t="s"/>
      <c r="C51" s="677" t="s"/>
      <c r="D51" s="677" t="s"/>
      <c r="E51" s="677" t="s"/>
      <c r="F51" s="677" t="s"/>
      <c r="G51" s="677" t="s"/>
      <c r="H51" s="681">
        <f>=L51+M51+N51</f>
        <v>0</v>
      </c>
      <c r="I51" s="677" t="s"/>
      <c r="J51" s="677" t="s"/>
      <c r="K51" s="677" t="s"/>
      <c r="L51" s="677" t="s"/>
      <c r="M51" s="677" t="s"/>
      <c r="N51" s="677" t="s"/>
      <c r="O51" s="677" t="s"/>
      <c r="P51" s="677" t="s"/>
      <c r="Q51" s="676" t="s"/>
      <c r="R51" s="676" t="s"/>
      <c r="S51" s="676" t="s"/>
    </row>
    <row r="52" spans="1:19" ht="16" customHeight="true">
      <c r="A52" s="322">
        <v>31</v>
      </c>
      <c r="B52" s="315">
        <v>1</v>
      </c>
      <c r="C52" s="683" t="s">
        <v>1501</v>
      </c>
      <c r="D52" s="315" t="s">
        <v>1361</v>
      </c>
      <c r="E52" s="315" t="s"/>
      <c r="F52" s="322" t="s"/>
      <c r="G52" s="322" t="s">
        <v>36</v>
      </c>
      <c r="H52" s="681">
        <f>=L52+M52+N52</f>
        <v>1</v>
      </c>
      <c r="I52" s="322" t="s"/>
      <c r="J52" s="322" t="s"/>
      <c r="K52" s="322" t="s"/>
      <c r="L52" s="322">
        <v>1</v>
      </c>
      <c r="M52" s="322" t="s"/>
      <c r="N52" s="322" t="s"/>
      <c r="O52" s="322" t="s">
        <v>1370</v>
      </c>
      <c r="P52" s="322" t="s"/>
      <c r="Q52" s="676" t="s"/>
      <c r="R52" s="676" t="s"/>
      <c r="S52" s="676" t="s"/>
    </row>
    <row r="53" spans="1:19" ht="16" customHeight="true">
      <c r="A53" s="322">
        <v>32</v>
      </c>
      <c r="B53" s="315">
        <v>2</v>
      </c>
      <c r="C53" s="683" t="s">
        <v>1502</v>
      </c>
      <c r="D53" s="315" t="s">
        <v>1361</v>
      </c>
      <c r="E53" s="315" t="s"/>
      <c r="F53" s="322" t="s"/>
      <c r="G53" s="322" t="s">
        <v>36</v>
      </c>
      <c r="H53" s="681">
        <f>=L53+M53+N53</f>
        <v>1</v>
      </c>
      <c r="I53" s="322" t="s"/>
      <c r="J53" s="322" t="s"/>
      <c r="K53" s="322" t="s"/>
      <c r="L53" s="322">
        <v>1</v>
      </c>
      <c r="M53" s="322" t="s"/>
      <c r="N53" s="322" t="s"/>
      <c r="O53" s="322" t="s">
        <v>1390</v>
      </c>
      <c r="P53" s="322" t="s"/>
      <c r="Q53" s="676" t="s"/>
      <c r="R53" s="676" t="s"/>
      <c r="S53" s="676" t="s"/>
    </row>
    <row r="54" spans="1:19" ht="16" customHeight="true">
      <c r="A54" s="322">
        <v>33</v>
      </c>
      <c r="B54" s="315">
        <v>2</v>
      </c>
      <c r="C54" s="683" t="s">
        <v>1502</v>
      </c>
      <c r="D54" s="315" t="s">
        <v>1361</v>
      </c>
      <c r="E54" s="315" t="s"/>
      <c r="F54" s="322" t="s"/>
      <c r="G54" s="322" t="s">
        <v>36</v>
      </c>
      <c r="H54" s="681">
        <f>=L54+M54+N54</f>
        <v>1</v>
      </c>
      <c r="I54" s="322" t="s"/>
      <c r="J54" s="322" t="s"/>
      <c r="K54" s="322" t="s"/>
      <c r="L54" s="322">
        <v>1</v>
      </c>
      <c r="M54" s="322" t="s"/>
      <c r="N54" s="322" t="s"/>
      <c r="O54" s="322" t="s">
        <v>425</v>
      </c>
      <c r="P54" s="322" t="s"/>
      <c r="Q54" s="676" t="s"/>
      <c r="R54" s="676" t="s"/>
      <c r="S54" s="676" t="s"/>
    </row>
    <row r="55" spans="1:19" ht="16" customHeight="true">
      <c r="A55" s="322">
        <v>34</v>
      </c>
      <c r="B55" s="315">
        <v>3</v>
      </c>
      <c r="C55" s="683" t="s">
        <v>1503</v>
      </c>
      <c r="D55" s="315" t="s">
        <v>1504</v>
      </c>
      <c r="E55" s="315" t="s"/>
      <c r="F55" s="322" t="s"/>
      <c r="G55" s="322" t="s">
        <v>36</v>
      </c>
      <c r="H55" s="681">
        <f>=L55+M55+N55</f>
        <v>1</v>
      </c>
      <c r="I55" s="322" t="s"/>
      <c r="J55" s="322" t="s"/>
      <c r="K55" s="322" t="s"/>
      <c r="L55" s="322">
        <v>1</v>
      </c>
      <c r="M55" s="322" t="s"/>
      <c r="N55" s="322" t="s"/>
      <c r="O55" s="322" t="s">
        <v>1370</v>
      </c>
      <c r="P55" s="322" t="s"/>
      <c r="Q55" s="676" t="s"/>
      <c r="R55" s="676" t="s"/>
      <c r="S55" s="676" t="s"/>
    </row>
    <row r="56" spans="1:19" ht="16" customHeight="true">
      <c r="A56" s="322">
        <v>35</v>
      </c>
      <c r="B56" s="315">
        <v>4</v>
      </c>
      <c r="C56" s="683" t="s">
        <v>1505</v>
      </c>
      <c r="D56" s="315" t="s">
        <v>1504</v>
      </c>
      <c r="E56" s="315" t="s"/>
      <c r="F56" s="322" t="s"/>
      <c r="G56" s="322" t="s">
        <v>36</v>
      </c>
      <c r="H56" s="681">
        <f>=L56+M56+N56</f>
        <v>1</v>
      </c>
      <c r="I56" s="322" t="s"/>
      <c r="J56" s="322" t="s"/>
      <c r="K56" s="322" t="s"/>
      <c r="L56" s="322">
        <v>1</v>
      </c>
      <c r="M56" s="322" t="s"/>
      <c r="N56" s="322" t="s"/>
      <c r="O56" s="322" t="s">
        <v>1390</v>
      </c>
      <c r="P56" s="322" t="s"/>
      <c r="Q56" s="676" t="s"/>
      <c r="R56" s="676" t="s"/>
      <c r="S56" s="676" t="s"/>
    </row>
    <row r="57" spans="1:19" ht="16" customHeight="true">
      <c r="A57" s="322">
        <v>36</v>
      </c>
      <c r="B57" s="315">
        <v>4</v>
      </c>
      <c r="C57" s="683" t="s">
        <v>1505</v>
      </c>
      <c r="D57" s="315" t="s">
        <v>1504</v>
      </c>
      <c r="E57" s="315" t="s"/>
      <c r="F57" s="322" t="s"/>
      <c r="G57" s="322" t="s">
        <v>36</v>
      </c>
      <c r="H57" s="681">
        <f>=L57+M57+N57</f>
        <v>1</v>
      </c>
      <c r="I57" s="322" t="s"/>
      <c r="J57" s="322" t="s"/>
      <c r="K57" s="322" t="s"/>
      <c r="L57" s="322">
        <v>1</v>
      </c>
      <c r="M57" s="322" t="s"/>
      <c r="N57" s="322" t="s"/>
      <c r="O57" s="322" t="s">
        <v>425</v>
      </c>
      <c r="P57" s="322" t="s"/>
      <c r="Q57" s="676" t="s"/>
      <c r="R57" s="676" t="s"/>
      <c r="S57" s="676" t="s"/>
    </row>
    <row r="58" spans="1:19" ht="16" customHeight="true">
      <c r="A58" s="322">
        <v>37</v>
      </c>
      <c r="B58" s="315">
        <v>5</v>
      </c>
      <c r="C58" s="683" t="s">
        <v>1506</v>
      </c>
      <c r="D58" s="315" t="s">
        <v>1507</v>
      </c>
      <c r="E58" s="315" t="s"/>
      <c r="F58" s="322" t="s">
        <v>1508</v>
      </c>
      <c r="G58" s="322" t="s">
        <v>36</v>
      </c>
      <c r="H58" s="681">
        <f>=L58+M58+N58</f>
        <v>1</v>
      </c>
      <c r="I58" s="322" t="s"/>
      <c r="J58" s="322" t="s"/>
      <c r="K58" s="322" t="s"/>
      <c r="L58" s="322">
        <v>1</v>
      </c>
      <c r="M58" s="322" t="s"/>
      <c r="N58" s="322" t="s"/>
      <c r="O58" s="322" t="s">
        <v>1509</v>
      </c>
      <c r="P58" s="322" t="s"/>
      <c r="Q58" s="676" t="s"/>
      <c r="R58" s="676" t="s"/>
      <c r="S58" s="676" t="s"/>
    </row>
    <row r="59" spans="1:19" customHeight="false">
      <c r="A59" s="322">
        <v>38</v>
      </c>
      <c r="B59" s="315">
        <v>6</v>
      </c>
      <c r="C59" s="683" t="s">
        <v>1510</v>
      </c>
      <c r="D59" s="315" t="s">
        <v>1363</v>
      </c>
      <c r="E59" s="315" t="s"/>
      <c r="F59" s="322" t="s">
        <v>1511</v>
      </c>
      <c r="G59" s="322" t="s">
        <v>36</v>
      </c>
      <c r="H59" s="681">
        <f>=L59+M59+N59</f>
        <v>1</v>
      </c>
      <c r="I59" s="322" t="s"/>
      <c r="J59" s="322" t="s"/>
      <c r="K59" s="322" t="s"/>
      <c r="L59" s="322">
        <v>1</v>
      </c>
      <c r="M59" s="322" t="s"/>
      <c r="N59" s="322" t="s"/>
      <c r="O59" s="322" t="s">
        <v>1370</v>
      </c>
      <c r="P59" s="322" t="s"/>
      <c r="Q59" s="676" t="s"/>
      <c r="R59" s="676" t="s"/>
      <c r="S59" s="676" t="s"/>
    </row>
    <row r="60" spans="1:19" ht="16" customHeight="true">
      <c r="A60" s="322">
        <v>39</v>
      </c>
      <c r="B60" s="315">
        <v>7</v>
      </c>
      <c r="C60" s="683" t="s">
        <v>1512</v>
      </c>
      <c r="D60" s="315" t="s">
        <v>1513</v>
      </c>
      <c r="E60" s="315" t="s"/>
      <c r="F60" s="322" t="s">
        <v>1514</v>
      </c>
      <c r="G60" s="322" t="s">
        <v>36</v>
      </c>
      <c r="H60" s="681">
        <f>=L60+M60+N60</f>
        <v>3</v>
      </c>
      <c r="I60" s="322" t="s"/>
      <c r="J60" s="322" t="s"/>
      <c r="K60" s="322" t="s"/>
      <c r="L60" s="322">
        <v>3</v>
      </c>
      <c r="M60" s="322" t="s"/>
      <c r="N60" s="322" t="s"/>
      <c r="O60" s="322" t="s">
        <v>601</v>
      </c>
      <c r="P60" s="322" t="s">
        <v>1515</v>
      </c>
      <c r="Q60" s="676" t="s"/>
      <c r="R60" s="676" t="s"/>
      <c r="S60" s="676" t="s"/>
    </row>
    <row r="61" spans="1:19" ht="42" customHeight="true">
      <c r="A61" s="322">
        <v>40</v>
      </c>
      <c r="B61" s="315">
        <v>8</v>
      </c>
      <c r="C61" s="683" t="s">
        <v>1516</v>
      </c>
      <c r="D61" s="315" t="s">
        <v>1513</v>
      </c>
      <c r="E61" s="315" t="s"/>
      <c r="F61" s="322" t="s">
        <v>1517</v>
      </c>
      <c r="G61" s="322" t="s">
        <v>36</v>
      </c>
      <c r="H61" s="681">
        <f>=L61+M61+N61</f>
        <v>3</v>
      </c>
      <c r="I61" s="322" t="s"/>
      <c r="J61" s="322" t="s"/>
      <c r="K61" s="322" t="s"/>
      <c r="L61" s="322">
        <v>3</v>
      </c>
      <c r="M61" s="322" t="s"/>
      <c r="N61" s="322" t="s"/>
      <c r="O61" s="322" t="s">
        <v>392</v>
      </c>
      <c r="P61" s="322" t="s">
        <v>1518</v>
      </c>
      <c r="Q61" s="676" t="s"/>
      <c r="R61" s="676" t="s"/>
      <c r="S61" s="676" t="s"/>
    </row>
    <row r="62" spans="1:19" ht="16" customHeight="true">
      <c r="A62" s="322">
        <v>41</v>
      </c>
      <c r="B62" s="315">
        <v>9</v>
      </c>
      <c r="C62" s="683" t="s">
        <v>1519</v>
      </c>
      <c r="D62" s="315" t="s">
        <v>1513</v>
      </c>
      <c r="E62" s="315" t="s"/>
      <c r="F62" s="322" t="s">
        <v>1520</v>
      </c>
      <c r="G62" s="322" t="s">
        <v>36</v>
      </c>
      <c r="H62" s="681">
        <f>=L62+M62+N62</f>
        <v>3</v>
      </c>
      <c r="I62" s="322" t="s"/>
      <c r="J62" s="322" t="s"/>
      <c r="K62" s="322" t="s"/>
      <c r="L62" s="322">
        <v>3</v>
      </c>
      <c r="M62" s="322" t="s"/>
      <c r="N62" s="322" t="s"/>
      <c r="O62" s="322" t="s">
        <v>396</v>
      </c>
      <c r="P62" s="322" t="s">
        <v>1521</v>
      </c>
      <c r="Q62" s="676" t="s"/>
      <c r="R62" s="676" t="s"/>
      <c r="S62" s="676" t="s"/>
    </row>
    <row r="63" spans="1:19" ht="16" customHeight="true">
      <c r="A63" s="322">
        <v>42</v>
      </c>
      <c r="B63" s="315">
        <v>10</v>
      </c>
      <c r="C63" s="683" t="s">
        <v>1522</v>
      </c>
      <c r="D63" s="315" t="s">
        <v>1363</v>
      </c>
      <c r="E63" s="315" t="s"/>
      <c r="F63" s="322" t="s">
        <v>1523</v>
      </c>
      <c r="G63" s="322" t="s">
        <v>36</v>
      </c>
      <c r="H63" s="681">
        <f>=L63+M63+N63</f>
        <v>2</v>
      </c>
      <c r="I63" s="322" t="s"/>
      <c r="J63" s="322" t="s"/>
      <c r="K63" s="322" t="s"/>
      <c r="L63" s="322">
        <v>2</v>
      </c>
      <c r="M63" s="322" t="s"/>
      <c r="N63" s="322" t="s"/>
      <c r="O63" s="322" t="s">
        <v>1524</v>
      </c>
      <c r="P63" s="322" t="s"/>
      <c r="Q63" s="676" t="s"/>
      <c r="R63" s="676" t="s"/>
      <c r="S63" s="676" t="s"/>
    </row>
    <row r="64" spans="1:19" ht="16" customHeight="true">
      <c r="A64" s="322">
        <v>43</v>
      </c>
      <c r="B64" s="315">
        <v>11</v>
      </c>
      <c r="C64" s="683" t="s">
        <v>1525</v>
      </c>
      <c r="D64" s="315" t="s">
        <v>1363</v>
      </c>
      <c r="E64" s="315" t="s"/>
      <c r="F64" s="322" t="s">
        <v>1526</v>
      </c>
      <c r="G64" s="322" t="s">
        <v>36</v>
      </c>
      <c r="H64" s="681">
        <f>=L64+M64+N64</f>
        <v>1</v>
      </c>
      <c r="I64" s="322" t="s"/>
      <c r="J64" s="322" t="s"/>
      <c r="K64" s="322" t="s"/>
      <c r="L64" s="322">
        <v>1</v>
      </c>
      <c r="M64" s="322" t="s"/>
      <c r="N64" s="322" t="s"/>
      <c r="O64" s="322" t="s">
        <v>1527</v>
      </c>
      <c r="P64" s="322" t="s"/>
      <c r="Q64" s="676" t="s"/>
      <c r="R64" s="676" t="s"/>
      <c r="S64" s="676" t="s"/>
    </row>
    <row r="65" spans="1:19" ht="16" customHeight="true">
      <c r="A65" s="322">
        <v>44</v>
      </c>
      <c r="B65" s="315">
        <v>12</v>
      </c>
      <c r="C65" s="683" t="s">
        <v>1528</v>
      </c>
      <c r="D65" s="315" t="s">
        <v>1107</v>
      </c>
      <c r="E65" s="315" t="s"/>
      <c r="F65" s="322" t="s">
        <v>1529</v>
      </c>
      <c r="G65" s="322" t="s">
        <v>36</v>
      </c>
      <c r="H65" s="681">
        <f>=L65+M65+N65</f>
        <v>2</v>
      </c>
      <c r="I65" s="322" t="s"/>
      <c r="J65" s="322" t="s"/>
      <c r="K65" s="322" t="s"/>
      <c r="L65" s="322">
        <v>2</v>
      </c>
      <c r="M65" s="322" t="s"/>
      <c r="N65" s="322" t="s"/>
      <c r="O65" s="322" t="s">
        <v>1530</v>
      </c>
      <c r="P65" s="322" t="s"/>
      <c r="Q65" s="676" t="s"/>
      <c r="R65" s="676" t="s"/>
      <c r="S65" s="676" t="s"/>
    </row>
    <row r="66" spans="1:19" ht="16" customHeight="true">
      <c r="A66" s="322">
        <v>45</v>
      </c>
      <c r="B66" s="315">
        <v>13</v>
      </c>
      <c r="C66" s="683" t="s">
        <v>1531</v>
      </c>
      <c r="D66" s="315" t="s">
        <v>1532</v>
      </c>
      <c r="E66" s="322" t="s">
        <v>1533</v>
      </c>
      <c r="F66" s="322" t="s">
        <v>1534</v>
      </c>
      <c r="G66" s="322" t="s">
        <v>45</v>
      </c>
      <c r="H66" s="681">
        <f>=L66+M66+N66</f>
        <v>1</v>
      </c>
      <c r="I66" s="322" t="s"/>
      <c r="J66" s="322" t="s"/>
      <c r="K66" s="322" t="s"/>
      <c r="L66" s="322">
        <v>1</v>
      </c>
      <c r="M66" s="322" t="s"/>
      <c r="N66" s="322" t="s"/>
      <c r="O66" s="322" t="s">
        <v>1535</v>
      </c>
      <c r="P66" s="322" t="s"/>
      <c r="Q66" s="676" t="s"/>
      <c r="R66" s="676" t="s"/>
      <c r="S66" s="676" t="s"/>
    </row>
    <row r="67" spans="1:19" ht="19" customHeight="true">
      <c r="A67" s="688" t="s">
        <v>1536</v>
      </c>
      <c r="B67" s="688" t="s"/>
      <c r="C67" s="688" t="s"/>
      <c r="D67" s="688" t="s"/>
      <c r="E67" s="688" t="s"/>
      <c r="F67" s="688" t="s"/>
      <c r="G67" s="688" t="s"/>
      <c r="H67" s="688" t="s"/>
      <c r="I67" s="688" t="s"/>
      <c r="J67" s="688" t="s"/>
      <c r="K67" s="688" t="s"/>
      <c r="L67" s="688" t="s"/>
      <c r="M67" s="688" t="s"/>
      <c r="N67" s="688" t="s"/>
      <c r="O67" s="688" t="s"/>
      <c r="P67" s="688" t="s"/>
      <c r="Q67" s="676" t="s"/>
      <c r="R67" s="316">
        <f>=SUM(R69:R90)*1.25</f>
        <v>1035</v>
      </c>
      <c r="S67" s="676" t="s"/>
    </row>
    <row r="68" spans="1:19" ht="19" customHeight="true">
      <c r="A68" s="677" t="s">
        <v>1537</v>
      </c>
      <c r="B68" s="677" t="s"/>
      <c r="C68" s="677" t="s"/>
      <c r="D68" s="677" t="s"/>
      <c r="E68" s="677" t="s"/>
      <c r="F68" s="677" t="s"/>
      <c r="G68" s="677" t="s"/>
      <c r="H68" s="677" t="s"/>
      <c r="I68" s="677" t="s"/>
      <c r="J68" s="677" t="s"/>
      <c r="K68" s="677" t="s"/>
      <c r="L68" s="677" t="s"/>
      <c r="M68" s="677" t="s"/>
      <c r="N68" s="677" t="s"/>
      <c r="O68" s="677" t="s"/>
      <c r="P68" s="677" t="s"/>
      <c r="Q68" s="676" t="s"/>
      <c r="R68" s="676" t="s"/>
      <c r="S68" s="676" t="s"/>
    </row>
    <row r="69" spans="1:19" customHeight="false">
      <c r="A69" s="322">
        <v>1</v>
      </c>
      <c r="B69" s="322">
        <v>1</v>
      </c>
      <c r="C69" s="322" t="s">
        <v>1538</v>
      </c>
      <c r="D69" s="687" t="s">
        <v>1539</v>
      </c>
      <c r="E69" s="687" t="s">
        <v>1539</v>
      </c>
      <c r="F69" s="687" t="s">
        <v>1540</v>
      </c>
      <c r="G69" s="687" t="s">
        <v>32</v>
      </c>
      <c r="H69" s="681">
        <f>=L69+M69+N69</f>
        <v>4</v>
      </c>
      <c r="I69" s="687">
        <v>7.5</v>
      </c>
      <c r="J69" s="687">
        <f>=H69*I69</f>
        <v>30</v>
      </c>
      <c r="K69" s="687">
        <f>=L69*I69</f>
        <v>30</v>
      </c>
      <c r="L69" s="687">
        <v>4</v>
      </c>
      <c r="M69" s="687" t="s"/>
      <c r="N69" s="687" t="s"/>
      <c r="O69" s="687" t="s">
        <v>1541</v>
      </c>
      <c r="P69" s="689" t="s"/>
      <c r="Q69" s="676">
        <v>20</v>
      </c>
      <c r="R69" s="682">
        <f>=H69*Q69</f>
        <v>80</v>
      </c>
      <c r="S69" s="676" t="s"/>
    </row>
    <row r="70" spans="1:19" customHeight="false">
      <c r="A70" s="322">
        <v>2</v>
      </c>
      <c r="B70" s="322">
        <v>2</v>
      </c>
      <c r="C70" s="322" t="s">
        <v>1542</v>
      </c>
      <c r="D70" s="687" t="s">
        <v>1543</v>
      </c>
      <c r="E70" s="687" t="s">
        <v>1543</v>
      </c>
      <c r="F70" s="687" t="s">
        <v>1544</v>
      </c>
      <c r="G70" s="687" t="s">
        <v>32</v>
      </c>
      <c r="H70" s="681">
        <f>=L70+M70+N70</f>
        <v>4</v>
      </c>
      <c r="I70" s="687">
        <v>12</v>
      </c>
      <c r="J70" s="687">
        <f>=H70*I70</f>
        <v>48</v>
      </c>
      <c r="K70" s="687">
        <f>=L70*I70</f>
        <v>48</v>
      </c>
      <c r="L70" s="687">
        <v>4</v>
      </c>
      <c r="M70" s="687" t="s"/>
      <c r="N70" s="687" t="s"/>
      <c r="O70" s="687" t="s">
        <v>1545</v>
      </c>
      <c r="P70" s="687" t="s"/>
      <c r="Q70" s="676">
        <v>25</v>
      </c>
      <c r="R70" s="682">
        <f>=H70*Q70</f>
        <v>100</v>
      </c>
      <c r="S70" s="676" t="s"/>
    </row>
    <row r="71" spans="1:19" customHeight="false">
      <c r="A71" s="322">
        <v>3</v>
      </c>
      <c r="B71" s="322">
        <v>3</v>
      </c>
      <c r="C71" s="322" t="s">
        <v>1538</v>
      </c>
      <c r="D71" s="687" t="s">
        <v>1539</v>
      </c>
      <c r="E71" s="687" t="s">
        <v>1539</v>
      </c>
      <c r="F71" s="687" t="s">
        <v>1546</v>
      </c>
      <c r="G71" s="687" t="s">
        <v>32</v>
      </c>
      <c r="H71" s="681">
        <f>=L71+M71+N71</f>
        <v>2</v>
      </c>
      <c r="I71" s="687">
        <v>4.5</v>
      </c>
      <c r="J71" s="687">
        <f>=H71*I71</f>
        <v>9</v>
      </c>
      <c r="K71" s="687">
        <f>=L71*I71</f>
        <v>9</v>
      </c>
      <c r="L71" s="687">
        <v>2</v>
      </c>
      <c r="M71" s="687" t="s"/>
      <c r="N71" s="687" t="s"/>
      <c r="O71" s="687" t="s">
        <v>1547</v>
      </c>
      <c r="P71" s="689" t="s"/>
      <c r="Q71" s="676">
        <v>12</v>
      </c>
      <c r="R71" s="682">
        <f>=H71*Q71</f>
        <v>24</v>
      </c>
      <c r="S71" s="676" t="s"/>
    </row>
    <row r="72" spans="1:19" customHeight="false">
      <c r="A72" s="322">
        <v>4</v>
      </c>
      <c r="B72" s="322">
        <v>4</v>
      </c>
      <c r="C72" s="322" t="s">
        <v>1542</v>
      </c>
      <c r="D72" s="687" t="s">
        <v>1543</v>
      </c>
      <c r="E72" s="687" t="s">
        <v>1543</v>
      </c>
      <c r="F72" s="687" t="s">
        <v>1544</v>
      </c>
      <c r="G72" s="687" t="s">
        <v>32</v>
      </c>
      <c r="H72" s="681">
        <f>=L72+M72+N72</f>
        <v>8</v>
      </c>
      <c r="I72" s="687">
        <v>12</v>
      </c>
      <c r="J72" s="687">
        <f>=H72*I72</f>
        <v>96</v>
      </c>
      <c r="K72" s="687">
        <f>=L72*I72</f>
        <v>96</v>
      </c>
      <c r="L72" s="687">
        <v>8</v>
      </c>
      <c r="M72" s="687" t="s"/>
      <c r="N72" s="687" t="s"/>
      <c r="O72" s="687" t="s">
        <v>1548</v>
      </c>
      <c r="P72" s="687" t="s"/>
      <c r="Q72" s="676">
        <v>25</v>
      </c>
      <c r="R72" s="682">
        <f>=H72*Q72</f>
        <v>200</v>
      </c>
      <c r="S72" s="676" t="s"/>
    </row>
    <row r="73" spans="1:19" customHeight="false">
      <c r="A73" s="322">
        <v>5</v>
      </c>
      <c r="B73" s="322">
        <v>5</v>
      </c>
      <c r="C73" s="687" t="s">
        <v>1549</v>
      </c>
      <c r="D73" s="687" t="s">
        <v>1550</v>
      </c>
      <c r="E73" s="687" t="s">
        <v>1550</v>
      </c>
      <c r="F73" s="687" t="s">
        <v>1551</v>
      </c>
      <c r="G73" s="687" t="s">
        <v>36</v>
      </c>
      <c r="H73" s="681">
        <f>=L73+M73+N73</f>
        <v>4000</v>
      </c>
      <c r="I73" s="687" t="s"/>
      <c r="J73" s="687" t="s"/>
      <c r="K73" s="687" t="s"/>
      <c r="L73" s="322">
        <v>4000</v>
      </c>
      <c r="M73" s="687" t="s"/>
      <c r="N73" s="687" t="s"/>
      <c r="O73" s="687" t="s">
        <v>1552</v>
      </c>
      <c r="P73" s="687" t="s">
        <v>1553</v>
      </c>
      <c r="Q73" s="676">
        <v>0.04</v>
      </c>
      <c r="R73" s="682">
        <f>=H73*Q73</f>
        <v>160</v>
      </c>
      <c r="S73" s="676" t="s"/>
    </row>
    <row r="74" spans="1:19" customHeight="false">
      <c r="A74" s="322">
        <v>6</v>
      </c>
      <c r="B74" s="322" t="s"/>
      <c r="C74" s="687" t="s"/>
      <c r="D74" s="687" t="s">
        <v>1554</v>
      </c>
      <c r="E74" s="687" t="s"/>
      <c r="F74" s="687" t="s"/>
      <c r="G74" s="687" t="s">
        <v>36</v>
      </c>
      <c r="H74" s="681">
        <f>=L74+M74+N74</f>
        <v>1</v>
      </c>
      <c r="I74" s="687" t="s"/>
      <c r="J74" s="687" t="s"/>
      <c r="K74" s="687" t="s"/>
      <c r="L74" s="687">
        <v>1</v>
      </c>
      <c r="M74" s="687" t="s"/>
      <c r="N74" s="687" t="s"/>
      <c r="O74" s="687" t="s"/>
      <c r="P74" s="687" t="s">
        <v>1555</v>
      </c>
      <c r="Q74" s="676" t="s"/>
      <c r="R74" s="682">
        <f>=H74*Q74</f>
        <v>0</v>
      </c>
      <c r="S74" s="676" t="s"/>
    </row>
    <row r="75" spans="1:19" ht="38" customHeight="true">
      <c r="A75" s="322">
        <v>7</v>
      </c>
      <c r="B75" s="322">
        <v>6</v>
      </c>
      <c r="C75" s="322" t="s">
        <v>1556</v>
      </c>
      <c r="D75" s="687" t="s">
        <v>1557</v>
      </c>
      <c r="E75" s="687" t="s">
        <v>1558</v>
      </c>
      <c r="F75" s="687" t="s">
        <v>1559</v>
      </c>
      <c r="G75" s="687" t="s">
        <v>32</v>
      </c>
      <c r="H75" s="681">
        <f>=L75+M75+N75</f>
        <v>5</v>
      </c>
      <c r="I75" s="687">
        <v>7.5</v>
      </c>
      <c r="J75" s="687">
        <f>=H75*I75</f>
        <v>37.5</v>
      </c>
      <c r="K75" s="687">
        <f>=L75*I75</f>
        <v>30</v>
      </c>
      <c r="L75" s="690">
        <v>4</v>
      </c>
      <c r="M75" s="690" t="s"/>
      <c r="N75" s="690">
        <v>1</v>
      </c>
      <c r="O75" s="687" t="s">
        <v>1560</v>
      </c>
      <c r="P75" s="687" t="s">
        <v>1561</v>
      </c>
      <c r="Q75" s="676">
        <v>4</v>
      </c>
      <c r="R75" s="682">
        <f>=H75*Q75</f>
        <v>20</v>
      </c>
      <c r="S75" s="676" t="s"/>
    </row>
    <row r="76" spans="1:19" customHeight="false">
      <c r="A76" s="322">
        <v>8</v>
      </c>
      <c r="B76" s="322">
        <v>7</v>
      </c>
      <c r="C76" s="322" t="s">
        <v>1562</v>
      </c>
      <c r="D76" s="687" t="s">
        <v>1557</v>
      </c>
      <c r="E76" s="687" t="s">
        <v>1558</v>
      </c>
      <c r="F76" s="687" t="s">
        <v>1563</v>
      </c>
      <c r="G76" s="687" t="s">
        <v>32</v>
      </c>
      <c r="H76" s="681">
        <f>=L76+M76+N76</f>
        <v>5</v>
      </c>
      <c r="I76" s="687">
        <v>13</v>
      </c>
      <c r="J76" s="687">
        <f>=H76*I76</f>
        <v>65</v>
      </c>
      <c r="K76" s="687">
        <f>=L76*I76</f>
        <v>52</v>
      </c>
      <c r="L76" s="690">
        <v>4</v>
      </c>
      <c r="M76" s="690" t="s"/>
      <c r="N76" s="690">
        <v>1</v>
      </c>
      <c r="O76" s="687" t="s">
        <v>1564</v>
      </c>
      <c r="P76" s="687" t="s">
        <v>1565</v>
      </c>
      <c r="Q76" s="676">
        <v>5</v>
      </c>
      <c r="R76" s="682">
        <f>=H76*Q76</f>
        <v>25</v>
      </c>
      <c r="S76" s="676" t="s"/>
    </row>
    <row r="77" spans="1:19" customHeight="false">
      <c r="A77" s="322">
        <v>9</v>
      </c>
      <c r="B77" s="322">
        <v>8</v>
      </c>
      <c r="C77" s="322" t="s">
        <v>1566</v>
      </c>
      <c r="D77" s="687" t="s">
        <v>1567</v>
      </c>
      <c r="E77" s="687" t="s">
        <v>1558</v>
      </c>
      <c r="F77" s="687" t="s">
        <v>1568</v>
      </c>
      <c r="G77" s="687" t="s">
        <v>32</v>
      </c>
      <c r="H77" s="681">
        <f>=L77+M77+N77</f>
        <v>5</v>
      </c>
      <c r="I77" s="687">
        <v>25</v>
      </c>
      <c r="J77" s="687">
        <f>=H77*I77</f>
        <v>125</v>
      </c>
      <c r="K77" s="687">
        <f>=L77*I77</f>
        <v>100</v>
      </c>
      <c r="L77" s="690">
        <v>4</v>
      </c>
      <c r="M77" s="690" t="s"/>
      <c r="N77" s="690">
        <v>1</v>
      </c>
      <c r="O77" s="687" t="s">
        <v>1569</v>
      </c>
      <c r="P77" s="687" t="s">
        <v>1570</v>
      </c>
      <c r="Q77" s="676">
        <v>7</v>
      </c>
      <c r="R77" s="682">
        <f>=H77*Q77</f>
        <v>35</v>
      </c>
      <c r="S77" s="676" t="s"/>
    </row>
    <row r="78" spans="1:19" customHeight="false">
      <c r="A78" s="322">
        <v>10</v>
      </c>
      <c r="B78" s="322">
        <v>9</v>
      </c>
      <c r="C78" s="322" t="s">
        <v>1571</v>
      </c>
      <c r="D78" s="687" t="s">
        <v>1039</v>
      </c>
      <c r="E78" s="687" t="s">
        <v>925</v>
      </c>
      <c r="F78" s="687" t="s">
        <v>1572</v>
      </c>
      <c r="G78" s="687" t="s">
        <v>32</v>
      </c>
      <c r="H78" s="681">
        <f>=L78+M78+N78</f>
        <v>4</v>
      </c>
      <c r="I78" s="687">
        <v>7.5</v>
      </c>
      <c r="J78" s="687">
        <f>=H78*I78</f>
        <v>30</v>
      </c>
      <c r="K78" s="687">
        <f>=L78*I78</f>
        <v>15</v>
      </c>
      <c r="L78" s="690">
        <v>2</v>
      </c>
      <c r="M78" s="690">
        <v>2</v>
      </c>
      <c r="N78" s="690" t="s"/>
      <c r="O78" s="687" t="s">
        <v>1569</v>
      </c>
      <c r="P78" s="687" t="s">
        <v>1573</v>
      </c>
      <c r="Q78" s="676">
        <v>9</v>
      </c>
      <c r="R78" s="682">
        <f>=H78*Q78</f>
        <v>36</v>
      </c>
      <c r="S78" s="676" t="s"/>
    </row>
    <row r="79" spans="1:19" customHeight="false">
      <c r="A79" s="322">
        <v>11</v>
      </c>
      <c r="B79" s="322">
        <v>10</v>
      </c>
      <c r="C79" s="681" t="s"/>
      <c r="D79" s="681" t="s">
        <v>1574</v>
      </c>
      <c r="E79" s="681" t="s">
        <v>1384</v>
      </c>
      <c r="F79" s="681" t="s">
        <v>1575</v>
      </c>
      <c r="G79" s="681" t="s">
        <v>45</v>
      </c>
      <c r="H79" s="681">
        <f>=L79+M79+N79</f>
        <v>1</v>
      </c>
      <c r="I79" s="681">
        <v>1.5</v>
      </c>
      <c r="J79" s="682">
        <f>=I79*H79</f>
        <v>1.5</v>
      </c>
      <c r="K79" s="682">
        <f>=I79*L79</f>
        <v>1.5</v>
      </c>
      <c r="L79" s="681">
        <v>1</v>
      </c>
      <c r="M79" s="681">
        <v>0</v>
      </c>
      <c r="N79" s="681">
        <v>0</v>
      </c>
      <c r="O79" s="681" t="s">
        <v>1576</v>
      </c>
      <c r="P79" s="681" t="s"/>
      <c r="Q79" s="682">
        <v>9</v>
      </c>
      <c r="R79" s="682">
        <f>=H79*Q79</f>
        <v>9</v>
      </c>
      <c r="S79" s="676" t="s"/>
    </row>
    <row r="80" spans="1:19" customHeight="false">
      <c r="A80" s="322">
        <v>12</v>
      </c>
      <c r="B80" s="322">
        <v>11</v>
      </c>
      <c r="C80" s="681" t="s"/>
      <c r="D80" s="681" t="s">
        <v>1574</v>
      </c>
      <c r="E80" s="681" t="s">
        <v>1384</v>
      </c>
      <c r="F80" s="681" t="s">
        <v>1575</v>
      </c>
      <c r="G80" s="681" t="s">
        <v>45</v>
      </c>
      <c r="H80" s="681">
        <f>=L80+M80+N80</f>
        <v>1</v>
      </c>
      <c r="I80" s="681">
        <v>1.5</v>
      </c>
      <c r="J80" s="682">
        <f>=I80*H80</f>
        <v>1.5</v>
      </c>
      <c r="K80" s="682">
        <f>=I80*L80</f>
        <v>1.5</v>
      </c>
      <c r="L80" s="681">
        <v>1</v>
      </c>
      <c r="M80" s="681">
        <v>0</v>
      </c>
      <c r="N80" s="681">
        <v>0</v>
      </c>
      <c r="O80" s="681" t="s">
        <v>1576</v>
      </c>
      <c r="P80" s="681" t="s"/>
      <c r="Q80" s="682">
        <v>9</v>
      </c>
      <c r="R80" s="682">
        <f>=H80*Q80</f>
        <v>9</v>
      </c>
      <c r="S80" s="676" t="s"/>
    </row>
    <row r="81" spans="1:19" customHeight="false">
      <c r="A81" s="322">
        <v>13</v>
      </c>
      <c r="B81" s="322">
        <v>12</v>
      </c>
      <c r="C81" s="322" t="s">
        <v>1577</v>
      </c>
      <c r="D81" s="687" t="s">
        <v>1578</v>
      </c>
      <c r="E81" s="687" t="s">
        <v>1579</v>
      </c>
      <c r="F81" s="687" t="s">
        <v>1580</v>
      </c>
      <c r="G81" s="691" t="s">
        <v>36</v>
      </c>
      <c r="H81" s="681">
        <f>=L81+M81+N81</f>
        <v>2</v>
      </c>
      <c r="I81" s="687">
        <v>1.5</v>
      </c>
      <c r="J81" s="687">
        <f>=H81*I81</f>
        <v>3</v>
      </c>
      <c r="K81" s="687">
        <f>=L81*I81</f>
        <v>3</v>
      </c>
      <c r="L81" s="687">
        <v>2</v>
      </c>
      <c r="M81" s="691" t="s"/>
      <c r="N81" s="691" t="s"/>
      <c r="O81" s="687" t="s">
        <v>1581</v>
      </c>
      <c r="P81" s="687" t="s">
        <v>1582</v>
      </c>
      <c r="Q81" s="676">
        <v>3</v>
      </c>
      <c r="R81" s="676">
        <f>=H81*Q81</f>
        <v>6</v>
      </c>
      <c r="S81" s="676" t="s"/>
    </row>
    <row r="82" spans="1:19" ht="57" customHeight="true">
      <c r="A82" s="322">
        <v>14</v>
      </c>
      <c r="B82" s="322">
        <v>13</v>
      </c>
      <c r="C82" s="322" t="s">
        <v>1583</v>
      </c>
      <c r="D82" s="687" t="s">
        <v>1584</v>
      </c>
      <c r="E82" s="687" t="s">
        <v>1421</v>
      </c>
      <c r="F82" s="687" t="s">
        <v>1585</v>
      </c>
      <c r="G82" s="687" t="s">
        <v>36</v>
      </c>
      <c r="H82" s="681">
        <f>=L82+M82+N82</f>
        <v>2</v>
      </c>
      <c r="I82" s="687">
        <v>2.2</v>
      </c>
      <c r="J82" s="687">
        <f>=H82*I82</f>
        <v>4.4</v>
      </c>
      <c r="K82" s="687">
        <f>=L82*I82</f>
        <v>4.4</v>
      </c>
      <c r="L82" s="687">
        <v>2</v>
      </c>
      <c r="M82" s="687" t="s"/>
      <c r="N82" s="687" t="s"/>
      <c r="O82" s="687" t="s">
        <v>1586</v>
      </c>
      <c r="P82" s="687" t="s">
        <v>1582</v>
      </c>
      <c r="Q82" s="676">
        <v>10</v>
      </c>
      <c r="R82" s="676">
        <f>=H82*Q82</f>
        <v>20</v>
      </c>
      <c r="S82" s="676" t="s"/>
    </row>
    <row r="83" spans="1:19" customHeight="false">
      <c r="A83" s="322">
        <v>15</v>
      </c>
      <c r="B83" s="322">
        <v>14</v>
      </c>
      <c r="C83" s="322" t="s">
        <v>1587</v>
      </c>
      <c r="D83" s="687" t="s">
        <v>1584</v>
      </c>
      <c r="E83" s="687" t="s">
        <v>1421</v>
      </c>
      <c r="F83" s="687" t="s">
        <v>1588</v>
      </c>
      <c r="G83" s="687" t="s">
        <v>36</v>
      </c>
      <c r="H83" s="681">
        <f>=L83+M83+N83</f>
        <v>2</v>
      </c>
      <c r="I83" s="687">
        <v>2.2</v>
      </c>
      <c r="J83" s="687">
        <f>=H83*I83</f>
        <v>4.4</v>
      </c>
      <c r="K83" s="687">
        <f>=L83*I83</f>
        <v>4.4</v>
      </c>
      <c r="L83" s="687">
        <v>2</v>
      </c>
      <c r="M83" s="687" t="s"/>
      <c r="N83" s="687" t="s"/>
      <c r="O83" s="687" t="s">
        <v>1581</v>
      </c>
      <c r="P83" s="687" t="s">
        <v>1582</v>
      </c>
      <c r="Q83" s="692">
        <v>9</v>
      </c>
      <c r="R83" s="692">
        <f>=H83*Q83</f>
        <v>18</v>
      </c>
      <c r="S83" s="692" t="s"/>
    </row>
    <row r="84" spans="1:19" ht="57" customHeight="true">
      <c r="A84" s="322">
        <v>16</v>
      </c>
      <c r="B84" s="322">
        <v>15</v>
      </c>
      <c r="C84" s="322" t="s">
        <v>1589</v>
      </c>
      <c r="D84" s="687" t="s">
        <v>1584</v>
      </c>
      <c r="E84" s="687" t="s">
        <v>1421</v>
      </c>
      <c r="F84" s="687" t="s">
        <v>1590</v>
      </c>
      <c r="G84" s="687" t="s">
        <v>36</v>
      </c>
      <c r="H84" s="681">
        <f>=L84+M84+N84</f>
        <v>2</v>
      </c>
      <c r="I84" s="687">
        <v>2.2</v>
      </c>
      <c r="J84" s="687">
        <f>=H84*I84</f>
        <v>4.4</v>
      </c>
      <c r="K84" s="687">
        <f>=L84*I84</f>
        <v>4.4</v>
      </c>
      <c r="L84" s="687">
        <v>2</v>
      </c>
      <c r="M84" s="687" t="s"/>
      <c r="N84" s="687" t="s"/>
      <c r="O84" s="687" t="s">
        <v>1581</v>
      </c>
      <c r="P84" s="687" t="s">
        <v>1582</v>
      </c>
      <c r="Q84" s="676">
        <v>10</v>
      </c>
      <c r="R84" s="692">
        <f>=H84*Q84</f>
        <v>20</v>
      </c>
      <c r="S84" s="676" t="s"/>
    </row>
    <row r="85" spans="1:19" ht="57" customHeight="true">
      <c r="A85" s="322">
        <v>17</v>
      </c>
      <c r="B85" s="322">
        <v>16</v>
      </c>
      <c r="C85" s="322" t="s">
        <v>1589</v>
      </c>
      <c r="D85" s="687" t="s">
        <v>1584</v>
      </c>
      <c r="E85" s="687" t="s">
        <v>1421</v>
      </c>
      <c r="F85" s="687" t="s">
        <v>1590</v>
      </c>
      <c r="G85" s="687" t="s">
        <v>36</v>
      </c>
      <c r="H85" s="681">
        <f>=L85+M85+N85</f>
        <v>2</v>
      </c>
      <c r="I85" s="687">
        <v>2.2</v>
      </c>
      <c r="J85" s="687">
        <f>=H85*I85</f>
        <v>4.4</v>
      </c>
      <c r="K85" s="687">
        <f>=L85*I85</f>
        <v>4.4</v>
      </c>
      <c r="L85" s="687">
        <v>2</v>
      </c>
      <c r="M85" s="687" t="s"/>
      <c r="N85" s="687" t="s"/>
      <c r="O85" s="687" t="s">
        <v>1586</v>
      </c>
      <c r="P85" s="687" t="s">
        <v>1582</v>
      </c>
      <c r="Q85" s="676">
        <v>10</v>
      </c>
      <c r="R85" s="692">
        <f>=H85*Q85</f>
        <v>20</v>
      </c>
      <c r="S85" s="676" t="s"/>
    </row>
    <row r="86" spans="1:19" customHeight="false">
      <c r="A86" s="322">
        <v>18</v>
      </c>
      <c r="B86" s="322">
        <v>17</v>
      </c>
      <c r="C86" s="322" t="s">
        <v>1591</v>
      </c>
      <c r="D86" s="687" t="s">
        <v>1592</v>
      </c>
      <c r="E86" s="687" t="s">
        <v>1593</v>
      </c>
      <c r="F86" s="687" t="s">
        <v>1594</v>
      </c>
      <c r="G86" s="687" t="s">
        <v>36</v>
      </c>
      <c r="H86" s="681">
        <f>=L86+M86+N86</f>
        <v>2</v>
      </c>
      <c r="I86" s="687">
        <v>1.1</v>
      </c>
      <c r="J86" s="687">
        <f>=H86*I86</f>
        <v>2.2</v>
      </c>
      <c r="K86" s="687">
        <f>=L86*I86</f>
        <v>2.2</v>
      </c>
      <c r="L86" s="687">
        <v>2</v>
      </c>
      <c r="M86" s="687" t="s"/>
      <c r="N86" s="687" t="s"/>
      <c r="O86" s="687" t="s">
        <v>1595</v>
      </c>
      <c r="P86" s="687" t="s">
        <v>1596</v>
      </c>
      <c r="Q86" s="676">
        <v>4</v>
      </c>
      <c r="R86" s="692">
        <f>=H86*Q86</f>
        <v>8</v>
      </c>
      <c r="S86" s="676" t="s"/>
    </row>
    <row r="87" spans="1:19" customHeight="false">
      <c r="A87" s="322">
        <v>19</v>
      </c>
      <c r="B87" s="322">
        <v>18</v>
      </c>
      <c r="C87" s="322" t="s">
        <v>1597</v>
      </c>
      <c r="D87" s="687" t="s">
        <v>1592</v>
      </c>
      <c r="E87" s="687" t="s">
        <v>1593</v>
      </c>
      <c r="F87" s="687" t="s">
        <v>1598</v>
      </c>
      <c r="G87" s="687" t="s">
        <v>36</v>
      </c>
      <c r="H87" s="681">
        <f>=L87+M87+N87</f>
        <v>2</v>
      </c>
      <c r="I87" s="687">
        <v>1.1</v>
      </c>
      <c r="J87" s="687">
        <f>=H87*I87</f>
        <v>2.2</v>
      </c>
      <c r="K87" s="687">
        <f>=L87*I87</f>
        <v>2.2</v>
      </c>
      <c r="L87" s="687">
        <v>2</v>
      </c>
      <c r="M87" s="687" t="s"/>
      <c r="N87" s="687" t="s"/>
      <c r="O87" s="687" t="s">
        <v>1599</v>
      </c>
      <c r="P87" s="687" t="s">
        <v>1596</v>
      </c>
      <c r="Q87" s="676">
        <v>3</v>
      </c>
      <c r="R87" s="692">
        <f>=H87*Q87</f>
        <v>6</v>
      </c>
      <c r="S87" s="676" t="s"/>
    </row>
    <row r="88" spans="1:19" customHeight="false">
      <c r="A88" s="322">
        <v>20</v>
      </c>
      <c r="B88" s="322">
        <v>19</v>
      </c>
      <c r="C88" s="322" t="s">
        <v>1497</v>
      </c>
      <c r="D88" s="687" t="s">
        <v>637</v>
      </c>
      <c r="E88" s="687" t="s"/>
      <c r="F88" s="687" t="s">
        <v>1600</v>
      </c>
      <c r="G88" s="687" t="s">
        <v>45</v>
      </c>
      <c r="H88" s="681">
        <f>=L88+M88+N88</f>
        <v>2</v>
      </c>
      <c r="I88" s="687">
        <v>0.25</v>
      </c>
      <c r="J88" s="687">
        <f>=H88*I88</f>
        <v>0.5</v>
      </c>
      <c r="K88" s="687">
        <f>=L88*I88</f>
        <v>0.5</v>
      </c>
      <c r="L88" s="687">
        <v>2</v>
      </c>
      <c r="M88" s="687" t="s"/>
      <c r="N88" s="687" t="s"/>
      <c r="O88" s="687" t="s">
        <v>1601</v>
      </c>
      <c r="P88" s="687" t="s"/>
      <c r="Q88" s="676">
        <v>5</v>
      </c>
      <c r="R88" s="692">
        <f>=H88*Q88</f>
        <v>10</v>
      </c>
      <c r="S88" s="676" t="s"/>
    </row>
    <row r="89" spans="1:19" customHeight="false">
      <c r="A89" s="322">
        <v>21</v>
      </c>
      <c r="B89" s="322">
        <v>20</v>
      </c>
      <c r="C89" s="322" t="s">
        <v>1602</v>
      </c>
      <c r="D89" s="687" t="s">
        <v>637</v>
      </c>
      <c r="E89" s="687" t="s"/>
      <c r="F89" s="687" t="s">
        <v>1603</v>
      </c>
      <c r="G89" s="687" t="s">
        <v>45</v>
      </c>
      <c r="H89" s="687">
        <f>=L89+M89+N89</f>
        <v>8</v>
      </c>
      <c r="I89" s="687">
        <v>0.25</v>
      </c>
      <c r="J89" s="687">
        <f>=H89*I89</f>
        <v>2</v>
      </c>
      <c r="K89" s="687">
        <f>=L89*I89</f>
        <v>2</v>
      </c>
      <c r="L89" s="687">
        <v>8</v>
      </c>
      <c r="M89" s="687" t="s"/>
      <c r="N89" s="687" t="s"/>
      <c r="O89" s="687" t="s">
        <v>1604</v>
      </c>
      <c r="P89" s="687" t="s"/>
      <c r="Q89" s="676">
        <v>2</v>
      </c>
      <c r="R89" s="692">
        <f>=H89*Q89</f>
        <v>16</v>
      </c>
      <c r="S89" s="676" t="s"/>
    </row>
    <row r="90" spans="1:19" customHeight="false">
      <c r="A90" s="322">
        <v>22</v>
      </c>
      <c r="B90" s="322">
        <v>21</v>
      </c>
      <c r="C90" s="681" t="s">
        <v>1605</v>
      </c>
      <c r="D90" s="681" t="s">
        <v>637</v>
      </c>
      <c r="E90" s="321" t="s"/>
      <c r="F90" s="687" t="s">
        <v>1606</v>
      </c>
      <c r="G90" s="687" t="s">
        <v>32</v>
      </c>
      <c r="H90" s="687">
        <f>=L90+M90+N90</f>
        <v>2</v>
      </c>
      <c r="I90" s="687">
        <v>0.75</v>
      </c>
      <c r="J90" s="687">
        <f>=H90*I90</f>
        <v>1.5</v>
      </c>
      <c r="K90" s="687">
        <f>=L90*I90</f>
        <v>1.5</v>
      </c>
      <c r="L90" s="687">
        <v>2</v>
      </c>
      <c r="M90" s="687">
        <v>0</v>
      </c>
      <c r="N90" s="687" t="s"/>
      <c r="O90" s="687" t="s"/>
      <c r="P90" s="687" t="s">
        <v>1607</v>
      </c>
      <c r="Q90" s="681">
        <v>3</v>
      </c>
      <c r="R90" s="692">
        <f>=H90*Q90</f>
        <v>6</v>
      </c>
      <c r="S90" s="676" t="s"/>
    </row>
    <row r="91" spans="1:19" ht="16" customHeight="true">
      <c r="A91" s="677" t="s">
        <v>1500</v>
      </c>
      <c r="B91" s="677" t="s"/>
      <c r="C91" s="677" t="s"/>
      <c r="D91" s="677" t="s"/>
      <c r="E91" s="677" t="s"/>
      <c r="F91" s="677" t="s"/>
      <c r="G91" s="677" t="s"/>
      <c r="H91" s="681" t="s"/>
      <c r="I91" s="677" t="s"/>
      <c r="J91" s="677" t="s"/>
      <c r="K91" s="677" t="s"/>
      <c r="L91" s="677" t="s"/>
      <c r="M91" s="677" t="s"/>
      <c r="N91" s="677" t="s"/>
      <c r="O91" s="677" t="s"/>
      <c r="P91" s="677" t="s"/>
      <c r="Q91" s="676" t="s"/>
      <c r="R91" s="676" t="s"/>
      <c r="S91" s="676" t="s"/>
    </row>
    <row r="92" spans="1:19" customHeight="false">
      <c r="A92" s="322">
        <v>23</v>
      </c>
      <c r="B92" s="322">
        <v>1</v>
      </c>
      <c r="C92" s="322" t="s">
        <v>1608</v>
      </c>
      <c r="D92" s="687" t="s">
        <v>1609</v>
      </c>
      <c r="E92" s="687" t="s"/>
      <c r="F92" s="687" t="s">
        <v>1610</v>
      </c>
      <c r="G92" s="687" t="s">
        <v>36</v>
      </c>
      <c r="H92" s="681">
        <f>=L92+M92+N92</f>
        <v>14</v>
      </c>
      <c r="I92" s="687" t="s"/>
      <c r="J92" s="687" t="s"/>
      <c r="K92" s="687" t="s"/>
      <c r="L92" s="687">
        <v>14</v>
      </c>
      <c r="M92" s="687" t="s"/>
      <c r="N92" s="687" t="s"/>
      <c r="O92" s="687" t="s">
        <v>398</v>
      </c>
      <c r="P92" s="687" t="s"/>
      <c r="Q92" s="676" t="s"/>
      <c r="R92" s="676" t="s"/>
      <c r="S92" s="676" t="s"/>
    </row>
    <row r="93" spans="1:19" customHeight="false">
      <c r="A93" s="322">
        <v>23</v>
      </c>
      <c r="B93" s="322">
        <v>2</v>
      </c>
      <c r="C93" s="322" t="s">
        <v>1611</v>
      </c>
      <c r="D93" s="687" t="s">
        <v>1363</v>
      </c>
      <c r="E93" s="687" t="s"/>
      <c r="F93" s="687" t="s">
        <v>1612</v>
      </c>
      <c r="G93" s="687" t="s">
        <v>36</v>
      </c>
      <c r="H93" s="681">
        <f>=L93+M93+N93</f>
        <v>2</v>
      </c>
      <c r="I93" s="687" t="s"/>
      <c r="J93" s="687" t="s"/>
      <c r="K93" s="687" t="s"/>
      <c r="L93" s="687">
        <v>2</v>
      </c>
      <c r="M93" s="687" t="s"/>
      <c r="N93" s="687" t="s"/>
      <c r="O93" s="687" t="s">
        <v>1613</v>
      </c>
      <c r="P93" s="687" t="s"/>
      <c r="Q93" s="676" t="s"/>
      <c r="R93" s="676" t="s"/>
      <c r="S93" s="676" t="s"/>
    </row>
    <row r="94" spans="1:19" customHeight="false">
      <c r="A94" s="322">
        <v>23</v>
      </c>
      <c r="B94" s="322">
        <v>3</v>
      </c>
      <c r="C94" s="322" t="s">
        <v>1614</v>
      </c>
      <c r="D94" s="687" t="s">
        <v>1615</v>
      </c>
      <c r="E94" s="687" t="s">
        <v>1616</v>
      </c>
      <c r="F94" s="687" t="s"/>
      <c r="G94" s="687" t="s">
        <v>36</v>
      </c>
      <c r="H94" s="681">
        <f>=L94+M94+N94</f>
        <v>2</v>
      </c>
      <c r="I94" s="687" t="s"/>
      <c r="J94" s="687" t="s"/>
      <c r="K94" s="687" t="s"/>
      <c r="L94" s="687">
        <v>2</v>
      </c>
      <c r="M94" s="687">
        <v>0</v>
      </c>
      <c r="N94" s="687" t="s"/>
      <c r="O94" s="687" t="s"/>
      <c r="P94" s="687" t="s"/>
      <c r="Q94" s="676" t="s"/>
      <c r="R94" s="676" t="s"/>
      <c r="S94" s="676" t="s"/>
    </row>
    <row r="95" spans="1:19" customHeight="false">
      <c r="A95" s="322">
        <v>23</v>
      </c>
      <c r="B95" s="322">
        <v>4</v>
      </c>
      <c r="C95" s="322" t="s">
        <v>1617</v>
      </c>
      <c r="D95" s="687" t="s">
        <v>1618</v>
      </c>
      <c r="E95" s="687" t="s"/>
      <c r="F95" s="687" t="s"/>
      <c r="G95" s="687" t="s">
        <v>36</v>
      </c>
      <c r="H95" s="681">
        <f>=L95+M95+N95</f>
        <v>4</v>
      </c>
      <c r="I95" s="687" t="s"/>
      <c r="J95" s="687" t="s"/>
      <c r="K95" s="687" t="s"/>
      <c r="L95" s="687">
        <v>4</v>
      </c>
      <c r="M95" s="687" t="s"/>
      <c r="N95" s="687" t="s"/>
      <c r="O95" s="687" t="s">
        <v>1619</v>
      </c>
      <c r="P95" s="687" t="s"/>
      <c r="Q95" s="676" t="s"/>
      <c r="R95" s="676" t="s"/>
      <c r="S95" s="676" t="s"/>
    </row>
    <row r="96" spans="1:19" customHeight="false">
      <c r="A96" s="322">
        <v>23</v>
      </c>
      <c r="B96" s="322">
        <v>5</v>
      </c>
      <c r="C96" s="322" t="s">
        <v>1620</v>
      </c>
      <c r="D96" s="687" t="s">
        <v>1621</v>
      </c>
      <c r="E96" s="687" t="s"/>
      <c r="F96" s="687" t="s">
        <v>927</v>
      </c>
      <c r="G96" s="687" t="s">
        <v>36</v>
      </c>
      <c r="H96" s="681">
        <f>=L96+M96+N96</f>
        <v>6</v>
      </c>
      <c r="I96" s="687" t="s"/>
      <c r="J96" s="687" t="s"/>
      <c r="K96" s="687" t="s"/>
      <c r="L96" s="687">
        <v>6</v>
      </c>
      <c r="M96" s="687" t="s"/>
      <c r="N96" s="687" t="s"/>
      <c r="O96" s="687" t="s">
        <v>1622</v>
      </c>
      <c r="P96" s="687" t="s"/>
      <c r="Q96" s="676" t="s"/>
      <c r="R96" s="676" t="s"/>
      <c r="S96" s="676" t="s"/>
    </row>
    <row r="97" spans="1:19" ht="38" customHeight="true">
      <c r="A97" s="322">
        <v>23</v>
      </c>
      <c r="B97" s="322">
        <v>6</v>
      </c>
      <c r="C97" s="322" t="s">
        <v>1623</v>
      </c>
      <c r="D97" s="687" t="s">
        <v>1107</v>
      </c>
      <c r="E97" s="687" t="s"/>
      <c r="F97" s="687" t="s">
        <v>1624</v>
      </c>
      <c r="G97" s="687" t="s">
        <v>36</v>
      </c>
      <c r="H97" s="681">
        <f>=L97+M97+N97</f>
        <v>2</v>
      </c>
      <c r="I97" s="687" t="s"/>
      <c r="J97" s="687" t="s"/>
      <c r="K97" s="687" t="s"/>
      <c r="L97" s="687">
        <v>2</v>
      </c>
      <c r="M97" s="687" t="s"/>
      <c r="N97" s="687" t="s"/>
      <c r="O97" s="687" t="s">
        <v>1625</v>
      </c>
      <c r="P97" s="687" t="s"/>
      <c r="Q97" s="676" t="s"/>
      <c r="R97" s="676" t="s"/>
      <c r="S97" s="676" t="s"/>
    </row>
    <row r="98" spans="1:19" ht="38" customHeight="true">
      <c r="A98" s="322">
        <v>23</v>
      </c>
      <c r="B98" s="322">
        <v>7</v>
      </c>
      <c r="C98" s="322" t="s">
        <v>1626</v>
      </c>
      <c r="D98" s="687" t="s">
        <v>1107</v>
      </c>
      <c r="E98" s="687" t="s"/>
      <c r="F98" s="687" t="s">
        <v>1627</v>
      </c>
      <c r="G98" s="687" t="s">
        <v>36</v>
      </c>
      <c r="H98" s="681">
        <f>=L98+M98+N98</f>
        <v>1</v>
      </c>
      <c r="I98" s="687" t="s"/>
      <c r="J98" s="687" t="s"/>
      <c r="K98" s="687" t="s"/>
      <c r="L98" s="687">
        <v>1</v>
      </c>
      <c r="M98" s="687" t="s"/>
      <c r="N98" s="687" t="s"/>
      <c r="O98" s="687" t="s">
        <v>1601</v>
      </c>
      <c r="P98" s="687" t="s"/>
      <c r="Q98" s="676" t="s"/>
      <c r="R98" s="676" t="s"/>
      <c r="S98" s="676" t="s"/>
    </row>
    <row r="99" spans="1:19" ht="38" customHeight="true">
      <c r="A99" s="322">
        <v>23</v>
      </c>
      <c r="B99" s="322">
        <v>8</v>
      </c>
      <c r="C99" s="687" t="s">
        <v>1628</v>
      </c>
      <c r="D99" s="687" t="s">
        <v>1532</v>
      </c>
      <c r="E99" s="687" t="s"/>
      <c r="F99" s="322" t="s">
        <v>1629</v>
      </c>
      <c r="G99" s="687" t="s">
        <v>36</v>
      </c>
      <c r="H99" s="681">
        <f>=L99+M99+N99</f>
        <v>8</v>
      </c>
      <c r="I99" s="687" t="s"/>
      <c r="J99" s="687" t="s"/>
      <c r="K99" s="687" t="s"/>
      <c r="L99" s="687">
        <v>8</v>
      </c>
      <c r="M99" s="687" t="s"/>
      <c r="N99" s="687" t="s"/>
      <c r="O99" s="687" t="s">
        <v>1630</v>
      </c>
      <c r="P99" s="687" t="s"/>
      <c r="Q99" s="676" t="s"/>
      <c r="R99" s="676" t="s"/>
      <c r="S99" s="676" t="s"/>
    </row>
    <row r="100" spans="1:19" customHeight="false">
      <c r="A100" s="322">
        <v>23</v>
      </c>
      <c r="B100" s="322">
        <v>9</v>
      </c>
      <c r="C100" s="322" t="s">
        <v>1631</v>
      </c>
      <c r="D100" s="315" t="s">
        <v>1105</v>
      </c>
      <c r="E100" s="687" t="s">
        <v>1632</v>
      </c>
      <c r="F100" s="687" t="s">
        <v>1633</v>
      </c>
      <c r="G100" s="687" t="s">
        <v>36</v>
      </c>
      <c r="H100" s="681">
        <f>=L100+M100+N100</f>
        <v>14</v>
      </c>
      <c r="I100" s="687" t="s"/>
      <c r="J100" s="687" t="s"/>
      <c r="K100" s="687" t="s"/>
      <c r="L100" s="687">
        <v>14</v>
      </c>
      <c r="M100" s="687" t="s"/>
      <c r="N100" s="687" t="s"/>
      <c r="O100" s="687" t="s">
        <v>1630</v>
      </c>
      <c r="P100" s="687" t="s"/>
      <c r="Q100" s="676" t="s"/>
      <c r="R100" s="676" t="s"/>
      <c r="S100" s="676" t="s"/>
    </row>
    <row r="101" spans="1:19" ht="19" customHeight="true">
      <c r="A101" s="688" t="s">
        <v>1634</v>
      </c>
      <c r="B101" s="688" t="s"/>
      <c r="C101" s="688" t="s"/>
      <c r="D101" s="688" t="s"/>
      <c r="E101" s="688" t="s"/>
      <c r="F101" s="688" t="s"/>
      <c r="G101" s="688" t="s"/>
      <c r="H101" s="688" t="s"/>
      <c r="I101" s="688" t="s"/>
      <c r="J101" s="688" t="s"/>
      <c r="K101" s="688" t="s"/>
      <c r="L101" s="688" t="s"/>
      <c r="M101" s="688" t="s"/>
      <c r="N101" s="688" t="s"/>
      <c r="O101" s="688" t="s"/>
      <c r="P101" s="688" t="s"/>
      <c r="Q101" s="676" t="s"/>
      <c r="R101" s="676">
        <f>=SUM(R103:R109)*1.25</f>
        <v>1249.375</v>
      </c>
      <c r="S101" s="676" t="s"/>
    </row>
    <row r="102" spans="1:19" ht="19" customHeight="true">
      <c r="A102" s="677" t="s">
        <v>1537</v>
      </c>
      <c r="B102" s="677" t="s"/>
      <c r="C102" s="677" t="s"/>
      <c r="D102" s="677" t="s"/>
      <c r="E102" s="677" t="s"/>
      <c r="F102" s="677" t="s"/>
      <c r="G102" s="677" t="s"/>
      <c r="H102" s="677" t="s"/>
      <c r="I102" s="677" t="s"/>
      <c r="J102" s="677" t="s"/>
      <c r="K102" s="677" t="s"/>
      <c r="L102" s="677" t="s"/>
      <c r="M102" s="677" t="s"/>
      <c r="N102" s="677" t="s"/>
      <c r="O102" s="677" t="s"/>
      <c r="P102" s="677" t="s"/>
      <c r="Q102" s="676" t="s"/>
      <c r="R102" s="676" t="s"/>
      <c r="S102" s="676" t="s"/>
    </row>
    <row r="103" spans="1:19" customHeight="false">
      <c r="A103" s="681">
        <v>1</v>
      </c>
      <c r="B103" s="681">
        <v>1</v>
      </c>
      <c r="C103" s="681" t="s">
        <v>1635</v>
      </c>
      <c r="D103" s="681" t="s">
        <v>1636</v>
      </c>
      <c r="E103" s="321" t="s"/>
      <c r="F103" s="315" t="s">
        <v>1637</v>
      </c>
      <c r="G103" s="315" t="s">
        <v>36</v>
      </c>
      <c r="H103" s="315">
        <v>10</v>
      </c>
      <c r="I103" s="315">
        <v>1.5</v>
      </c>
      <c r="J103" s="315">
        <f>=I103*H103</f>
        <v>15</v>
      </c>
      <c r="K103" s="315">
        <f>=I103*L103</f>
        <v>15</v>
      </c>
      <c r="L103" s="315">
        <v>10</v>
      </c>
      <c r="M103" s="321" t="s"/>
      <c r="N103" s="321" t="s"/>
      <c r="O103" s="315" t="s">
        <v>1638</v>
      </c>
      <c r="P103" s="321" t="s"/>
      <c r="Q103" s="681">
        <v>95</v>
      </c>
      <c r="R103" s="692">
        <f>=H103*Q103</f>
        <v>950</v>
      </c>
      <c r="S103" s="315" t="s"/>
    </row>
    <row r="104" spans="1:19" customHeight="false">
      <c r="A104" s="322">
        <v>5</v>
      </c>
      <c r="B104" s="322">
        <v>4</v>
      </c>
      <c r="C104" s="322" t="s">
        <v>1639</v>
      </c>
      <c r="D104" s="315" t="s">
        <v>1640</v>
      </c>
      <c r="E104" s="315" t="s"/>
      <c r="F104" s="315" t="s">
        <v>1641</v>
      </c>
      <c r="G104" s="315" t="s">
        <v>32</v>
      </c>
      <c r="H104" s="315">
        <v>10</v>
      </c>
      <c r="I104" s="315">
        <v>1.5</v>
      </c>
      <c r="J104" s="315">
        <f>=I104*H104</f>
        <v>15</v>
      </c>
      <c r="K104" s="315">
        <f>=I104*L104</f>
        <v>15</v>
      </c>
      <c r="L104" s="315">
        <v>10</v>
      </c>
      <c r="M104" s="315" t="s"/>
      <c r="N104" s="315" t="s"/>
      <c r="O104" s="315" t="s">
        <v>400</v>
      </c>
      <c r="P104" s="315" t="s">
        <v>1642</v>
      </c>
      <c r="Q104" s="676" t="s"/>
      <c r="R104" s="692">
        <f>=H104*Q104</f>
        <v>0</v>
      </c>
      <c r="S104" s="676" t="s"/>
    </row>
    <row r="105" spans="1:19" customHeight="false">
      <c r="A105" s="681">
        <v>5</v>
      </c>
      <c r="B105" s="681">
        <v>5</v>
      </c>
      <c r="C105" s="681" t="s">
        <v>1643</v>
      </c>
      <c r="D105" s="681" t="s">
        <v>1644</v>
      </c>
      <c r="E105" s="321" t="s"/>
      <c r="F105" s="315" t="s">
        <v>1645</v>
      </c>
      <c r="G105" s="315" t="s">
        <v>45</v>
      </c>
      <c r="H105" s="315">
        <f>=L105+M105+N105</f>
        <v>30</v>
      </c>
      <c r="I105" s="315">
        <v>0</v>
      </c>
      <c r="J105" s="315">
        <f>=H105*I105</f>
        <v>0</v>
      </c>
      <c r="K105" s="315">
        <f>=L105*I105</f>
        <v>0</v>
      </c>
      <c r="L105" s="315">
        <v>30</v>
      </c>
      <c r="M105" s="315" t="s"/>
      <c r="N105" s="315" t="s"/>
      <c r="O105" s="315" t="s"/>
      <c r="P105" s="315" t="s">
        <v>1646</v>
      </c>
      <c r="Q105" s="681">
        <v>1</v>
      </c>
      <c r="R105" s="692">
        <f>=H105*Q105</f>
        <v>30</v>
      </c>
      <c r="S105" s="676" t="s"/>
    </row>
    <row r="106" spans="1:19" customHeight="false">
      <c r="A106" s="681">
        <v>6</v>
      </c>
      <c r="B106" s="681">
        <v>6</v>
      </c>
      <c r="C106" s="681" t="s">
        <v>1647</v>
      </c>
      <c r="D106" s="681" t="s">
        <v>1648</v>
      </c>
      <c r="E106" s="681" t="s">
        <v>1649</v>
      </c>
      <c r="F106" s="315" t="s">
        <v>1650</v>
      </c>
      <c r="G106" s="315" t="s">
        <v>32</v>
      </c>
      <c r="H106" s="315">
        <f>=L106+M106+N106</f>
        <v>2</v>
      </c>
      <c r="I106" s="315">
        <v>7.5</v>
      </c>
      <c r="J106" s="315">
        <f>=H106*I106</f>
        <v>15</v>
      </c>
      <c r="K106" s="315">
        <f>=L106*I106</f>
        <v>15</v>
      </c>
      <c r="L106" s="315">
        <v>2</v>
      </c>
      <c r="M106" s="315">
        <v>0</v>
      </c>
      <c r="N106" s="315" t="s"/>
      <c r="O106" s="315" t="s"/>
      <c r="P106" s="315" t="s">
        <v>1651</v>
      </c>
      <c r="Q106" s="681">
        <v>2</v>
      </c>
      <c r="R106" s="692">
        <f>=H106*Q106</f>
        <v>4</v>
      </c>
      <c r="S106" s="676" t="s"/>
    </row>
    <row r="107" spans="1:19" customHeight="false">
      <c r="A107" s="681">
        <v>8</v>
      </c>
      <c r="B107" s="681">
        <v>8</v>
      </c>
      <c r="C107" s="681" t="s">
        <v>1605</v>
      </c>
      <c r="D107" s="681" t="s">
        <v>637</v>
      </c>
      <c r="E107" s="321" t="s"/>
      <c r="F107" s="315" t="s">
        <v>1606</v>
      </c>
      <c r="G107" s="315" t="s">
        <v>32</v>
      </c>
      <c r="H107" s="315">
        <f>=L107+M107+N107</f>
        <v>3</v>
      </c>
      <c r="I107" s="315">
        <v>0.75</v>
      </c>
      <c r="J107" s="315">
        <f>=H107*I107</f>
        <v>2.25</v>
      </c>
      <c r="K107" s="315">
        <f>=L107*I107</f>
        <v>2.25</v>
      </c>
      <c r="L107" s="315">
        <v>3</v>
      </c>
      <c r="M107" s="315">
        <v>0</v>
      </c>
      <c r="N107" s="315" t="s"/>
      <c r="O107" s="315" t="s"/>
      <c r="P107" s="315" t="s">
        <v>1652</v>
      </c>
      <c r="Q107" s="681">
        <v>4</v>
      </c>
      <c r="R107" s="692">
        <f>=H107*Q107</f>
        <v>12</v>
      </c>
      <c r="S107" s="676" t="s"/>
    </row>
    <row r="108" spans="1:19" customHeight="false">
      <c r="A108" s="681">
        <v>9</v>
      </c>
      <c r="B108" s="681">
        <v>9</v>
      </c>
      <c r="C108" s="681" t="s">
        <v>1653</v>
      </c>
      <c r="D108" s="681" t="s">
        <v>1654</v>
      </c>
      <c r="E108" s="321" t="s"/>
      <c r="F108" s="315" t="s">
        <v>1655</v>
      </c>
      <c r="G108" s="315" t="s">
        <v>32</v>
      </c>
      <c r="H108" s="315">
        <f>=L108+M108+N108</f>
        <v>2</v>
      </c>
      <c r="I108" s="315">
        <v>0</v>
      </c>
      <c r="J108" s="315">
        <f>=H108*I108</f>
        <v>0</v>
      </c>
      <c r="K108" s="315">
        <f>=L108*I108</f>
        <v>0</v>
      </c>
      <c r="L108" s="315">
        <v>2</v>
      </c>
      <c r="M108" s="315">
        <v>0</v>
      </c>
      <c r="N108" s="315" t="s"/>
      <c r="O108" s="315" t="s"/>
      <c r="P108" s="315" t="s">
        <v>1656</v>
      </c>
      <c r="Q108" s="681">
        <v>1</v>
      </c>
      <c r="R108" s="692">
        <f>=H108*Q108</f>
        <v>2</v>
      </c>
      <c r="S108" s="676" t="s"/>
    </row>
    <row r="109" spans="1:19" customHeight="false">
      <c r="A109" s="681">
        <v>10</v>
      </c>
      <c r="B109" s="681">
        <v>10</v>
      </c>
      <c r="C109" s="681" t="s">
        <v>1657</v>
      </c>
      <c r="D109" s="681" t="s">
        <v>611</v>
      </c>
      <c r="E109" s="321" t="s"/>
      <c r="F109" s="315" t="s">
        <v>1658</v>
      </c>
      <c r="G109" s="315" t="s">
        <v>36</v>
      </c>
      <c r="H109" s="315">
        <f>=L109+M109+N109</f>
        <v>1</v>
      </c>
      <c r="I109" s="315">
        <v>7.5</v>
      </c>
      <c r="J109" s="315">
        <f>=H109*I109</f>
        <v>7.5</v>
      </c>
      <c r="K109" s="315">
        <f>=L109*I109</f>
        <v>7.5</v>
      </c>
      <c r="L109" s="315">
        <v>1</v>
      </c>
      <c r="M109" s="315">
        <v>0</v>
      </c>
      <c r="N109" s="315" t="s"/>
      <c r="O109" s="315" t="s"/>
      <c r="P109" s="315" t="s">
        <v>1659</v>
      </c>
      <c r="Q109" s="681">
        <v>1.5</v>
      </c>
      <c r="R109" s="692">
        <f>=H109*Q109</f>
        <v>1.5</v>
      </c>
      <c r="S109" s="676" t="s"/>
    </row>
    <row r="110" spans="1:19" ht="16" customHeight="true">
      <c r="A110" s="677" t="s">
        <v>1500</v>
      </c>
      <c r="B110" s="677" t="s"/>
      <c r="C110" s="677" t="s"/>
      <c r="D110" s="677" t="s"/>
      <c r="E110" s="677" t="s"/>
      <c r="F110" s="677" t="s"/>
      <c r="G110" s="677" t="s"/>
      <c r="H110" s="677" t="s"/>
      <c r="I110" s="677" t="s"/>
      <c r="J110" s="677" t="s"/>
      <c r="K110" s="677" t="s"/>
      <c r="L110" s="677" t="s"/>
      <c r="M110" s="677" t="s"/>
      <c r="N110" s="677" t="s"/>
      <c r="O110" s="677" t="s"/>
      <c r="P110" s="677" t="s"/>
      <c r="Q110" s="676" t="s"/>
      <c r="R110" s="676" t="s"/>
      <c r="S110" s="676" t="s"/>
    </row>
    <row r="111" spans="1:19" customHeight="false">
      <c r="A111" s="681">
        <v>11</v>
      </c>
      <c r="B111" s="681">
        <v>1</v>
      </c>
      <c r="C111" s="681" t="s">
        <v>1660</v>
      </c>
      <c r="D111" s="681" t="s">
        <v>1661</v>
      </c>
      <c r="E111" s="681" t="s">
        <v>1661</v>
      </c>
      <c r="F111" s="321" t="s"/>
      <c r="G111" s="681" t="s">
        <v>36</v>
      </c>
      <c r="H111" s="681">
        <f>=L111+M111+N111</f>
        <v>2</v>
      </c>
      <c r="I111" s="321" t="s"/>
      <c r="J111" s="321" t="s"/>
      <c r="K111" s="321" t="s"/>
      <c r="L111" s="681">
        <v>2</v>
      </c>
      <c r="M111" s="321" t="s"/>
      <c r="N111" s="321" t="s"/>
      <c r="O111" s="681" t="s">
        <v>1362</v>
      </c>
      <c r="P111" s="681" t="s">
        <v>1662</v>
      </c>
      <c r="Q111" s="676" t="s"/>
      <c r="R111" s="676" t="s"/>
      <c r="S111" s="676" t="s"/>
    </row>
    <row r="112" spans="1:19" ht="19" customHeight="true">
      <c r="A112" s="693" t="s">
        <v>1663</v>
      </c>
      <c r="B112" s="693" t="s"/>
      <c r="C112" s="693" t="s"/>
      <c r="D112" s="693" t="s"/>
      <c r="E112" s="693" t="s"/>
      <c r="F112" s="693" t="s"/>
      <c r="G112" s="693" t="s"/>
      <c r="H112" s="693" t="s"/>
      <c r="I112" s="693" t="s"/>
      <c r="J112" s="693" t="s"/>
      <c r="K112" s="693" t="s"/>
      <c r="L112" s="693" t="s"/>
      <c r="M112" s="693" t="s"/>
      <c r="N112" s="693" t="s"/>
      <c r="O112" s="693" t="s"/>
      <c r="P112" s="693" t="s"/>
      <c r="Q112" s="676" t="s"/>
      <c r="R112" s="676">
        <f>=2218*1.25</f>
        <v>2772.5</v>
      </c>
      <c r="S112" s="676">
        <v>2663</v>
      </c>
    </row>
    <row r="113" spans="1:19" customHeight="false">
      <c r="A113" s="681">
        <v>1</v>
      </c>
      <c r="B113" s="321" t="s"/>
      <c r="C113" s="681" t="s">
        <v>1664</v>
      </c>
      <c r="D113" s="681" t="s">
        <v>1665</v>
      </c>
      <c r="E113" s="321" t="s"/>
      <c r="F113" s="681" t="s">
        <v>1666</v>
      </c>
      <c r="G113" s="681" t="s">
        <v>36</v>
      </c>
      <c r="H113" s="681">
        <f>=L113+M113+N113</f>
        <v>3</v>
      </c>
      <c r="I113" s="681">
        <v>0.75</v>
      </c>
      <c r="J113" s="681">
        <f>=H113*I113</f>
        <v>2.25</v>
      </c>
      <c r="K113" s="681">
        <f>=L113*I113</f>
        <v>2.25</v>
      </c>
      <c r="L113" s="681">
        <v>3</v>
      </c>
      <c r="M113" s="321" t="s"/>
      <c r="N113" s="321" t="s"/>
      <c r="O113" s="681" t="s">
        <v>1667</v>
      </c>
      <c r="P113" s="681" t="s">
        <v>1668</v>
      </c>
      <c r="Q113" s="676" t="s"/>
      <c r="R113" s="676" t="s"/>
      <c r="S113" s="676" t="s"/>
    </row>
    <row r="114" spans="1:19" customHeight="false">
      <c r="A114" s="681">
        <v>2</v>
      </c>
      <c r="B114" s="681">
        <v>1</v>
      </c>
      <c r="C114" s="681" t="s">
        <v>1669</v>
      </c>
      <c r="D114" s="681" t="s">
        <v>1670</v>
      </c>
      <c r="E114" s="681" t="s">
        <v>1671</v>
      </c>
      <c r="F114" s="681" t="s">
        <v>1672</v>
      </c>
      <c r="G114" s="681" t="s">
        <v>36</v>
      </c>
      <c r="H114" s="681">
        <f>=L114+M114+N114</f>
        <v>3</v>
      </c>
      <c r="I114" s="681">
        <v>5</v>
      </c>
      <c r="J114" s="681">
        <f>=H114*I114</f>
        <v>15</v>
      </c>
      <c r="K114" s="681">
        <f>=L114*I114</f>
        <v>15</v>
      </c>
      <c r="L114" s="681">
        <v>3</v>
      </c>
      <c r="M114" s="321" t="s"/>
      <c r="N114" s="321" t="s"/>
      <c r="O114" s="681" t="s">
        <v>1667</v>
      </c>
      <c r="P114" s="681" t="s">
        <v>1673</v>
      </c>
      <c r="Q114" s="676" t="s"/>
      <c r="R114" s="676" t="s"/>
      <c r="S114" s="676" t="s"/>
    </row>
    <row r="115" spans="1:19" customHeight="false">
      <c r="A115" s="681">
        <v>3</v>
      </c>
      <c r="B115" s="681">
        <v>2</v>
      </c>
      <c r="C115" s="681" t="s">
        <v>1674</v>
      </c>
      <c r="D115" s="681" t="s">
        <v>1675</v>
      </c>
      <c r="E115" s="681" t="s">
        <v>1671</v>
      </c>
      <c r="F115" s="681" t="s">
        <v>1676</v>
      </c>
      <c r="G115" s="681" t="s">
        <v>36</v>
      </c>
      <c r="H115" s="681">
        <f>=L115+M115+N115</f>
        <v>3</v>
      </c>
      <c r="I115" s="681">
        <v>7.5</v>
      </c>
      <c r="J115" s="681">
        <f>=H115*I115</f>
        <v>22.5</v>
      </c>
      <c r="K115" s="681">
        <f>=L115*I115</f>
        <v>22.5</v>
      </c>
      <c r="L115" s="681">
        <v>3</v>
      </c>
      <c r="M115" s="321" t="s"/>
      <c r="N115" s="321" t="s"/>
      <c r="O115" s="681" t="s">
        <v>1667</v>
      </c>
      <c r="P115" s="681" t="s">
        <v>1677</v>
      </c>
      <c r="Q115" s="676" t="s"/>
      <c r="R115" s="676" t="s"/>
      <c r="S115" s="676" t="s"/>
    </row>
    <row r="116" spans="1:19" customHeight="false">
      <c r="A116" s="681">
        <v>4</v>
      </c>
      <c r="B116" s="321" t="s"/>
      <c r="C116" s="681" t="s">
        <v>1678</v>
      </c>
      <c r="D116" s="681" t="s">
        <v>1679</v>
      </c>
      <c r="E116" s="321" t="s"/>
      <c r="F116" s="681" t="s">
        <v>1680</v>
      </c>
      <c r="G116" s="681" t="s">
        <v>36</v>
      </c>
      <c r="H116" s="681">
        <f>=L116+M116+N116</f>
        <v>3</v>
      </c>
      <c r="I116" s="321" t="s"/>
      <c r="J116" s="681">
        <f>=H116*I116</f>
        <v>0</v>
      </c>
      <c r="K116" s="681">
        <f>=L116*I116</f>
        <v>0</v>
      </c>
      <c r="L116" s="681">
        <v>3</v>
      </c>
      <c r="M116" s="321" t="s"/>
      <c r="N116" s="321" t="s"/>
      <c r="O116" s="681" t="s">
        <v>1667</v>
      </c>
      <c r="P116" s="681" t="s">
        <v>1677</v>
      </c>
      <c r="Q116" s="676" t="s"/>
      <c r="R116" s="676" t="s"/>
      <c r="S116" s="676" t="s"/>
    </row>
    <row r="117" spans="1:19" customHeight="false">
      <c r="A117" s="681">
        <v>5</v>
      </c>
      <c r="B117" s="321" t="s"/>
      <c r="C117" s="681" t="s">
        <v>1681</v>
      </c>
      <c r="D117" s="681" t="s">
        <v>1682</v>
      </c>
      <c r="E117" s="321" t="s"/>
      <c r="F117" s="681" t="s">
        <v>1683</v>
      </c>
      <c r="G117" s="681" t="s">
        <v>36</v>
      </c>
      <c r="H117" s="681">
        <f>=L117+M117+N117</f>
        <v>3</v>
      </c>
      <c r="I117" s="321" t="s"/>
      <c r="J117" s="681">
        <f>=H117*I117</f>
        <v>0</v>
      </c>
      <c r="K117" s="681">
        <f>=L117*I117</f>
        <v>0</v>
      </c>
      <c r="L117" s="681">
        <v>3</v>
      </c>
      <c r="M117" s="321" t="s"/>
      <c r="N117" s="321" t="s"/>
      <c r="O117" s="681" t="s">
        <v>1667</v>
      </c>
      <c r="P117" s="681" t="s">
        <v>1677</v>
      </c>
      <c r="Q117" s="676" t="s"/>
      <c r="R117" s="676" t="s"/>
      <c r="S117" s="676" t="s"/>
    </row>
    <row r="118" spans="1:19" customHeight="false">
      <c r="A118" s="681">
        <v>6</v>
      </c>
      <c r="B118" s="321" t="s"/>
      <c r="C118" s="681" t="s">
        <v>1684</v>
      </c>
      <c r="D118" s="681" t="s">
        <v>1685</v>
      </c>
      <c r="E118" s="321" t="s"/>
      <c r="F118" s="681" t="s">
        <v>1686</v>
      </c>
      <c r="G118" s="681" t="s">
        <v>36</v>
      </c>
      <c r="H118" s="681">
        <f>=L118+M118+N118</f>
        <v>3</v>
      </c>
      <c r="I118" s="321" t="s"/>
      <c r="J118" s="681">
        <f>=H118*I118</f>
        <v>0</v>
      </c>
      <c r="K118" s="681">
        <f>=L118*I118</f>
        <v>0</v>
      </c>
      <c r="L118" s="681">
        <v>3</v>
      </c>
      <c r="M118" s="321" t="s"/>
      <c r="N118" s="321" t="s"/>
      <c r="O118" s="681" t="s">
        <v>1667</v>
      </c>
      <c r="P118" s="681" t="s">
        <v>1687</v>
      </c>
      <c r="Q118" s="676" t="s"/>
      <c r="R118" s="676" t="s"/>
      <c r="S118" s="676" t="s"/>
    </row>
    <row r="119" spans="1:19" customHeight="false">
      <c r="A119" s="681">
        <v>7</v>
      </c>
      <c r="B119" s="681">
        <v>3</v>
      </c>
      <c r="C119" s="681" t="s">
        <v>1688</v>
      </c>
      <c r="D119" s="681" t="s">
        <v>1689</v>
      </c>
      <c r="E119" s="321" t="s"/>
      <c r="F119" s="681" t="s">
        <v>1690</v>
      </c>
      <c r="G119" s="681" t="s">
        <v>36</v>
      </c>
      <c r="H119" s="681">
        <f>=L119+M119+N119</f>
        <v>3</v>
      </c>
      <c r="I119" s="681">
        <v>7.5</v>
      </c>
      <c r="J119" s="681">
        <f>=H119*I119</f>
        <v>22.5</v>
      </c>
      <c r="K119" s="681">
        <f>=L119*I119</f>
        <v>22.5</v>
      </c>
      <c r="L119" s="681">
        <v>3</v>
      </c>
      <c r="M119" s="321" t="s"/>
      <c r="N119" s="321" t="s"/>
      <c r="O119" s="681" t="s">
        <v>1667</v>
      </c>
      <c r="P119" s="681" t="s">
        <v>1687</v>
      </c>
      <c r="Q119" s="676" t="s"/>
      <c r="R119" s="676" t="s"/>
      <c r="S119" s="676" t="s"/>
    </row>
    <row r="120" spans="1:19" customHeight="false">
      <c r="A120" s="681">
        <v>8</v>
      </c>
      <c r="B120" s="321" t="s"/>
      <c r="C120" s="681" t="s">
        <v>1691</v>
      </c>
      <c r="D120" s="681" t="s">
        <v>1692</v>
      </c>
      <c r="E120" s="321" t="s"/>
      <c r="F120" s="681" t="s">
        <v>1693</v>
      </c>
      <c r="G120" s="681" t="s">
        <v>36</v>
      </c>
      <c r="H120" s="681">
        <f>=L120+M120+N120</f>
        <v>3</v>
      </c>
      <c r="I120" s="321" t="s"/>
      <c r="J120" s="681">
        <f>=H120*I120</f>
        <v>0</v>
      </c>
      <c r="K120" s="681">
        <f>=L120*I120</f>
        <v>0</v>
      </c>
      <c r="L120" s="681">
        <v>3</v>
      </c>
      <c r="M120" s="321" t="s"/>
      <c r="N120" s="321" t="s"/>
      <c r="O120" s="681" t="s">
        <v>1667</v>
      </c>
      <c r="P120" s="681" t="s">
        <v>1687</v>
      </c>
      <c r="Q120" s="676" t="s"/>
      <c r="R120" s="676" t="s"/>
      <c r="S120" s="676" t="s"/>
    </row>
    <row r="121" spans="1:19" customHeight="false">
      <c r="A121" s="681">
        <v>9</v>
      </c>
      <c r="B121" s="321" t="s"/>
      <c r="C121" s="681" t="s">
        <v>1694</v>
      </c>
      <c r="D121" s="681" t="s">
        <v>1695</v>
      </c>
      <c r="E121" s="321" t="s"/>
      <c r="F121" s="681" t="s">
        <v>1696</v>
      </c>
      <c r="G121" s="681" t="s">
        <v>32</v>
      </c>
      <c r="H121" s="681">
        <f>=L121+M121+N121</f>
        <v>3</v>
      </c>
      <c r="I121" s="321" t="s"/>
      <c r="J121" s="681">
        <f>=H121*I121</f>
        <v>0</v>
      </c>
      <c r="K121" s="681">
        <f>=L121*I121</f>
        <v>0</v>
      </c>
      <c r="L121" s="681">
        <v>3</v>
      </c>
      <c r="M121" s="321" t="s"/>
      <c r="N121" s="321" t="s"/>
      <c r="O121" s="681" t="s">
        <v>1667</v>
      </c>
      <c r="P121" s="681" t="s">
        <v>1687</v>
      </c>
      <c r="Q121" s="676" t="s"/>
      <c r="R121" s="676" t="s"/>
      <c r="S121" s="676" t="s"/>
    </row>
    <row r="122" spans="1:19" customHeight="false">
      <c r="A122" s="681">
        <v>10</v>
      </c>
      <c r="B122" s="681">
        <v>4</v>
      </c>
      <c r="C122" s="681" t="s">
        <v>1697</v>
      </c>
      <c r="D122" s="681" t="s">
        <v>1698</v>
      </c>
      <c r="E122" s="321" t="s"/>
      <c r="F122" s="681" t="s">
        <v>1699</v>
      </c>
      <c r="G122" s="681" t="s">
        <v>32</v>
      </c>
      <c r="H122" s="681">
        <f>=L122+M122+N122</f>
        <v>6</v>
      </c>
      <c r="I122" s="681">
        <v>7.5</v>
      </c>
      <c r="J122" s="681">
        <f>=H122*I122</f>
        <v>45</v>
      </c>
      <c r="K122" s="681">
        <f>=L122*I122</f>
        <v>45</v>
      </c>
      <c r="L122" s="681">
        <v>6</v>
      </c>
      <c r="M122" s="321" t="s"/>
      <c r="N122" s="321" t="s"/>
      <c r="O122" s="681" t="s">
        <v>1700</v>
      </c>
      <c r="P122" s="681" t="s">
        <v>1701</v>
      </c>
      <c r="Q122" s="676" t="s"/>
      <c r="R122" s="676" t="s"/>
      <c r="S122" s="676" t="s"/>
    </row>
    <row r="123" spans="1:19" customHeight="false">
      <c r="A123" s="681">
        <v>11</v>
      </c>
      <c r="B123" s="681">
        <v>5</v>
      </c>
      <c r="C123" s="681" t="s">
        <v>1702</v>
      </c>
      <c r="D123" s="681" t="s">
        <v>1703</v>
      </c>
      <c r="E123" s="321" t="s"/>
      <c r="F123" s="681" t="s">
        <v>1704</v>
      </c>
      <c r="G123" s="681" t="s">
        <v>32</v>
      </c>
      <c r="H123" s="681">
        <f>=L123+M123+N123</f>
        <v>6</v>
      </c>
      <c r="I123" s="681">
        <v>5</v>
      </c>
      <c r="J123" s="681">
        <f>=H123*I123</f>
        <v>30</v>
      </c>
      <c r="K123" s="681">
        <f>=L123*I123</f>
        <v>30</v>
      </c>
      <c r="L123" s="681">
        <v>6</v>
      </c>
      <c r="M123" s="321" t="s"/>
      <c r="N123" s="321" t="s"/>
      <c r="O123" s="681" t="s">
        <v>1700</v>
      </c>
      <c r="P123" s="681" t="s">
        <v>1705</v>
      </c>
      <c r="Q123" s="676" t="s"/>
      <c r="R123" s="676" t="s"/>
      <c r="S123" s="676" t="s"/>
    </row>
    <row r="124" spans="1:19" customHeight="false">
      <c r="A124" s="681">
        <v>12</v>
      </c>
      <c r="B124" s="681">
        <v>7</v>
      </c>
      <c r="C124" s="681" t="s">
        <v>1706</v>
      </c>
      <c r="D124" s="681" t="s">
        <v>1707</v>
      </c>
      <c r="E124" s="321" t="s"/>
      <c r="F124" s="681" t="s">
        <v>1708</v>
      </c>
      <c r="G124" s="681" t="s">
        <v>36</v>
      </c>
      <c r="H124" s="681">
        <f>=L124+M124+N124</f>
        <v>2</v>
      </c>
      <c r="I124" s="681">
        <v>10</v>
      </c>
      <c r="J124" s="681">
        <f>=H124*I124</f>
        <v>20</v>
      </c>
      <c r="K124" s="681">
        <f>=L124*I124</f>
        <v>20</v>
      </c>
      <c r="L124" s="681">
        <v>2</v>
      </c>
      <c r="M124" s="321" t="s"/>
      <c r="N124" s="321" t="s"/>
      <c r="O124" s="681" t="s">
        <v>1709</v>
      </c>
      <c r="P124" s="681" t="s">
        <v>1710</v>
      </c>
      <c r="Q124" s="676" t="s"/>
      <c r="R124" s="676" t="s"/>
      <c r="S124" s="676" t="s"/>
    </row>
    <row r="125" spans="1:19" customHeight="false">
      <c r="A125" s="681">
        <v>13</v>
      </c>
      <c r="B125" s="321" t="s"/>
      <c r="C125" s="681" t="s">
        <v>1711</v>
      </c>
      <c r="D125" s="681" t="s">
        <v>1712</v>
      </c>
      <c r="E125" s="321" t="s"/>
      <c r="F125" s="321" t="s"/>
      <c r="G125" s="681" t="s">
        <v>36</v>
      </c>
      <c r="H125" s="681">
        <f>=L125+M125+N125</f>
        <v>3</v>
      </c>
      <c r="I125" s="321" t="s"/>
      <c r="J125" s="681">
        <f>=H125*I125</f>
        <v>0</v>
      </c>
      <c r="K125" s="681">
        <f>=L125*I125</f>
        <v>0</v>
      </c>
      <c r="L125" s="681">
        <v>3</v>
      </c>
      <c r="M125" s="321" t="s"/>
      <c r="N125" s="321" t="s"/>
      <c r="O125" s="681" t="s">
        <v>1713</v>
      </c>
      <c r="P125" s="681" t="s">
        <v>1710</v>
      </c>
      <c r="Q125" s="676" t="s"/>
      <c r="R125" s="676" t="s"/>
      <c r="S125" s="676" t="s"/>
    </row>
    <row r="126" spans="1:19" customHeight="false">
      <c r="A126" s="681">
        <v>14</v>
      </c>
      <c r="B126" s="681">
        <v>8</v>
      </c>
      <c r="C126" s="681" t="s">
        <v>1714</v>
      </c>
      <c r="D126" s="681" t="s">
        <v>1715</v>
      </c>
      <c r="E126" s="681" t="s">
        <v>1716</v>
      </c>
      <c r="F126" s="681" t="s">
        <v>1717</v>
      </c>
      <c r="G126" s="681" t="s">
        <v>25</v>
      </c>
      <c r="H126" s="681">
        <f>=L126+M126+N126</f>
        <v>3</v>
      </c>
      <c r="I126" s="681">
        <v>7.5</v>
      </c>
      <c r="J126" s="681">
        <f>=H126*I126</f>
        <v>22.5</v>
      </c>
      <c r="K126" s="681">
        <f>=L126*I126</f>
        <v>15</v>
      </c>
      <c r="L126" s="681">
        <v>2</v>
      </c>
      <c r="M126" s="681">
        <v>1</v>
      </c>
      <c r="N126" s="321" t="s"/>
      <c r="O126" s="321" t="s"/>
      <c r="P126" s="681" t="s">
        <v>425</v>
      </c>
      <c r="Q126" s="676" t="s"/>
      <c r="R126" s="676" t="s"/>
      <c r="S126" s="676" t="s"/>
    </row>
    <row r="127" spans="1:19" customHeight="false">
      <c r="A127" s="681">
        <v>15</v>
      </c>
      <c r="B127" s="681">
        <v>9</v>
      </c>
      <c r="C127" s="681" t="s">
        <v>1718</v>
      </c>
      <c r="D127" s="681" t="s">
        <v>1719</v>
      </c>
      <c r="E127" s="681" t="s">
        <v>1720</v>
      </c>
      <c r="F127" s="681" t="s">
        <v>1721</v>
      </c>
      <c r="G127" s="681" t="s">
        <v>32</v>
      </c>
      <c r="H127" s="681">
        <f>=L127+M127+N127</f>
        <v>4</v>
      </c>
      <c r="I127" s="681">
        <v>0.5</v>
      </c>
      <c r="J127" s="681">
        <f>=H127*I127</f>
        <v>2</v>
      </c>
      <c r="K127" s="681">
        <f>=L127*I127</f>
        <v>1.5</v>
      </c>
      <c r="L127" s="681">
        <v>3</v>
      </c>
      <c r="M127" s="681">
        <v>1</v>
      </c>
      <c r="N127" s="321" t="s"/>
      <c r="O127" s="681" t="s">
        <v>1722</v>
      </c>
      <c r="P127" s="681" t="s">
        <v>411</v>
      </c>
      <c r="Q127" s="676" t="s"/>
      <c r="R127" s="676" t="s"/>
      <c r="S127" s="676" t="s"/>
    </row>
    <row r="128" spans="1:19" customHeight="false">
      <c r="A128" s="681">
        <v>16</v>
      </c>
      <c r="B128" s="681">
        <v>10</v>
      </c>
      <c r="C128" s="681" t="s">
        <v>1723</v>
      </c>
      <c r="D128" s="681" t="s">
        <v>1724</v>
      </c>
      <c r="E128" s="321" t="s"/>
      <c r="F128" s="321" t="s"/>
      <c r="G128" s="681" t="s">
        <v>36</v>
      </c>
      <c r="H128" s="681">
        <f>=L128+M128+N128</f>
        <v>1</v>
      </c>
      <c r="I128" s="681">
        <v>5</v>
      </c>
      <c r="J128" s="681">
        <f>=H128*I128</f>
        <v>5</v>
      </c>
      <c r="K128" s="681">
        <f>=L128*I128</f>
        <v>5</v>
      </c>
      <c r="L128" s="681">
        <v>1</v>
      </c>
      <c r="M128" s="321" t="s"/>
      <c r="N128" s="321" t="s"/>
      <c r="O128" s="681" t="s">
        <v>1725</v>
      </c>
      <c r="P128" s="681" t="s">
        <v>411</v>
      </c>
      <c r="Q128" s="676" t="s"/>
      <c r="R128" s="676" t="s"/>
      <c r="S128" s="676" t="s"/>
    </row>
    <row r="129" spans="1:19" customHeight="false">
      <c r="A129" s="681">
        <v>17</v>
      </c>
      <c r="B129" s="681">
        <v>11</v>
      </c>
      <c r="C129" s="681" t="s">
        <v>1726</v>
      </c>
      <c r="D129" s="681" t="s">
        <v>1727</v>
      </c>
      <c r="E129" s="321" t="s"/>
      <c r="F129" s="681" t="s">
        <v>1728</v>
      </c>
      <c r="G129" s="681" t="s">
        <v>32</v>
      </c>
      <c r="H129" s="681">
        <f>=L129+M129+N129</f>
        <v>4</v>
      </c>
      <c r="I129" s="681">
        <v>0.5</v>
      </c>
      <c r="J129" s="681">
        <f>=H129*I129</f>
        <v>2</v>
      </c>
      <c r="K129" s="681">
        <f>=L129*I129</f>
        <v>1.5</v>
      </c>
      <c r="L129" s="681">
        <v>3</v>
      </c>
      <c r="M129" s="681">
        <v>1</v>
      </c>
      <c r="N129" s="321" t="s"/>
      <c r="O129" s="681" t="s">
        <v>1725</v>
      </c>
      <c r="P129" s="681" t="s">
        <v>411</v>
      </c>
      <c r="Q129" s="676" t="s"/>
      <c r="R129" s="676" t="s"/>
      <c r="S129" s="676" t="s"/>
    </row>
    <row r="130" spans="1:19" customHeight="false">
      <c r="A130" s="681">
        <v>18</v>
      </c>
      <c r="B130" s="321" t="s"/>
      <c r="C130" s="681" t="s">
        <v>1729</v>
      </c>
      <c r="D130" s="681" t="s">
        <v>1730</v>
      </c>
      <c r="E130" s="681" t="s">
        <v>1421</v>
      </c>
      <c r="F130" s="681" t="s">
        <v>1731</v>
      </c>
      <c r="G130" s="681" t="s">
        <v>32</v>
      </c>
      <c r="H130" s="681">
        <f>=L130+M130+N130</f>
        <v>1</v>
      </c>
      <c r="I130" s="681">
        <v>0.75</v>
      </c>
      <c r="J130" s="681">
        <f>=H130*I130</f>
        <v>0.75</v>
      </c>
      <c r="K130" s="681">
        <f>=L130*I130</f>
        <v>0.75</v>
      </c>
      <c r="L130" s="681">
        <v>1</v>
      </c>
      <c r="M130" s="321" t="s"/>
      <c r="N130" s="321" t="s"/>
      <c r="O130" s="321" t="s"/>
      <c r="P130" s="681" t="s">
        <v>1732</v>
      </c>
      <c r="Q130" s="676" t="s"/>
      <c r="R130" s="676" t="s"/>
      <c r="S130" s="676" t="s"/>
    </row>
    <row r="131" spans="1:19" customHeight="false">
      <c r="A131" s="681">
        <v>19</v>
      </c>
      <c r="B131" s="321" t="s"/>
      <c r="C131" s="681" t="s">
        <v>1733</v>
      </c>
      <c r="D131" s="681" t="s">
        <v>1734</v>
      </c>
      <c r="E131" s="321" t="s"/>
      <c r="F131" s="681" t="s">
        <v>359</v>
      </c>
      <c r="G131" s="681" t="s">
        <v>45</v>
      </c>
      <c r="H131" s="681">
        <f>=L131+M131+N131</f>
        <v>6</v>
      </c>
      <c r="I131" s="681">
        <v>0.1</v>
      </c>
      <c r="J131" s="681">
        <f>=H131*I131</f>
        <v>0.6</v>
      </c>
      <c r="K131" s="681">
        <f>=L131*I131</f>
        <v>0.6</v>
      </c>
      <c r="L131" s="681">
        <v>6</v>
      </c>
      <c r="M131" s="321" t="s"/>
      <c r="N131" s="321" t="s"/>
      <c r="O131" s="321" t="s"/>
      <c r="P131" s="321" t="s"/>
      <c r="Q131" s="676" t="s"/>
      <c r="R131" s="676" t="s"/>
      <c r="S131" s="676" t="s"/>
    </row>
    <row r="132" spans="1:19" customHeight="false">
      <c r="A132" s="681">
        <v>20</v>
      </c>
      <c r="B132" s="321" t="s"/>
      <c r="C132" s="321" t="s"/>
      <c r="D132" s="681" t="s">
        <v>1735</v>
      </c>
      <c r="E132" s="321" t="s"/>
      <c r="F132" s="321" t="s"/>
      <c r="G132" s="681" t="s">
        <v>36</v>
      </c>
      <c r="H132" s="681">
        <f>=L132+M132+N132</f>
        <v>1</v>
      </c>
      <c r="I132" s="321" t="s"/>
      <c r="J132" s="681">
        <f>=H132*I132</f>
        <v>0</v>
      </c>
      <c r="K132" s="681">
        <f>=L132*I132</f>
        <v>0</v>
      </c>
      <c r="L132" s="681">
        <v>1</v>
      </c>
      <c r="M132" s="321" t="s"/>
      <c r="N132" s="321" t="s"/>
      <c r="O132" s="321" t="s"/>
      <c r="P132" s="321" t="s"/>
      <c r="Q132" s="676" t="s"/>
      <c r="R132" s="676" t="s"/>
      <c r="S132" s="676" t="s"/>
    </row>
    <row r="133" spans="1:19" customHeight="false">
      <c r="A133" s="681">
        <v>21</v>
      </c>
      <c r="B133" s="321" t="s"/>
      <c r="C133" s="321" t="s"/>
      <c r="D133" s="681" t="s">
        <v>1363</v>
      </c>
      <c r="E133" s="321" t="s"/>
      <c r="F133" s="681" t="s">
        <v>1736</v>
      </c>
      <c r="G133" s="681" t="s">
        <v>36</v>
      </c>
      <c r="H133" s="681">
        <f>=L133+M133+N133</f>
        <v>2</v>
      </c>
      <c r="I133" s="321" t="s"/>
      <c r="J133" s="681">
        <f>=H133*I133</f>
        <v>0</v>
      </c>
      <c r="K133" s="681">
        <f>=L133*I133</f>
        <v>0</v>
      </c>
      <c r="L133" s="681">
        <v>2</v>
      </c>
      <c r="M133" s="321" t="s"/>
      <c r="N133" s="321" t="s"/>
      <c r="O133" s="321" t="s"/>
      <c r="P133" s="681" t="s">
        <v>1737</v>
      </c>
      <c r="Q133" s="676" t="s"/>
      <c r="R133" s="676" t="s"/>
      <c r="S133" s="676" t="s"/>
    </row>
    <row r="134" spans="1:19" customHeight="false">
      <c r="A134" s="681">
        <v>22</v>
      </c>
      <c r="B134" s="321" t="s"/>
      <c r="C134" s="321" t="s"/>
      <c r="D134" s="681" t="s">
        <v>1738</v>
      </c>
      <c r="E134" s="681" t="s">
        <v>1107</v>
      </c>
      <c r="F134" s="681" t="s">
        <v>1739</v>
      </c>
      <c r="G134" s="681" t="s">
        <v>36</v>
      </c>
      <c r="H134" s="681">
        <f>=L134+M134+N134</f>
        <v>1</v>
      </c>
      <c r="I134" s="321" t="s"/>
      <c r="J134" s="681">
        <f>=H134*I134</f>
        <v>0</v>
      </c>
      <c r="K134" s="681">
        <f>=L134*I134</f>
        <v>0</v>
      </c>
      <c r="L134" s="681">
        <v>1</v>
      </c>
      <c r="M134" s="321" t="s"/>
      <c r="N134" s="321" t="s"/>
      <c r="O134" s="321" t="s"/>
      <c r="P134" s="681" t="s">
        <v>1740</v>
      </c>
      <c r="Q134" s="676" t="s"/>
      <c r="R134" s="676" t="s"/>
      <c r="S134" s="676" t="s"/>
    </row>
    <row r="135" spans="1:19" customHeight="false">
      <c r="A135" s="681">
        <v>23</v>
      </c>
      <c r="B135" s="321" t="s"/>
      <c r="C135" s="321" t="s"/>
      <c r="D135" s="681" t="s">
        <v>1741</v>
      </c>
      <c r="E135" s="681" t="s">
        <v>1742</v>
      </c>
      <c r="F135" s="681" t="s">
        <v>1742</v>
      </c>
      <c r="G135" s="681" t="s">
        <v>36</v>
      </c>
      <c r="H135" s="681">
        <f>=L135+M135+N135</f>
        <v>2</v>
      </c>
      <c r="I135" s="321" t="s"/>
      <c r="J135" s="681">
        <f>=H135*I135</f>
        <v>0</v>
      </c>
      <c r="K135" s="681">
        <f>=L135*I135</f>
        <v>0</v>
      </c>
      <c r="L135" s="681">
        <v>2</v>
      </c>
      <c r="M135" s="321" t="s"/>
      <c r="N135" s="321" t="s"/>
      <c r="O135" s="681" t="s">
        <v>1743</v>
      </c>
      <c r="P135" s="681" t="s">
        <v>411</v>
      </c>
      <c r="Q135" s="676" t="s"/>
      <c r="R135" s="676" t="s"/>
      <c r="S135" s="676" t="s"/>
    </row>
    <row r="136" spans="1:19" customHeight="false">
      <c r="A136" s="681">
        <v>24</v>
      </c>
      <c r="B136" s="321" t="s"/>
      <c r="C136" s="321" t="s"/>
      <c r="D136" s="681" t="s">
        <v>1741</v>
      </c>
      <c r="E136" s="681" t="s">
        <v>1742</v>
      </c>
      <c r="F136" s="681" t="s">
        <v>1742</v>
      </c>
      <c r="G136" s="681" t="s">
        <v>36</v>
      </c>
      <c r="H136" s="681">
        <f>=L136+M136+N136</f>
        <v>2</v>
      </c>
      <c r="I136" s="321" t="s"/>
      <c r="J136" s="681">
        <f>=H136*I136</f>
        <v>0</v>
      </c>
      <c r="K136" s="681">
        <f>=L136*I136</f>
        <v>0</v>
      </c>
      <c r="L136" s="681">
        <v>2</v>
      </c>
      <c r="M136" s="321" t="s"/>
      <c r="N136" s="321" t="s"/>
      <c r="O136" s="681" t="s">
        <v>1744</v>
      </c>
      <c r="P136" s="681" t="s">
        <v>411</v>
      </c>
      <c r="Q136" s="676" t="s"/>
      <c r="R136" s="676" t="s"/>
      <c r="S136" s="676" t="s"/>
    </row>
    <row r="137" spans="1:19" ht="19" customHeight="true">
      <c r="A137" s="693" t="s">
        <v>1745</v>
      </c>
      <c r="B137" s="693" t="s"/>
      <c r="C137" s="693" t="s"/>
      <c r="D137" s="693" t="s"/>
      <c r="E137" s="693" t="s"/>
      <c r="F137" s="693" t="s"/>
      <c r="G137" s="693" t="s"/>
      <c r="H137" s="693" t="s"/>
      <c r="I137" s="693" t="s"/>
      <c r="J137" s="693" t="s"/>
      <c r="K137" s="693" t="s"/>
      <c r="L137" s="693" t="s"/>
      <c r="M137" s="693" t="s"/>
      <c r="N137" s="693" t="s"/>
      <c r="O137" s="693" t="s"/>
      <c r="P137" s="693" t="s"/>
      <c r="Q137" s="676" t="s"/>
      <c r="R137" s="676">
        <f>=3012*1.25</f>
        <v>3765</v>
      </c>
      <c r="S137" s="676" t="s"/>
    </row>
    <row r="138" spans="1:19" ht="19" customHeight="true">
      <c r="A138" s="694" t="s">
        <v>1746</v>
      </c>
      <c r="B138" s="695" t="s"/>
      <c r="C138" s="695" t="s"/>
      <c r="D138" s="695" t="s"/>
      <c r="E138" s="695" t="s"/>
      <c r="F138" s="695" t="s"/>
      <c r="G138" s="695" t="s"/>
      <c r="H138" s="695" t="s"/>
      <c r="I138" s="695" t="s"/>
      <c r="J138" s="695" t="s"/>
      <c r="K138" s="695" t="s"/>
      <c r="L138" s="695" t="s"/>
      <c r="M138" s="695" t="s"/>
      <c r="N138" s="695" t="s"/>
      <c r="O138" s="695" t="s"/>
      <c r="P138" s="696" t="s"/>
      <c r="Q138" s="676" t="s"/>
      <c r="R138" s="676" t="s"/>
      <c r="S138" s="676" t="s"/>
    </row>
    <row r="139" spans="1:19" ht="19" customHeight="true">
      <c r="A139" s="697">
        <v>1</v>
      </c>
      <c r="B139" s="697">
        <v>1</v>
      </c>
      <c r="C139" s="687" t="s">
        <v>1747</v>
      </c>
      <c r="D139" s="697" t="s">
        <v>1213</v>
      </c>
      <c r="E139" s="697" t="s"/>
      <c r="F139" s="687" t="s">
        <v>1748</v>
      </c>
      <c r="G139" s="697" t="s">
        <v>32</v>
      </c>
      <c r="H139" s="697">
        <f>=L139+M139+N139</f>
        <v>3</v>
      </c>
      <c r="I139" s="697">
        <v>3</v>
      </c>
      <c r="J139" s="697">
        <f>=H139*I139</f>
        <v>9</v>
      </c>
      <c r="K139" s="697">
        <f>=L139*I139</f>
        <v>9</v>
      </c>
      <c r="L139" s="697">
        <v>3</v>
      </c>
      <c r="M139" s="697">
        <v>0</v>
      </c>
      <c r="N139" s="697" t="s"/>
      <c r="O139" s="697" t="s">
        <v>1749</v>
      </c>
      <c r="P139" s="697" t="s">
        <v>1750</v>
      </c>
      <c r="Q139" s="676" t="s"/>
      <c r="R139" s="676" t="s"/>
      <c r="S139" s="676" t="s"/>
    </row>
    <row r="140" spans="1:19" customHeight="false">
      <c r="A140" s="697">
        <v>2</v>
      </c>
      <c r="B140" s="697">
        <v>2</v>
      </c>
      <c r="C140" s="687" t="s">
        <v>1751</v>
      </c>
      <c r="D140" s="697" t="s">
        <v>1752</v>
      </c>
      <c r="E140" s="697" t="s">
        <v>1753</v>
      </c>
      <c r="F140" s="687" t="s">
        <v>1754</v>
      </c>
      <c r="G140" s="697" t="s">
        <v>32</v>
      </c>
      <c r="H140" s="697">
        <f>=L140+M140+N140</f>
        <v>4</v>
      </c>
      <c r="I140" s="697">
        <v>18.5</v>
      </c>
      <c r="J140" s="697">
        <f>=H140*I140</f>
        <v>74</v>
      </c>
      <c r="K140" s="697">
        <f>=L140*I140</f>
        <v>55.5</v>
      </c>
      <c r="L140" s="697">
        <v>3</v>
      </c>
      <c r="M140" s="697">
        <v>0</v>
      </c>
      <c r="N140" s="697">
        <v>1</v>
      </c>
      <c r="O140" s="697" t="s">
        <v>1749</v>
      </c>
      <c r="P140" s="697" t="s">
        <v>1750</v>
      </c>
      <c r="Q140" s="676" t="s"/>
      <c r="R140" s="676" t="s"/>
      <c r="S140" s="676" t="s"/>
    </row>
    <row r="141" spans="1:19" ht="57" customHeight="true">
      <c r="A141" s="697">
        <v>3</v>
      </c>
      <c r="B141" s="697">
        <v>3</v>
      </c>
      <c r="C141" s="687" t="s">
        <v>1755</v>
      </c>
      <c r="D141" s="697" t="s">
        <v>1756</v>
      </c>
      <c r="E141" s="697" t="s">
        <v>1757</v>
      </c>
      <c r="F141" s="687" t="s">
        <v>1758</v>
      </c>
      <c r="G141" s="697" t="s">
        <v>36</v>
      </c>
      <c r="H141" s="697">
        <f>=L141+M141+N141</f>
        <v>3</v>
      </c>
      <c r="I141" s="697">
        <v>97</v>
      </c>
      <c r="J141" s="697">
        <f>=H141*I141</f>
        <v>291</v>
      </c>
      <c r="K141" s="697">
        <f>=L141*I141</f>
        <v>291</v>
      </c>
      <c r="L141" s="697">
        <v>3</v>
      </c>
      <c r="M141" s="697">
        <v>0</v>
      </c>
      <c r="N141" s="697" t="s"/>
      <c r="O141" s="697" t="s">
        <v>1749</v>
      </c>
      <c r="P141" s="697" t="s">
        <v>1759</v>
      </c>
      <c r="Q141" s="676" t="s"/>
      <c r="R141" s="676" t="s"/>
      <c r="S141" s="676" t="s"/>
    </row>
    <row r="142" spans="1:19" customHeight="false">
      <c r="A142" s="697">
        <v>4</v>
      </c>
      <c r="B142" s="697">
        <v>4</v>
      </c>
      <c r="C142" s="687" t="s">
        <v>1760</v>
      </c>
      <c r="D142" s="687" t="s">
        <v>1761</v>
      </c>
      <c r="E142" s="697" t="s"/>
      <c r="F142" s="687" t="s">
        <v>1762</v>
      </c>
      <c r="G142" s="697" t="s">
        <v>32</v>
      </c>
      <c r="H142" s="697">
        <v>6</v>
      </c>
      <c r="I142" s="697">
        <v>0.09</v>
      </c>
      <c r="J142" s="697">
        <f>=H142*I142</f>
        <v>0.54</v>
      </c>
      <c r="K142" s="697">
        <f>=L142*I142</f>
        <v>0.54</v>
      </c>
      <c r="L142" s="697">
        <v>6</v>
      </c>
      <c r="M142" s="697">
        <v>0</v>
      </c>
      <c r="N142" s="697" t="s"/>
      <c r="O142" s="697" t="s">
        <v>1763</v>
      </c>
      <c r="P142" s="697" t="s"/>
      <c r="Q142" s="676" t="s"/>
      <c r="R142" s="676" t="s"/>
      <c r="S142" s="676" t="s"/>
    </row>
    <row r="143" spans="1:19" ht="34" customHeight="true">
      <c r="A143" s="697">
        <v>5</v>
      </c>
      <c r="B143" s="697">
        <v>5</v>
      </c>
      <c r="C143" s="697" t="s">
        <v>1764</v>
      </c>
      <c r="D143" s="697" t="s">
        <v>611</v>
      </c>
      <c r="E143" s="697" t="s"/>
      <c r="F143" s="697" t="s">
        <v>1765</v>
      </c>
      <c r="G143" s="697" t="s">
        <v>32</v>
      </c>
      <c r="H143" s="697">
        <f>=L143+M143+N143</f>
        <v>1</v>
      </c>
      <c r="I143" s="697">
        <v>7.5</v>
      </c>
      <c r="J143" s="697">
        <f>=H143*I143</f>
        <v>7.5</v>
      </c>
      <c r="K143" s="697">
        <f>=L143*I143</f>
        <v>7.5</v>
      </c>
      <c r="L143" s="697">
        <v>1</v>
      </c>
      <c r="M143" s="697" t="s"/>
      <c r="N143" s="697" t="s"/>
      <c r="O143" s="697" t="s">
        <v>1749</v>
      </c>
      <c r="P143" s="697" t="s">
        <v>1766</v>
      </c>
      <c r="Q143" s="676" t="s"/>
      <c r="R143" s="676" t="s"/>
      <c r="S143" s="676" t="s"/>
    </row>
    <row r="144" spans="1:19" customHeight="false">
      <c r="A144" s="697">
        <v>6</v>
      </c>
      <c r="B144" s="697">
        <v>6</v>
      </c>
      <c r="C144" s="698" t="s">
        <v>1767</v>
      </c>
      <c r="D144" s="697" t="s">
        <v>1768</v>
      </c>
      <c r="E144" s="697" t="s"/>
      <c r="F144" s="687" t="s">
        <v>1769</v>
      </c>
      <c r="G144" s="697" t="s">
        <v>36</v>
      </c>
      <c r="H144" s="697">
        <f>=L144+M144+N144</f>
        <v>1</v>
      </c>
      <c r="I144" s="697">
        <v>5</v>
      </c>
      <c r="J144" s="697">
        <f>=H144*I144</f>
        <v>5</v>
      </c>
      <c r="K144" s="697">
        <f>=L144*I144</f>
        <v>5</v>
      </c>
      <c r="L144" s="697">
        <v>1</v>
      </c>
      <c r="M144" s="697" t="s"/>
      <c r="N144" s="697" t="s"/>
      <c r="O144" s="697" t="s">
        <v>1749</v>
      </c>
      <c r="P144" s="697" t="s">
        <v>1770</v>
      </c>
      <c r="Q144" s="676" t="s"/>
      <c r="R144" s="676" t="s"/>
      <c r="S144" s="676" t="s"/>
    </row>
    <row r="145" spans="1:19" customHeight="false">
      <c r="A145" s="697">
        <v>7</v>
      </c>
      <c r="B145" s="697">
        <v>7</v>
      </c>
      <c r="C145" s="697" t="s">
        <v>1771</v>
      </c>
      <c r="D145" s="697" t="s">
        <v>1772</v>
      </c>
      <c r="E145" s="697" t="s">
        <v>1753</v>
      </c>
      <c r="F145" s="697" t="s">
        <v>1773</v>
      </c>
      <c r="G145" s="697" t="s">
        <v>32</v>
      </c>
      <c r="H145" s="697">
        <f>=L145+M145+N145</f>
        <v>4</v>
      </c>
      <c r="I145" s="697">
        <v>1.5</v>
      </c>
      <c r="J145" s="697">
        <f>=H145*I145</f>
        <v>6</v>
      </c>
      <c r="K145" s="697">
        <f>=L145*I145</f>
        <v>4.5</v>
      </c>
      <c r="L145" s="699">
        <v>3</v>
      </c>
      <c r="M145" s="699">
        <v>0</v>
      </c>
      <c r="N145" s="699">
        <v>1</v>
      </c>
      <c r="O145" s="697" t="s">
        <v>1749</v>
      </c>
      <c r="P145" s="697" t="s">
        <v>1774</v>
      </c>
      <c r="Q145" s="676" t="s"/>
      <c r="R145" s="676" t="s"/>
      <c r="S145" s="676" t="s"/>
    </row>
    <row r="146" spans="1:19" customHeight="false">
      <c r="A146" s="697">
        <v>8</v>
      </c>
      <c r="B146" s="697" t="s"/>
      <c r="C146" s="697" t="s">
        <v>1775</v>
      </c>
      <c r="D146" s="697" t="s">
        <v>1776</v>
      </c>
      <c r="E146" s="697" t="s"/>
      <c r="F146" s="687" t="s">
        <v>1777</v>
      </c>
      <c r="G146" s="697" t="s">
        <v>1778</v>
      </c>
      <c r="H146" s="697">
        <f>=L146+M146+N146</f>
        <v>3</v>
      </c>
      <c r="I146" s="697" t="s"/>
      <c r="J146" s="697" t="s"/>
      <c r="K146" s="697" t="s"/>
      <c r="L146" s="697">
        <v>3</v>
      </c>
      <c r="M146" s="697" t="s"/>
      <c r="N146" s="697" t="s"/>
      <c r="O146" s="697" t="s">
        <v>1749</v>
      </c>
      <c r="P146" s="697" t="s">
        <v>1750</v>
      </c>
      <c r="Q146" s="676" t="s"/>
      <c r="R146" s="676" t="s"/>
      <c r="S146" s="676" t="s"/>
    </row>
    <row r="147" spans="1:19" customHeight="false">
      <c r="A147" s="697">
        <v>9</v>
      </c>
      <c r="B147" s="697">
        <v>8</v>
      </c>
      <c r="C147" s="697" t="s">
        <v>1779</v>
      </c>
      <c r="D147" s="697" t="s">
        <v>1780</v>
      </c>
      <c r="E147" s="697" t="s">
        <v>1484</v>
      </c>
      <c r="F147" s="697" t="s">
        <v>1781</v>
      </c>
      <c r="G147" s="697" t="s">
        <v>32</v>
      </c>
      <c r="H147" s="697">
        <f>=L147+M147+N147</f>
        <v>4</v>
      </c>
      <c r="I147" s="697">
        <v>4</v>
      </c>
      <c r="J147" s="697">
        <f>=H147*I147</f>
        <v>16</v>
      </c>
      <c r="K147" s="697">
        <f>=L147*I147</f>
        <v>12</v>
      </c>
      <c r="L147" s="699">
        <v>3</v>
      </c>
      <c r="M147" s="699">
        <v>0</v>
      </c>
      <c r="N147" s="699">
        <v>1</v>
      </c>
      <c r="O147" s="697" t="s">
        <v>1749</v>
      </c>
      <c r="P147" s="697" t="s">
        <v>1782</v>
      </c>
      <c r="Q147" s="676" t="s"/>
      <c r="R147" s="676" t="s"/>
      <c r="S147" s="676" t="s"/>
    </row>
    <row r="148" spans="1:19" customHeight="false">
      <c r="A148" s="697">
        <v>10</v>
      </c>
      <c r="B148" s="697" t="s"/>
      <c r="C148" s="698" t="s">
        <v>1783</v>
      </c>
      <c r="D148" s="697" t="s">
        <v>1488</v>
      </c>
      <c r="E148" s="697" t="s"/>
      <c r="F148" s="697" t="s">
        <v>1784</v>
      </c>
      <c r="G148" s="697" t="s">
        <v>45</v>
      </c>
      <c r="H148" s="697">
        <f>=L148+M148+N148</f>
        <v>1</v>
      </c>
      <c r="I148" s="697" t="s"/>
      <c r="J148" s="697" t="s"/>
      <c r="K148" s="697" t="s"/>
      <c r="L148" s="697">
        <v>1</v>
      </c>
      <c r="M148" s="697" t="s"/>
      <c r="N148" s="697" t="s"/>
      <c r="O148" s="697" t="s">
        <v>1749</v>
      </c>
      <c r="P148" s="697" t="s">
        <v>1785</v>
      </c>
      <c r="Q148" s="676" t="s"/>
      <c r="R148" s="676" t="s"/>
      <c r="S148" s="676" t="s"/>
    </row>
    <row r="149" spans="1:19" customHeight="false">
      <c r="A149" s="694" t="s">
        <v>1786</v>
      </c>
      <c r="B149" s="695" t="s"/>
      <c r="C149" s="695" t="s"/>
      <c r="D149" s="695" t="s"/>
      <c r="E149" s="695" t="s"/>
      <c r="F149" s="695" t="s"/>
      <c r="G149" s="695" t="s"/>
      <c r="H149" s="695" t="s"/>
      <c r="I149" s="695" t="s"/>
      <c r="J149" s="695" t="s"/>
      <c r="K149" s="695" t="s"/>
      <c r="L149" s="695" t="s"/>
      <c r="M149" s="695" t="s"/>
      <c r="N149" s="695" t="s"/>
      <c r="O149" s="695" t="s"/>
      <c r="P149" s="696" t="s"/>
      <c r="Q149" s="676" t="s"/>
      <c r="R149" s="676" t="s"/>
      <c r="S149" s="676" t="s"/>
    </row>
    <row r="150" spans="1:19" customHeight="false">
      <c r="A150" s="697">
        <v>11</v>
      </c>
      <c r="B150" s="697">
        <v>9</v>
      </c>
      <c r="C150" s="697" t="s">
        <v>1787</v>
      </c>
      <c r="D150" s="697" t="s">
        <v>1788</v>
      </c>
      <c r="E150" s="697" t="s">
        <v>925</v>
      </c>
      <c r="F150" s="697" t="s">
        <v>1789</v>
      </c>
      <c r="G150" s="697" t="s">
        <v>32</v>
      </c>
      <c r="H150" s="697">
        <f>=L150+M150+N150</f>
        <v>2</v>
      </c>
      <c r="I150" s="697">
        <v>0.75</v>
      </c>
      <c r="J150" s="697" t="s"/>
      <c r="K150" s="697">
        <f>=L150*I150</f>
        <v>1.5</v>
      </c>
      <c r="L150" s="687">
        <v>2</v>
      </c>
      <c r="M150" s="697">
        <v>0</v>
      </c>
      <c r="N150" s="697" t="s"/>
      <c r="O150" s="697" t="s">
        <v>1790</v>
      </c>
      <c r="P150" s="697" t="s">
        <v>1791</v>
      </c>
      <c r="Q150" s="676" t="s"/>
      <c r="R150" s="676" t="s"/>
      <c r="S150" s="676" t="s"/>
    </row>
    <row r="151" spans="1:19" ht="34" customHeight="true">
      <c r="A151" s="697">
        <v>12</v>
      </c>
      <c r="B151" s="697">
        <v>10</v>
      </c>
      <c r="C151" s="697" t="s">
        <v>1792</v>
      </c>
      <c r="D151" s="697" t="s">
        <v>1793</v>
      </c>
      <c r="E151" s="697" t="s">
        <v>1794</v>
      </c>
      <c r="F151" s="697" t="s">
        <v>1795</v>
      </c>
      <c r="G151" s="697" t="s">
        <v>32</v>
      </c>
      <c r="H151" s="697">
        <f>=L151+M151+N151</f>
        <v>3</v>
      </c>
      <c r="I151" s="697">
        <v>373.2</v>
      </c>
      <c r="J151" s="697">
        <f>=H151*I151</f>
        <v>1119.6</v>
      </c>
      <c r="K151" s="697">
        <f>=L151*I151</f>
        <v>1119.6</v>
      </c>
      <c r="L151" s="697">
        <v>3</v>
      </c>
      <c r="M151" s="697" t="s"/>
      <c r="N151" s="697" t="s"/>
      <c r="O151" s="697" t="s">
        <v>1749</v>
      </c>
      <c r="P151" s="697" t="s">
        <v>1796</v>
      </c>
      <c r="Q151" s="676" t="s"/>
      <c r="R151" s="676" t="s"/>
      <c r="S151" s="676" t="s"/>
    </row>
    <row r="152" spans="1:19" customHeight="false">
      <c r="A152" s="697">
        <v>13</v>
      </c>
      <c r="B152" s="697" t="s"/>
      <c r="C152" s="698" t="s">
        <v>1797</v>
      </c>
      <c r="D152" s="697" t="s">
        <v>1798</v>
      </c>
      <c r="E152" s="697" t="s"/>
      <c r="F152" s="697" t="s">
        <v>1799</v>
      </c>
      <c r="G152" s="697" t="s">
        <v>32</v>
      </c>
      <c r="H152" s="697">
        <f>=L152+M152+N152</f>
        <v>1</v>
      </c>
      <c r="I152" s="697" t="s"/>
      <c r="J152" s="697" t="s"/>
      <c r="K152" s="697" t="s"/>
      <c r="L152" s="697">
        <v>1</v>
      </c>
      <c r="M152" s="697" t="s"/>
      <c r="N152" s="697" t="s"/>
      <c r="O152" s="697" t="s">
        <v>1749</v>
      </c>
      <c r="P152" s="697" t="s">
        <v>1800</v>
      </c>
      <c r="Q152" s="676" t="s"/>
      <c r="R152" s="676" t="s"/>
      <c r="S152" s="676" t="s"/>
    </row>
    <row r="153" spans="1:19" customHeight="false">
      <c r="A153" s="697">
        <v>14</v>
      </c>
      <c r="B153" s="697">
        <v>11</v>
      </c>
      <c r="C153" s="697" t="s">
        <v>1801</v>
      </c>
      <c r="D153" s="697" t="s">
        <v>1239</v>
      </c>
      <c r="E153" s="697" t="s">
        <v>1484</v>
      </c>
      <c r="F153" s="697" t="s">
        <v>1802</v>
      </c>
      <c r="G153" s="697" t="s">
        <v>32</v>
      </c>
      <c r="H153" s="697">
        <f>=L153+M153+N153</f>
        <v>4</v>
      </c>
      <c r="I153" s="697">
        <v>4</v>
      </c>
      <c r="J153" s="697">
        <f>=H153*I153</f>
        <v>16</v>
      </c>
      <c r="K153" s="697">
        <f>=L153*I153</f>
        <v>12</v>
      </c>
      <c r="L153" s="687">
        <v>3</v>
      </c>
      <c r="M153" s="687" t="s"/>
      <c r="N153" s="687">
        <v>1</v>
      </c>
      <c r="O153" s="697" t="s">
        <v>1749</v>
      </c>
      <c r="P153" s="697" t="s">
        <v>1803</v>
      </c>
      <c r="Q153" s="676" t="s"/>
      <c r="R153" s="676" t="s"/>
      <c r="S153" s="676" t="s"/>
    </row>
    <row r="154" spans="1:19" ht="34" customHeight="true">
      <c r="A154" s="697">
        <v>15</v>
      </c>
      <c r="B154" s="697">
        <v>12</v>
      </c>
      <c r="C154" s="697" t="s">
        <v>1804</v>
      </c>
      <c r="D154" s="697" t="s">
        <v>1805</v>
      </c>
      <c r="E154" s="697" t="s"/>
      <c r="F154" s="697" t="s">
        <v>1806</v>
      </c>
      <c r="G154" s="697" t="s">
        <v>32</v>
      </c>
      <c r="H154" s="697">
        <f>=L154+M154+N154</f>
        <v>3</v>
      </c>
      <c r="I154" s="697">
        <v>4</v>
      </c>
      <c r="J154" s="697">
        <f>=H154*I154</f>
        <v>12</v>
      </c>
      <c r="K154" s="697">
        <f>=L154*I154</f>
        <v>12</v>
      </c>
      <c r="L154" s="697">
        <v>3</v>
      </c>
      <c r="M154" s="697">
        <v>0</v>
      </c>
      <c r="N154" s="697" t="s"/>
      <c r="O154" s="697" t="s">
        <v>1749</v>
      </c>
      <c r="P154" s="697" t="s">
        <v>1807</v>
      </c>
      <c r="Q154" s="676" t="s"/>
      <c r="R154" s="676" t="s"/>
      <c r="S154" s="676" t="s"/>
    </row>
    <row r="155" spans="1:19" customHeight="false">
      <c r="A155" s="697">
        <v>16</v>
      </c>
      <c r="B155" s="697">
        <v>13</v>
      </c>
      <c r="C155" s="697" t="s">
        <v>1808</v>
      </c>
      <c r="D155" s="697" t="s">
        <v>1809</v>
      </c>
      <c r="E155" s="697" t="s"/>
      <c r="F155" s="697" t="s">
        <v>1810</v>
      </c>
      <c r="G155" s="697" t="s">
        <v>32</v>
      </c>
      <c r="H155" s="697">
        <f>=L155+M155+N155</f>
        <v>3</v>
      </c>
      <c r="I155" s="697">
        <v>4</v>
      </c>
      <c r="J155" s="697">
        <f>=H155*I155</f>
        <v>12</v>
      </c>
      <c r="K155" s="697">
        <f>=L155*I155</f>
        <v>12</v>
      </c>
      <c r="L155" s="699">
        <v>3</v>
      </c>
      <c r="M155" s="699" t="s"/>
      <c r="N155" s="699" t="s"/>
      <c r="O155" s="697" t="s">
        <v>1749</v>
      </c>
      <c r="P155" s="697" t="s">
        <v>1811</v>
      </c>
      <c r="Q155" s="676" t="s"/>
      <c r="R155" s="676" t="s"/>
      <c r="S155" s="676" t="s"/>
    </row>
    <row r="156" spans="1:19" customHeight="false">
      <c r="A156" s="697">
        <v>17</v>
      </c>
      <c r="B156" s="697">
        <v>17</v>
      </c>
      <c r="C156" s="697" t="s">
        <v>1812</v>
      </c>
      <c r="D156" s="697" t="s">
        <v>1813</v>
      </c>
      <c r="E156" s="697" t="s"/>
      <c r="F156" s="697" t="s">
        <v>1814</v>
      </c>
      <c r="G156" s="697" t="s">
        <v>32</v>
      </c>
      <c r="H156" s="697">
        <f>=L156+M156+N156</f>
        <v>1</v>
      </c>
      <c r="I156" s="697">
        <v>32</v>
      </c>
      <c r="J156" s="697">
        <f>=H156*I156</f>
        <v>32</v>
      </c>
      <c r="K156" s="697">
        <f>=L156*I156</f>
        <v>32</v>
      </c>
      <c r="L156" s="697">
        <v>1</v>
      </c>
      <c r="M156" s="697" t="s"/>
      <c r="N156" s="697" t="s"/>
      <c r="O156" s="697" t="s">
        <v>1749</v>
      </c>
      <c r="P156" s="700" t="s">
        <v>1815</v>
      </c>
      <c r="Q156" s="676" t="s"/>
      <c r="R156" s="676" t="s"/>
      <c r="S156" s="676" t="s"/>
    </row>
    <row r="157" spans="1:19" customHeight="false">
      <c r="A157" s="697">
        <v>18</v>
      </c>
      <c r="B157" s="697">
        <v>15</v>
      </c>
      <c r="C157" s="697" t="s">
        <v>1816</v>
      </c>
      <c r="D157" s="697" t="s">
        <v>1817</v>
      </c>
      <c r="E157" s="697" t="s"/>
      <c r="F157" s="697" t="s">
        <v>1818</v>
      </c>
      <c r="G157" s="697" t="s">
        <v>36</v>
      </c>
      <c r="H157" s="697">
        <f>=L157+M157+N157</f>
        <v>1</v>
      </c>
      <c r="I157" s="697">
        <v>15</v>
      </c>
      <c r="J157" s="697">
        <f>=H157*I157</f>
        <v>15</v>
      </c>
      <c r="K157" s="697">
        <f>=L157*I157</f>
        <v>15</v>
      </c>
      <c r="L157" s="697">
        <v>1</v>
      </c>
      <c r="M157" s="697" t="s"/>
      <c r="N157" s="697" t="s"/>
      <c r="O157" s="697" t="s">
        <v>1749</v>
      </c>
      <c r="P157" s="697" t="s">
        <v>1819</v>
      </c>
      <c r="Q157" s="676" t="s"/>
      <c r="R157" s="676" t="s"/>
      <c r="S157" s="676" t="s"/>
    </row>
    <row r="158" spans="1:19" customHeight="false">
      <c r="A158" s="697">
        <v>19</v>
      </c>
      <c r="B158" s="697">
        <v>16</v>
      </c>
      <c r="C158" s="697" t="s">
        <v>1820</v>
      </c>
      <c r="D158" s="697" t="s">
        <v>1821</v>
      </c>
      <c r="E158" s="697" t="s"/>
      <c r="F158" s="697" t="s">
        <v>1822</v>
      </c>
      <c r="G158" s="697" t="s">
        <v>32</v>
      </c>
      <c r="H158" s="697">
        <f>=L158+M158+N158</f>
        <v>1</v>
      </c>
      <c r="I158" s="697">
        <v>15</v>
      </c>
      <c r="J158" s="697">
        <f>=H158*I158</f>
        <v>15</v>
      </c>
      <c r="K158" s="697">
        <f>=L158*I158</f>
        <v>15</v>
      </c>
      <c r="L158" s="697">
        <v>1</v>
      </c>
      <c r="M158" s="697" t="s"/>
      <c r="N158" s="697" t="s"/>
      <c r="O158" s="697" t="s">
        <v>1749</v>
      </c>
      <c r="P158" s="697" t="s">
        <v>1823</v>
      </c>
      <c r="Q158" s="676" t="s"/>
      <c r="R158" s="676" t="s"/>
      <c r="S158" s="676" t="s"/>
    </row>
    <row r="159" spans="1:19" customHeight="false">
      <c r="A159" s="697">
        <v>20</v>
      </c>
      <c r="B159" s="697">
        <v>17</v>
      </c>
      <c r="C159" s="697" t="s">
        <v>1824</v>
      </c>
      <c r="D159" s="697" t="s">
        <v>1825</v>
      </c>
      <c r="E159" s="697" t="s"/>
      <c r="F159" s="697" t="s">
        <v>1826</v>
      </c>
      <c r="G159" s="697" t="s">
        <v>32</v>
      </c>
      <c r="H159" s="697">
        <f>=L159+M159+N159</f>
        <v>3</v>
      </c>
      <c r="I159" s="697">
        <v>7.5</v>
      </c>
      <c r="J159" s="697" t="s"/>
      <c r="K159" s="697">
        <f>=L159*I159</f>
        <v>22.5</v>
      </c>
      <c r="L159" s="697">
        <v>3</v>
      </c>
      <c r="M159" s="697">
        <v>0</v>
      </c>
      <c r="N159" s="697" t="s"/>
      <c r="O159" s="697" t="s">
        <v>1749</v>
      </c>
      <c r="P159" s="697" t="s">
        <v>1827</v>
      </c>
      <c r="Q159" s="676" t="s"/>
      <c r="R159" s="676" t="s"/>
      <c r="S159" s="676" t="s"/>
    </row>
    <row r="160" spans="1:19" ht="51" customHeight="true">
      <c r="A160" s="697">
        <v>21</v>
      </c>
      <c r="B160" s="697">
        <v>18</v>
      </c>
      <c r="C160" s="697" t="s">
        <v>1828</v>
      </c>
      <c r="D160" s="697" t="s">
        <v>1829</v>
      </c>
      <c r="E160" s="697" t="s"/>
      <c r="F160" s="697" t="s">
        <v>1830</v>
      </c>
      <c r="G160" s="697" t="s">
        <v>32</v>
      </c>
      <c r="H160" s="697">
        <f>=L160+M160+N160</f>
        <v>3</v>
      </c>
      <c r="I160" s="697">
        <v>3.7</v>
      </c>
      <c r="J160" s="697">
        <f>=H160*I160</f>
        <v>11.1</v>
      </c>
      <c r="K160" s="697">
        <f>=L160*I160</f>
        <v>11.1</v>
      </c>
      <c r="L160" s="697">
        <v>3</v>
      </c>
      <c r="M160" s="697" t="s"/>
      <c r="N160" s="697" t="s"/>
      <c r="O160" s="697" t="s">
        <v>441</v>
      </c>
      <c r="P160" s="697" t="s">
        <v>1803</v>
      </c>
      <c r="Q160" s="676" t="s"/>
      <c r="R160" s="676" t="s"/>
      <c r="S160" s="676" t="s"/>
    </row>
    <row r="161" spans="1:19" customHeight="false">
      <c r="A161" s="694" t="s">
        <v>1831</v>
      </c>
      <c r="B161" s="695" t="s"/>
      <c r="C161" s="695" t="s"/>
      <c r="D161" s="695" t="s"/>
      <c r="E161" s="695" t="s"/>
      <c r="F161" s="695" t="s"/>
      <c r="G161" s="695" t="s"/>
      <c r="H161" s="695" t="s"/>
      <c r="I161" s="695" t="s"/>
      <c r="J161" s="695" t="s"/>
      <c r="K161" s="695" t="s"/>
      <c r="L161" s="695" t="s"/>
      <c r="M161" s="695" t="s"/>
      <c r="N161" s="695" t="s"/>
      <c r="O161" s="696" t="s"/>
      <c r="P161" s="697" t="s"/>
      <c r="Q161" s="676" t="s"/>
      <c r="R161" s="676" t="s"/>
      <c r="S161" s="676" t="s"/>
    </row>
    <row r="162" spans="1:19" ht="58" customHeight="true">
      <c r="A162" s="697">
        <v>22</v>
      </c>
      <c r="B162" s="697" t="s"/>
      <c r="C162" s="697" t="s"/>
      <c r="D162" s="697" t="s">
        <v>1689</v>
      </c>
      <c r="E162" s="697" t="s"/>
      <c r="F162" s="697" t="s">
        <v>1832</v>
      </c>
      <c r="G162" s="697" t="s">
        <v>36</v>
      </c>
      <c r="H162" s="697">
        <f>=L162+M162+N162</f>
        <v>2</v>
      </c>
      <c r="I162" s="697">
        <v>2.5</v>
      </c>
      <c r="J162" s="697">
        <f>=H162*I162</f>
        <v>5</v>
      </c>
      <c r="K162" s="697">
        <f>=L162*I162</f>
        <v>5</v>
      </c>
      <c r="L162" s="697">
        <v>2</v>
      </c>
      <c r="M162" s="697" t="s"/>
      <c r="N162" s="697" t="s"/>
      <c r="O162" s="697" t="s"/>
      <c r="P162" s="697" t="s"/>
      <c r="Q162" s="676" t="s"/>
      <c r="R162" s="676" t="s"/>
      <c r="S162" s="676" t="s"/>
    </row>
    <row r="163" spans="1:19" customHeight="false">
      <c r="A163" s="697">
        <v>23</v>
      </c>
      <c r="B163" s="697">
        <v>19</v>
      </c>
      <c r="C163" s="687" t="s">
        <v>1833</v>
      </c>
      <c r="D163" s="697" t="s">
        <v>1539</v>
      </c>
      <c r="E163" s="697" t="s"/>
      <c r="F163" s="697" t="s">
        <v>1834</v>
      </c>
      <c r="G163" s="697" t="s">
        <v>32</v>
      </c>
      <c r="H163" s="697">
        <f>=L163+M163+N163</f>
        <v>4</v>
      </c>
      <c r="I163" s="697">
        <v>2.5</v>
      </c>
      <c r="J163" s="697">
        <f>=H163*I163</f>
        <v>10</v>
      </c>
      <c r="K163" s="697">
        <f>=L163*I163</f>
        <v>10</v>
      </c>
      <c r="L163" s="697">
        <v>4</v>
      </c>
      <c r="M163" s="697" t="s"/>
      <c r="N163" s="697" t="s"/>
      <c r="O163" s="697" t="s">
        <v>1835</v>
      </c>
      <c r="P163" s="697" t="s">
        <v>1836</v>
      </c>
      <c r="Q163" s="676" t="s"/>
      <c r="R163" s="676" t="s"/>
      <c r="S163" s="676" t="s"/>
    </row>
    <row r="164" spans="1:19" customHeight="false">
      <c r="A164" s="694" t="s">
        <v>1298</v>
      </c>
      <c r="B164" s="695" t="s"/>
      <c r="C164" s="695" t="s"/>
      <c r="D164" s="695" t="s"/>
      <c r="E164" s="695" t="s"/>
      <c r="F164" s="695" t="s"/>
      <c r="G164" s="695" t="s"/>
      <c r="H164" s="695" t="s"/>
      <c r="I164" s="695" t="s"/>
      <c r="J164" s="695" t="s"/>
      <c r="K164" s="695" t="s"/>
      <c r="L164" s="695" t="s"/>
      <c r="M164" s="695" t="s"/>
      <c r="N164" s="695" t="s"/>
      <c r="O164" s="695" t="s"/>
      <c r="P164" s="696" t="s"/>
      <c r="Q164" s="676" t="s"/>
      <c r="R164" s="676" t="s"/>
      <c r="S164" s="676" t="s"/>
    </row>
    <row r="165" spans="1:19" customHeight="false">
      <c r="A165" s="697">
        <v>24</v>
      </c>
      <c r="B165" s="681">
        <v>1</v>
      </c>
      <c r="C165" s="697" t="s">
        <v>1837</v>
      </c>
      <c r="D165" s="697" t="s">
        <v>1838</v>
      </c>
      <c r="E165" s="697" t="s"/>
      <c r="F165" s="697" t="s">
        <v>1839</v>
      </c>
      <c r="G165" s="697" t="s">
        <v>32</v>
      </c>
      <c r="H165" s="697">
        <f>=L165+M165+N165</f>
        <v>3</v>
      </c>
      <c r="I165" s="697" t="s"/>
      <c r="J165" s="697" t="s"/>
      <c r="K165" s="697" t="s"/>
      <c r="L165" s="697">
        <v>3</v>
      </c>
      <c r="M165" s="697" t="s"/>
      <c r="N165" s="697" t="s"/>
      <c r="O165" s="697" t="s">
        <v>1749</v>
      </c>
      <c r="P165" s="697" t="s"/>
      <c r="Q165" s="676" t="s"/>
      <c r="R165" s="676" t="s"/>
      <c r="S165" s="676" t="s"/>
    </row>
    <row r="166" spans="1:19" customHeight="false">
      <c r="A166" s="697">
        <v>25</v>
      </c>
      <c r="B166" s="681">
        <v>2</v>
      </c>
      <c r="C166" s="697" t="s">
        <v>1840</v>
      </c>
      <c r="D166" s="697" t="s">
        <v>1841</v>
      </c>
      <c r="E166" s="697" t="s"/>
      <c r="F166" s="697" t="s">
        <v>1842</v>
      </c>
      <c r="G166" s="697" t="s">
        <v>32</v>
      </c>
      <c r="H166" s="697">
        <f>=L166+M166+N166</f>
        <v>3</v>
      </c>
      <c r="I166" s="697" t="s"/>
      <c r="J166" s="697" t="s"/>
      <c r="K166" s="697" t="s"/>
      <c r="L166" s="697">
        <v>3</v>
      </c>
      <c r="M166" s="697" t="s"/>
      <c r="N166" s="697" t="s"/>
      <c r="O166" s="697" t="s">
        <v>1749</v>
      </c>
      <c r="P166" s="697" t="s"/>
      <c r="Q166" s="676" t="s"/>
      <c r="R166" s="676" t="s"/>
      <c r="S166" s="676" t="s"/>
    </row>
    <row r="167" spans="1:19" customHeight="false">
      <c r="A167" s="697">
        <v>26</v>
      </c>
      <c r="B167" s="681">
        <v>3</v>
      </c>
      <c r="C167" s="697" t="s">
        <v>1843</v>
      </c>
      <c r="D167" s="697" t="s">
        <v>1844</v>
      </c>
      <c r="E167" s="697" t="s">
        <v>1845</v>
      </c>
      <c r="F167" s="697" t="s">
        <v>1846</v>
      </c>
      <c r="G167" s="697" t="s">
        <v>32</v>
      </c>
      <c r="H167" s="697">
        <f>=L167+M167+N167</f>
        <v>2</v>
      </c>
      <c r="I167" s="697" t="s"/>
      <c r="J167" s="697" t="s"/>
      <c r="K167" s="697" t="s"/>
      <c r="L167" s="697">
        <v>2</v>
      </c>
      <c r="M167" s="697" t="s"/>
      <c r="N167" s="697" t="s"/>
      <c r="O167" s="697" t="s">
        <v>1847</v>
      </c>
      <c r="P167" s="697" t="s">
        <v>1362</v>
      </c>
      <c r="Q167" s="676" t="s"/>
      <c r="R167" s="676" t="s"/>
      <c r="S167" s="676" t="s"/>
    </row>
    <row r="168" spans="1:19" customHeight="false">
      <c r="A168" s="697">
        <v>27</v>
      </c>
      <c r="B168" s="681">
        <v>4</v>
      </c>
      <c r="C168" s="697" t="s">
        <v>1848</v>
      </c>
      <c r="D168" s="697" t="s">
        <v>1849</v>
      </c>
      <c r="E168" s="697" t="s">
        <v>1850</v>
      </c>
      <c r="F168" s="697" t="s">
        <v>1851</v>
      </c>
      <c r="G168" s="697" t="s">
        <v>32</v>
      </c>
      <c r="H168" s="697">
        <f>=L168+M168+N168</f>
        <v>1</v>
      </c>
      <c r="I168" s="697" t="s"/>
      <c r="J168" s="697" t="s"/>
      <c r="K168" s="697" t="s"/>
      <c r="L168" s="697">
        <v>1</v>
      </c>
      <c r="M168" s="697" t="s"/>
      <c r="N168" s="697" t="s"/>
      <c r="O168" s="697" t="s">
        <v>1852</v>
      </c>
      <c r="P168" s="697" t="s"/>
      <c r="Q168" s="676" t="s"/>
      <c r="R168" s="676" t="s"/>
      <c r="S168" s="676" t="s"/>
    </row>
    <row r="169" spans="1:19" customHeight="false">
      <c r="A169" s="697">
        <v>28</v>
      </c>
      <c r="B169" s="681">
        <v>5</v>
      </c>
      <c r="C169" s="697" t="s">
        <v>1853</v>
      </c>
      <c r="D169" s="697" t="s">
        <v>1361</v>
      </c>
      <c r="E169" s="697" t="s"/>
      <c r="F169" s="697" t="s"/>
      <c r="G169" s="697" t="s">
        <v>32</v>
      </c>
      <c r="H169" s="697">
        <f>=L169+M169+N169</f>
        <v>2</v>
      </c>
      <c r="I169" s="697" t="s"/>
      <c r="J169" s="697" t="s"/>
      <c r="K169" s="697" t="s"/>
      <c r="L169" s="697">
        <v>2</v>
      </c>
      <c r="M169" s="697" t="s"/>
      <c r="N169" s="697" t="s"/>
      <c r="O169" s="697" t="s">
        <v>1854</v>
      </c>
      <c r="P169" s="697" t="s">
        <v>1362</v>
      </c>
      <c r="Q169" s="676" t="s"/>
      <c r="R169" s="676" t="s"/>
      <c r="S169" s="676" t="s"/>
    </row>
    <row r="170" spans="1:19" customHeight="false">
      <c r="A170" s="697">
        <v>29</v>
      </c>
      <c r="B170" s="681">
        <v>6</v>
      </c>
      <c r="C170" s="697" t="s">
        <v>1853</v>
      </c>
      <c r="D170" s="697" t="s">
        <v>1361</v>
      </c>
      <c r="E170" s="697" t="s"/>
      <c r="F170" s="697" t="s"/>
      <c r="G170" s="697" t="s">
        <v>32</v>
      </c>
      <c r="H170" s="697">
        <f>=L170+M170+N170</f>
        <v>2</v>
      </c>
      <c r="I170" s="697" t="s"/>
      <c r="J170" s="697" t="s"/>
      <c r="K170" s="697" t="s"/>
      <c r="L170" s="697">
        <v>2</v>
      </c>
      <c r="M170" s="697" t="s"/>
      <c r="N170" s="697" t="s"/>
      <c r="O170" s="697" t="s">
        <v>1847</v>
      </c>
      <c r="P170" s="697" t="s">
        <v>1362</v>
      </c>
      <c r="Q170" s="676" t="s"/>
      <c r="R170" s="676" t="s"/>
      <c r="S170" s="676" t="s"/>
    </row>
    <row r="171" spans="1:19" customHeight="false">
      <c r="A171" s="697">
        <v>30</v>
      </c>
      <c r="B171" s="681">
        <v>7</v>
      </c>
      <c r="C171" s="697" t="s">
        <v>1855</v>
      </c>
      <c r="D171" s="697" t="s">
        <v>1504</v>
      </c>
      <c r="E171" s="697" t="s"/>
      <c r="F171" s="697" t="s"/>
      <c r="G171" s="697" t="s">
        <v>32</v>
      </c>
      <c r="H171" s="697">
        <f>=L171+M171+N171</f>
        <v>2</v>
      </c>
      <c r="I171" s="697" t="s"/>
      <c r="J171" s="697" t="s"/>
      <c r="K171" s="697" t="s"/>
      <c r="L171" s="697">
        <v>2</v>
      </c>
      <c r="M171" s="697" t="s"/>
      <c r="N171" s="697" t="s"/>
      <c r="O171" s="697" t="s">
        <v>1854</v>
      </c>
      <c r="P171" s="697" t="s">
        <v>1362</v>
      </c>
      <c r="Q171" s="676" t="s"/>
      <c r="R171" s="676" t="s"/>
      <c r="S171" s="676" t="s"/>
    </row>
    <row r="172" spans="1:19" customHeight="false">
      <c r="A172" s="697">
        <v>31</v>
      </c>
      <c r="B172" s="681">
        <v>8</v>
      </c>
      <c r="C172" s="697" t="s">
        <v>1855</v>
      </c>
      <c r="D172" s="697" t="s">
        <v>1504</v>
      </c>
      <c r="E172" s="697" t="s"/>
      <c r="F172" s="697" t="s"/>
      <c r="G172" s="697" t="s">
        <v>32</v>
      </c>
      <c r="H172" s="697">
        <f>=L172+M172+N172</f>
        <v>3</v>
      </c>
      <c r="I172" s="697" t="s"/>
      <c r="J172" s="697" t="s"/>
      <c r="K172" s="697" t="s"/>
      <c r="L172" s="697">
        <v>3</v>
      </c>
      <c r="M172" s="697" t="s"/>
      <c r="N172" s="697" t="s"/>
      <c r="O172" s="697" t="s">
        <v>1847</v>
      </c>
      <c r="P172" s="697" t="s">
        <v>1362</v>
      </c>
      <c r="Q172" s="676" t="s"/>
      <c r="R172" s="676" t="s"/>
      <c r="S172" s="676" t="s"/>
    </row>
    <row r="173" spans="1:19" customHeight="false">
      <c r="A173" s="697">
        <v>32</v>
      </c>
      <c r="B173" s="681">
        <v>9</v>
      </c>
      <c r="C173" s="697" t="s">
        <v>1856</v>
      </c>
      <c r="D173" s="697" t="s">
        <v>1857</v>
      </c>
      <c r="E173" s="697" t="s"/>
      <c r="F173" s="697" t="s"/>
      <c r="G173" s="697" t="s">
        <v>32</v>
      </c>
      <c r="H173" s="697">
        <f>=L173+M173+N173</f>
        <v>2</v>
      </c>
      <c r="I173" s="697" t="s"/>
      <c r="J173" s="697" t="s"/>
      <c r="K173" s="697" t="s"/>
      <c r="L173" s="697">
        <v>2</v>
      </c>
      <c r="M173" s="697" t="s"/>
      <c r="N173" s="697" t="s"/>
      <c r="O173" s="697" t="s">
        <v>1854</v>
      </c>
      <c r="P173" s="697" t="s">
        <v>1362</v>
      </c>
      <c r="Q173" s="676" t="s"/>
      <c r="R173" s="676" t="s"/>
      <c r="S173" s="676" t="s"/>
    </row>
    <row r="174" spans="1:19" ht="19" customHeight="true">
      <c r="A174" s="697">
        <v>33</v>
      </c>
      <c r="B174" s="681">
        <v>10</v>
      </c>
      <c r="C174" s="697" t="s">
        <v>1856</v>
      </c>
      <c r="D174" s="697" t="s">
        <v>1857</v>
      </c>
      <c r="E174" s="697" t="s"/>
      <c r="F174" s="697" t="s"/>
      <c r="G174" s="697" t="s">
        <v>32</v>
      </c>
      <c r="H174" s="697">
        <f>=L174+M174+N174</f>
        <v>2</v>
      </c>
      <c r="I174" s="697" t="s"/>
      <c r="J174" s="697" t="s"/>
      <c r="K174" s="697" t="s"/>
      <c r="L174" s="697">
        <v>2</v>
      </c>
      <c r="M174" s="697" t="s"/>
      <c r="N174" s="697" t="s"/>
      <c r="O174" s="697" t="s">
        <v>1854</v>
      </c>
      <c r="P174" s="697" t="s">
        <v>1362</v>
      </c>
      <c r="Q174" s="676" t="s"/>
      <c r="R174" s="676" t="s"/>
      <c r="S174" s="676" t="s"/>
    </row>
    <row r="175" spans="1:19" ht="19" customHeight="true">
      <c r="A175" s="701" t="s">
        <v>1858</v>
      </c>
      <c r="B175" s="702" t="s"/>
      <c r="C175" s="702" t="s"/>
      <c r="D175" s="702" t="s"/>
      <c r="E175" s="702" t="s"/>
      <c r="F175" s="702" t="s"/>
      <c r="G175" s="702" t="s"/>
      <c r="H175" s="702" t="s"/>
      <c r="I175" s="702" t="s"/>
      <c r="J175" s="702" t="s"/>
      <c r="K175" s="702" t="s"/>
      <c r="L175" s="702" t="s"/>
      <c r="M175" s="702" t="s"/>
      <c r="N175" s="702" t="s"/>
      <c r="O175" s="702" t="s"/>
      <c r="P175" s="703" t="s"/>
      <c r="Q175" s="676" t="s"/>
      <c r="R175" s="676">
        <f>=SUM(R176:R182)*1.25</f>
        <v>661.25</v>
      </c>
      <c r="S175" s="676" t="s"/>
    </row>
    <row r="176" spans="1:19" customHeight="false">
      <c r="A176" s="681">
        <v>1</v>
      </c>
      <c r="B176" s="681">
        <v>1</v>
      </c>
      <c r="C176" s="681" t="s">
        <v>1859</v>
      </c>
      <c r="D176" s="681" t="s">
        <v>1860</v>
      </c>
      <c r="E176" s="681" t="s">
        <v>1861</v>
      </c>
      <c r="F176" s="681" t="s">
        <v>1862</v>
      </c>
      <c r="G176" s="681" t="s">
        <v>32</v>
      </c>
      <c r="H176" s="697">
        <f>=L176+M176+N176</f>
        <v>2</v>
      </c>
      <c r="I176" s="681">
        <v>45</v>
      </c>
      <c r="J176" s="681">
        <f>=H176*I176</f>
        <v>90</v>
      </c>
      <c r="K176" s="681">
        <f>=L176*I176</f>
        <v>90</v>
      </c>
      <c r="L176" s="681">
        <v>2</v>
      </c>
      <c r="M176" s="681" t="s">
        <v>1863</v>
      </c>
      <c r="N176" s="681">
        <v>0</v>
      </c>
      <c r="O176" s="681" t="s">
        <v>1864</v>
      </c>
      <c r="P176" s="681" t="s">
        <v>1865</v>
      </c>
      <c r="Q176" s="681">
        <v>180</v>
      </c>
      <c r="R176" s="681">
        <f>=H176*Q176</f>
        <v>360</v>
      </c>
      <c r="S176" s="676" t="s"/>
    </row>
    <row r="177" spans="1:19" customHeight="false">
      <c r="A177" s="681">
        <v>2</v>
      </c>
      <c r="B177" s="681">
        <v>2</v>
      </c>
      <c r="C177" s="681" t="s">
        <v>1866</v>
      </c>
      <c r="D177" s="681" t="s">
        <v>1867</v>
      </c>
      <c r="E177" s="681" t="s">
        <v>1867</v>
      </c>
      <c r="F177" s="681" t="s">
        <v>1868</v>
      </c>
      <c r="G177" s="681" t="s">
        <v>45</v>
      </c>
      <c r="H177" s="697">
        <f>=L177+M177+N177</f>
        <v>1</v>
      </c>
      <c r="I177" s="681">
        <v>15</v>
      </c>
      <c r="J177" s="681">
        <f>=H177*I177</f>
        <v>15</v>
      </c>
      <c r="K177" s="681">
        <f>=L177*I177</f>
        <v>15</v>
      </c>
      <c r="L177" s="681">
        <v>1</v>
      </c>
      <c r="M177" s="681" t="s">
        <v>1863</v>
      </c>
      <c r="N177" s="681">
        <v>0</v>
      </c>
      <c r="O177" s="321" t="s"/>
      <c r="P177" s="681" t="s">
        <v>1865</v>
      </c>
      <c r="Q177" s="681">
        <v>8</v>
      </c>
      <c r="R177" s="681">
        <f>=H177*Q177</f>
        <v>8</v>
      </c>
      <c r="S177" s="676" t="s"/>
    </row>
    <row r="178" spans="1:19" customHeight="false">
      <c r="A178" s="681">
        <v>3</v>
      </c>
      <c r="B178" s="681">
        <v>3</v>
      </c>
      <c r="C178" s="681" t="s">
        <v>1869</v>
      </c>
      <c r="D178" s="681" t="s">
        <v>1870</v>
      </c>
      <c r="E178" s="681" t="s">
        <v>1871</v>
      </c>
      <c r="F178" s="681" t="s">
        <v>1872</v>
      </c>
      <c r="G178" s="681" t="s">
        <v>32</v>
      </c>
      <c r="H178" s="697">
        <f>=L178+M178+N178</f>
        <v>3</v>
      </c>
      <c r="I178" s="681">
        <v>110</v>
      </c>
      <c r="J178" s="681">
        <f>=H178*I178</f>
        <v>330</v>
      </c>
      <c r="K178" s="681">
        <f>=L178*I178</f>
        <v>220</v>
      </c>
      <c r="L178" s="681">
        <v>2</v>
      </c>
      <c r="M178" s="681" t="s">
        <v>522</v>
      </c>
      <c r="N178" s="681" t="s">
        <v>1863</v>
      </c>
      <c r="O178" s="681" t="s">
        <v>1873</v>
      </c>
      <c r="P178" s="681" t="s">
        <v>1874</v>
      </c>
      <c r="Q178" s="681">
        <v>25</v>
      </c>
      <c r="R178" s="681">
        <f>=H178*Q178</f>
        <v>75</v>
      </c>
      <c r="S178" s="676" t="s"/>
    </row>
    <row r="179" spans="1:19" customHeight="false">
      <c r="A179" s="681">
        <v>4</v>
      </c>
      <c r="B179" s="681">
        <v>4</v>
      </c>
      <c r="C179" s="681" t="s">
        <v>1869</v>
      </c>
      <c r="D179" s="681" t="s">
        <v>1870</v>
      </c>
      <c r="E179" s="681" t="s">
        <v>1871</v>
      </c>
      <c r="F179" s="681" t="s">
        <v>1875</v>
      </c>
      <c r="G179" s="681" t="s">
        <v>32</v>
      </c>
      <c r="H179" s="697">
        <f>=L179+M179+N179</f>
        <v>2</v>
      </c>
      <c r="I179" s="681">
        <v>55</v>
      </c>
      <c r="J179" s="681">
        <f>=H179*I179</f>
        <v>110</v>
      </c>
      <c r="K179" s="681">
        <f>=L179*I179</f>
        <v>110</v>
      </c>
      <c r="L179" s="681">
        <v>2</v>
      </c>
      <c r="M179" s="681">
        <v>0</v>
      </c>
      <c r="N179" s="681" t="s">
        <v>1863</v>
      </c>
      <c r="O179" s="681" t="s">
        <v>1873</v>
      </c>
      <c r="P179" s="681" t="s">
        <v>1874</v>
      </c>
      <c r="Q179" s="681">
        <v>20</v>
      </c>
      <c r="R179" s="681">
        <f>=H179*Q179</f>
        <v>40</v>
      </c>
      <c r="S179" s="676" t="s"/>
    </row>
    <row r="180" spans="1:19" customHeight="false">
      <c r="A180" s="681">
        <v>5</v>
      </c>
      <c r="B180" s="681">
        <v>5</v>
      </c>
      <c r="C180" s="681" t="s">
        <v>1876</v>
      </c>
      <c r="D180" s="681" t="s">
        <v>1877</v>
      </c>
      <c r="E180" s="681" t="s">
        <v>1878</v>
      </c>
      <c r="F180" s="681" t="s">
        <v>1879</v>
      </c>
      <c r="G180" s="681" t="s">
        <v>32</v>
      </c>
      <c r="H180" s="697">
        <f>=L180+M180+N180</f>
        <v>2</v>
      </c>
      <c r="I180" s="681">
        <v>5.5</v>
      </c>
      <c r="J180" s="681">
        <f>=H180*I180</f>
        <v>11</v>
      </c>
      <c r="K180" s="681">
        <f>=L180*I180</f>
        <v>5.5</v>
      </c>
      <c r="L180" s="681">
        <v>1</v>
      </c>
      <c r="M180" s="681" t="s">
        <v>522</v>
      </c>
      <c r="N180" s="681" t="s">
        <v>1863</v>
      </c>
      <c r="O180" s="681" t="s">
        <v>1880</v>
      </c>
      <c r="P180" s="681" t="s">
        <v>1874</v>
      </c>
      <c r="Q180" s="681">
        <v>3</v>
      </c>
      <c r="R180" s="681">
        <f>=H180*Q180</f>
        <v>6</v>
      </c>
      <c r="S180" s="676" t="s"/>
    </row>
    <row r="181" spans="1:19" customHeight="false">
      <c r="A181" s="681">
        <v>6</v>
      </c>
      <c r="B181" s="681">
        <v>6</v>
      </c>
      <c r="C181" s="322" t="s">
        <v>1881</v>
      </c>
      <c r="D181" s="322" t="s">
        <v>1882</v>
      </c>
      <c r="E181" s="322" t="s">
        <v>1883</v>
      </c>
      <c r="F181" s="322" t="s">
        <v>1884</v>
      </c>
      <c r="G181" s="322" t="s">
        <v>36</v>
      </c>
      <c r="H181" s="697">
        <f>=L181+M181+N181</f>
        <v>1</v>
      </c>
      <c r="I181" s="322">
        <v>10.5</v>
      </c>
      <c r="J181" s="322">
        <f>=H181*I181</f>
        <v>10.5</v>
      </c>
      <c r="K181" s="322">
        <f>=L181*I181</f>
        <v>10.5</v>
      </c>
      <c r="L181" s="322">
        <v>1</v>
      </c>
      <c r="M181" s="322" t="s"/>
      <c r="N181" s="322" t="s"/>
      <c r="O181" s="322" t="s">
        <v>1885</v>
      </c>
      <c r="P181" s="322" t="s">
        <v>1886</v>
      </c>
      <c r="Q181" s="676">
        <v>30</v>
      </c>
      <c r="R181" s="681">
        <f>=H181*Q181</f>
        <v>30</v>
      </c>
      <c r="S181" s="676" t="s"/>
    </row>
    <row r="182" spans="1:19" customHeight="false">
      <c r="A182" s="681">
        <v>7</v>
      </c>
      <c r="B182" s="681">
        <v>7</v>
      </c>
      <c r="C182" s="681" t="s">
        <v>1887</v>
      </c>
      <c r="D182" s="681" t="s">
        <v>637</v>
      </c>
      <c r="E182" s="321" t="s"/>
      <c r="F182" s="681" t="s">
        <v>1888</v>
      </c>
      <c r="G182" s="681" t="s">
        <v>45</v>
      </c>
      <c r="H182" s="697">
        <f>=L182+M182+N182</f>
        <v>2</v>
      </c>
      <c r="I182" s="681">
        <v>1.5</v>
      </c>
      <c r="J182" s="681">
        <f>=H182*I182</f>
        <v>3</v>
      </c>
      <c r="K182" s="681">
        <f>=L182*I182</f>
        <v>3</v>
      </c>
      <c r="L182" s="681">
        <v>2</v>
      </c>
      <c r="M182" s="681">
        <v>0</v>
      </c>
      <c r="N182" s="681">
        <v>0</v>
      </c>
      <c r="O182" s="321" t="s"/>
      <c r="P182" s="321" t="s"/>
      <c r="Q182" s="681">
        <v>5</v>
      </c>
      <c r="R182" s="681">
        <f>=H182*Q182</f>
        <v>10</v>
      </c>
      <c r="S182" s="676" t="s"/>
    </row>
    <row r="183" spans="1:19" customHeight="false">
      <c r="A183" s="681">
        <v>8</v>
      </c>
      <c r="B183" s="321" t="s"/>
      <c r="C183" s="681" t="s">
        <v>1889</v>
      </c>
      <c r="D183" s="681" t="s">
        <v>1363</v>
      </c>
      <c r="E183" s="321" t="s"/>
      <c r="F183" s="681" t="s">
        <v>1890</v>
      </c>
      <c r="G183" s="681" t="s">
        <v>45</v>
      </c>
      <c r="H183" s="697">
        <f>=L183+M183+N183</f>
        <v>1</v>
      </c>
      <c r="I183" s="321" t="s"/>
      <c r="J183" s="321" t="s"/>
      <c r="K183" s="321" t="s"/>
      <c r="L183" s="681">
        <v>1</v>
      </c>
      <c r="M183" s="321" t="s"/>
      <c r="N183" s="321" t="s"/>
      <c r="O183" s="681" t="s">
        <v>1891</v>
      </c>
      <c r="P183" s="681" t="s">
        <v>1892</v>
      </c>
      <c r="Q183" s="676" t="s"/>
      <c r="R183" s="676" t="s"/>
      <c r="S183" s="676" t="s"/>
    </row>
    <row r="184" spans="1:19" customHeight="false">
      <c r="A184" s="681">
        <v>9</v>
      </c>
      <c r="B184" s="321" t="s"/>
      <c r="C184" s="681" t="s">
        <v>1893</v>
      </c>
      <c r="D184" s="681" t="s">
        <v>1363</v>
      </c>
      <c r="E184" s="321" t="s"/>
      <c r="F184" s="681" t="s">
        <v>1890</v>
      </c>
      <c r="G184" s="681" t="s">
        <v>45</v>
      </c>
      <c r="H184" s="697">
        <f>=L184+M184+N184</f>
        <v>1</v>
      </c>
      <c r="I184" s="321" t="s"/>
      <c r="J184" s="321" t="s"/>
      <c r="K184" s="321" t="s"/>
      <c r="L184" s="681">
        <v>1</v>
      </c>
      <c r="M184" s="321" t="s"/>
      <c r="N184" s="321" t="s"/>
      <c r="O184" s="681" t="s">
        <v>1891</v>
      </c>
      <c r="P184" s="681" t="s">
        <v>1892</v>
      </c>
      <c r="Q184" s="676" t="s"/>
      <c r="R184" s="676" t="s"/>
      <c r="S184" s="676" t="s"/>
    </row>
    <row r="185" spans="1:19" customHeight="false">
      <c r="A185" s="681">
        <v>10</v>
      </c>
      <c r="B185" s="321" t="s"/>
      <c r="C185" s="681" t="s">
        <v>1894</v>
      </c>
      <c r="D185" s="681" t="s">
        <v>1363</v>
      </c>
      <c r="E185" s="321" t="s"/>
      <c r="F185" s="681" t="s">
        <v>1890</v>
      </c>
      <c r="G185" s="681" t="s">
        <v>45</v>
      </c>
      <c r="H185" s="697">
        <f>=L185+M185+N185</f>
        <v>1</v>
      </c>
      <c r="I185" s="321" t="s"/>
      <c r="J185" s="321" t="s"/>
      <c r="K185" s="321" t="s"/>
      <c r="L185" s="681">
        <v>1</v>
      </c>
      <c r="M185" s="321" t="s"/>
      <c r="N185" s="321" t="s"/>
      <c r="O185" s="681" t="s">
        <v>1891</v>
      </c>
      <c r="P185" s="681" t="s">
        <v>1895</v>
      </c>
      <c r="Q185" s="676" t="s"/>
      <c r="R185" s="676" t="s"/>
      <c r="S185" s="676" t="s"/>
    </row>
    <row r="186" spans="1:19" customHeight="false">
      <c r="A186" s="681">
        <v>11</v>
      </c>
      <c r="B186" s="321" t="s"/>
      <c r="C186" s="681" t="s">
        <v>1506</v>
      </c>
      <c r="D186" s="681" t="s">
        <v>1507</v>
      </c>
      <c r="E186" s="321" t="s"/>
      <c r="F186" s="681" t="s">
        <v>1896</v>
      </c>
      <c r="G186" s="681" t="s">
        <v>45</v>
      </c>
      <c r="H186" s="697">
        <f>=L186+M186+N186</f>
        <v>1</v>
      </c>
      <c r="I186" s="321" t="s"/>
      <c r="J186" s="321" t="s"/>
      <c r="K186" s="321" t="s"/>
      <c r="L186" s="681">
        <v>1</v>
      </c>
      <c r="M186" s="321" t="s"/>
      <c r="N186" s="321" t="s"/>
      <c r="O186" s="681" t="s">
        <v>1891</v>
      </c>
      <c r="P186" s="681" t="s">
        <v>1897</v>
      </c>
      <c r="Q186" s="676" t="s"/>
      <c r="R186" s="676" t="s"/>
      <c r="S186" s="676" t="s"/>
    </row>
    <row r="187" spans="1:19" customHeight="false">
      <c r="A187" s="681">
        <v>12</v>
      </c>
      <c r="B187" s="321" t="s"/>
      <c r="C187" s="681" t="s">
        <v>1898</v>
      </c>
      <c r="D187" s="681" t="s">
        <v>1107</v>
      </c>
      <c r="E187" s="321" t="s"/>
      <c r="F187" s="681" t="s">
        <v>1899</v>
      </c>
      <c r="G187" s="681" t="s">
        <v>45</v>
      </c>
      <c r="H187" s="697">
        <f>=L187+M187+N187</f>
        <v>1</v>
      </c>
      <c r="I187" s="321" t="s"/>
      <c r="J187" s="321" t="s"/>
      <c r="K187" s="321" t="s"/>
      <c r="L187" s="681">
        <v>1</v>
      </c>
      <c r="M187" s="321" t="s"/>
      <c r="N187" s="321" t="s"/>
      <c r="O187" s="681" t="s">
        <v>1891</v>
      </c>
      <c r="P187" s="681" t="s">
        <v>1900</v>
      </c>
      <c r="Q187" s="676" t="s"/>
      <c r="R187" s="676" t="s"/>
      <c r="S187" s="676" t="s"/>
    </row>
    <row r="188" spans="1:19" ht="19" customHeight="true">
      <c r="A188" s="688" t="s">
        <v>1901</v>
      </c>
      <c r="B188" s="688" t="s"/>
      <c r="C188" s="688" t="s"/>
      <c r="D188" s="688" t="s"/>
      <c r="E188" s="688" t="s"/>
      <c r="F188" s="688" t="s"/>
      <c r="G188" s="688" t="s"/>
      <c r="H188" s="688" t="s"/>
      <c r="I188" s="688" t="s"/>
      <c r="J188" s="688" t="s"/>
      <c r="K188" s="688" t="s"/>
      <c r="L188" s="688" t="s"/>
      <c r="M188" s="688" t="s"/>
      <c r="N188" s="688" t="s"/>
      <c r="O188" s="688" t="s"/>
      <c r="P188" s="688" t="s"/>
      <c r="Q188" s="676" t="s"/>
      <c r="R188" s="676">
        <f>=SUM(R190:R198)*1.35</f>
        <v>2170.8</v>
      </c>
      <c r="S188" s="676" t="s"/>
    </row>
    <row r="189" spans="1:19" ht="19" customHeight="true">
      <c r="A189" s="677" t="s">
        <v>1537</v>
      </c>
      <c r="B189" s="677" t="s"/>
      <c r="C189" s="677" t="s"/>
      <c r="D189" s="677" t="s"/>
      <c r="E189" s="677" t="s"/>
      <c r="F189" s="677" t="s"/>
      <c r="G189" s="677" t="s"/>
      <c r="H189" s="697" t="s"/>
      <c r="I189" s="677" t="s"/>
      <c r="J189" s="677" t="s"/>
      <c r="K189" s="677" t="s"/>
      <c r="L189" s="677" t="s"/>
      <c r="M189" s="677" t="s"/>
      <c r="N189" s="677" t="s"/>
      <c r="O189" s="677" t="s"/>
      <c r="P189" s="677" t="s"/>
      <c r="Q189" s="676" t="s"/>
      <c r="R189" s="676" t="s"/>
      <c r="S189" s="676" t="s"/>
    </row>
    <row r="190" spans="1:19" customHeight="false">
      <c r="A190" s="704">
        <v>1</v>
      </c>
      <c r="B190" s="704">
        <v>1</v>
      </c>
      <c r="C190" s="704" t="s">
        <v>1902</v>
      </c>
      <c r="D190" s="704" t="s">
        <v>1903</v>
      </c>
      <c r="E190" s="704" t="s">
        <v>1904</v>
      </c>
      <c r="F190" s="704" t="s">
        <v>1905</v>
      </c>
      <c r="G190" s="704" t="s">
        <v>36</v>
      </c>
      <c r="H190" s="697">
        <v>5</v>
      </c>
      <c r="I190" s="705">
        <v>250</v>
      </c>
      <c r="J190" s="322">
        <f>=H190*I190</f>
        <v>1250</v>
      </c>
      <c r="K190" s="322">
        <f>=L190*I190</f>
        <v>750</v>
      </c>
      <c r="L190" s="705">
        <v>3</v>
      </c>
      <c r="M190" s="705">
        <v>1</v>
      </c>
      <c r="N190" s="705" t="s"/>
      <c r="O190" s="704" t="s">
        <v>420</v>
      </c>
      <c r="P190" s="704" t="s">
        <v>1906</v>
      </c>
      <c r="Q190" s="676">
        <v>280</v>
      </c>
      <c r="R190" s="681">
        <f>=H190*Q190</f>
        <v>1400</v>
      </c>
      <c r="S190" s="676" t="s"/>
    </row>
    <row r="191" spans="1:19" customHeight="false">
      <c r="A191" s="704">
        <v>3</v>
      </c>
      <c r="B191" s="704">
        <v>3</v>
      </c>
      <c r="C191" s="704" t="s">
        <v>1907</v>
      </c>
      <c r="D191" s="704" t="s">
        <v>1908</v>
      </c>
      <c r="E191" s="704" t="s">
        <v>1909</v>
      </c>
      <c r="F191" s="704" t="s">
        <v>1910</v>
      </c>
      <c r="G191" s="704" t="s">
        <v>36</v>
      </c>
      <c r="H191" s="697">
        <f>=L191+M191+N191</f>
        <v>1</v>
      </c>
      <c r="I191" s="705">
        <v>0.75</v>
      </c>
      <c r="J191" s="322">
        <f>=H191*I191</f>
        <v>0.75</v>
      </c>
      <c r="K191" s="322">
        <f>=L191*I191</f>
        <v>0.75</v>
      </c>
      <c r="L191" s="705">
        <v>1</v>
      </c>
      <c r="M191" s="705" t="s"/>
      <c r="N191" s="705" t="s"/>
      <c r="O191" s="704" t="s">
        <v>1911</v>
      </c>
      <c r="P191" s="704" t="s"/>
      <c r="Q191" s="676" t="s"/>
      <c r="R191" s="676" t="s"/>
      <c r="S191" s="676" t="s"/>
    </row>
    <row r="192" spans="1:19" customHeight="false">
      <c r="A192" s="704">
        <v>4</v>
      </c>
      <c r="B192" s="704">
        <v>4</v>
      </c>
      <c r="C192" s="704" t="s">
        <v>1912</v>
      </c>
      <c r="D192" s="704" t="s">
        <v>1913</v>
      </c>
      <c r="E192" s="704" t="s">
        <v>1299</v>
      </c>
      <c r="F192" s="704" t="s">
        <v>1914</v>
      </c>
      <c r="G192" s="704" t="s">
        <v>36</v>
      </c>
      <c r="H192" s="697">
        <f>=L192+M192+N192</f>
        <v>3</v>
      </c>
      <c r="I192" s="705">
        <v>1.5</v>
      </c>
      <c r="J192" s="322">
        <f>=H192*I192</f>
        <v>4.5</v>
      </c>
      <c r="K192" s="322">
        <f>=L192*I192</f>
        <v>4.5</v>
      </c>
      <c r="L192" s="705">
        <v>3</v>
      </c>
      <c r="M192" s="705" t="s"/>
      <c r="N192" s="705" t="s"/>
      <c r="O192" s="704" t="s">
        <v>1915</v>
      </c>
      <c r="P192" s="704" t="s"/>
      <c r="Q192" s="676" t="s"/>
      <c r="R192" s="676" t="s"/>
      <c r="S192" s="676" t="s"/>
    </row>
    <row r="193" spans="1:19" customHeight="false">
      <c r="A193" s="704">
        <v>5</v>
      </c>
      <c r="B193" s="704">
        <v>5</v>
      </c>
      <c r="C193" s="704" t="s">
        <v>1916</v>
      </c>
      <c r="D193" s="704" t="s">
        <v>1913</v>
      </c>
      <c r="E193" s="704" t="s">
        <v>1299</v>
      </c>
      <c r="F193" s="704" t="s">
        <v>1917</v>
      </c>
      <c r="G193" s="704" t="s">
        <v>36</v>
      </c>
      <c r="H193" s="697">
        <f>=L193+M193+N193</f>
        <v>2</v>
      </c>
      <c r="I193" s="705">
        <v>1.5</v>
      </c>
      <c r="J193" s="322">
        <f>=H193*I193</f>
        <v>3</v>
      </c>
      <c r="K193" s="322">
        <f>=L193*I193</f>
        <v>3</v>
      </c>
      <c r="L193" s="705">
        <v>2</v>
      </c>
      <c r="M193" s="705" t="s"/>
      <c r="N193" s="705" t="s"/>
      <c r="O193" s="704" t="s">
        <v>1915</v>
      </c>
      <c r="P193" s="704" t="s"/>
      <c r="Q193" s="676" t="s"/>
      <c r="R193" s="676" t="s"/>
      <c r="S193" s="676" t="s"/>
    </row>
    <row r="194" spans="1:19" ht="57" customHeight="true">
      <c r="A194" s="704">
        <v>6</v>
      </c>
      <c r="B194" s="704">
        <v>6</v>
      </c>
      <c r="C194" s="704" t="s">
        <v>1918</v>
      </c>
      <c r="D194" s="704" t="s">
        <v>1919</v>
      </c>
      <c r="E194" s="704" t="s">
        <v>1920</v>
      </c>
      <c r="F194" s="704" t="s">
        <v>1921</v>
      </c>
      <c r="G194" s="704" t="s">
        <v>36</v>
      </c>
      <c r="H194" s="697">
        <f>=L194+M194+N194</f>
        <v>1</v>
      </c>
      <c r="I194" s="705">
        <v>5</v>
      </c>
      <c r="J194" s="322">
        <f>=H194*I194</f>
        <v>5</v>
      </c>
      <c r="K194" s="322">
        <f>=L194*I194</f>
        <v>5</v>
      </c>
      <c r="L194" s="705">
        <v>1</v>
      </c>
      <c r="M194" s="705" t="s"/>
      <c r="N194" s="705" t="s"/>
      <c r="O194" s="704" t="s">
        <v>1922</v>
      </c>
      <c r="P194" s="704" t="s"/>
      <c r="Q194" s="676">
        <v>8</v>
      </c>
      <c r="R194" s="681">
        <f>=H194*Q194</f>
        <v>8</v>
      </c>
      <c r="S194" s="676" t="s"/>
    </row>
    <row r="195" spans="1:19" ht="16" customHeight="true">
      <c r="A195" s="677" t="s">
        <v>1500</v>
      </c>
      <c r="B195" s="677" t="s"/>
      <c r="C195" s="677" t="s"/>
      <c r="D195" s="677" t="s"/>
      <c r="E195" s="677" t="s"/>
      <c r="F195" s="677" t="s"/>
      <c r="G195" s="677" t="s"/>
      <c r="H195" s="697" t="s"/>
      <c r="I195" s="677" t="s"/>
      <c r="J195" s="677" t="s"/>
      <c r="K195" s="677" t="s"/>
      <c r="L195" s="677" t="s"/>
      <c r="M195" s="677" t="s"/>
      <c r="N195" s="677" t="s"/>
      <c r="O195" s="677" t="s"/>
      <c r="P195" s="677" t="s"/>
      <c r="Q195" s="676" t="s"/>
      <c r="R195" s="676" t="s"/>
      <c r="S195" s="676" t="s"/>
    </row>
    <row r="196" spans="1:19" customHeight="false">
      <c r="A196" s="704">
        <v>7</v>
      </c>
      <c r="B196" s="704">
        <v>7</v>
      </c>
      <c r="C196" s="704" t="s"/>
      <c r="D196" s="704" t="s">
        <v>1105</v>
      </c>
      <c r="E196" s="704" t="s"/>
      <c r="F196" s="704" t="s">
        <v>1633</v>
      </c>
      <c r="G196" s="704" t="s">
        <v>36</v>
      </c>
      <c r="H196" s="697">
        <f>=L196+M196+N196</f>
        <v>0</v>
      </c>
      <c r="I196" s="705" t="s"/>
      <c r="J196" s="705" t="s"/>
      <c r="K196" s="705" t="s"/>
      <c r="L196" s="705" t="s"/>
      <c r="M196" s="705" t="s"/>
      <c r="N196" s="705" t="s"/>
      <c r="O196" s="704" t="s">
        <v>1915</v>
      </c>
      <c r="P196" s="704" t="s"/>
      <c r="Q196" s="676" t="s"/>
      <c r="R196" s="676" t="s"/>
      <c r="S196" s="676" t="s"/>
    </row>
    <row r="197" spans="1:19" customHeight="false">
      <c r="A197" s="704">
        <v>8</v>
      </c>
      <c r="B197" s="321" t="s"/>
      <c r="C197" s="681" t="s"/>
      <c r="D197" s="681" t="s">
        <v>1532</v>
      </c>
      <c r="E197" s="681" t="s"/>
      <c r="F197" s="681" t="s">
        <v>1923</v>
      </c>
      <c r="G197" s="681" t="s"/>
      <c r="H197" s="697">
        <f>=L197+M197+N197</f>
        <v>2</v>
      </c>
      <c r="I197" s="681" t="s">
        <v>36</v>
      </c>
      <c r="J197" s="681">
        <f>=N197+O197+P197</f>
        <v>0</v>
      </c>
      <c r="K197" s="321" t="s"/>
      <c r="L197" s="681">
        <v>2</v>
      </c>
      <c r="M197" s="681">
        <f>=N197*K197</f>
        <v>0</v>
      </c>
      <c r="N197" s="321" t="s"/>
      <c r="O197" s="321" t="s"/>
      <c r="P197" s="321" t="s"/>
      <c r="Q197" s="676" t="s"/>
      <c r="R197" s="676" t="s"/>
      <c r="S197" s="676" t="s"/>
    </row>
    <row r="198" spans="1:19" customHeight="false">
      <c r="A198" s="704">
        <v>9</v>
      </c>
      <c r="B198" s="321" t="s"/>
      <c r="C198" s="681" t="s"/>
      <c r="D198" s="681" t="s">
        <v>1924</v>
      </c>
      <c r="E198" s="681" t="s"/>
      <c r="F198" s="681" t="s"/>
      <c r="G198" s="681" t="s"/>
      <c r="H198" s="697">
        <f>=L198+M198+N198</f>
        <v>1</v>
      </c>
      <c r="I198" s="681" t="s"/>
      <c r="J198" s="681">
        <f>=N198+O198+P198</f>
        <v>0</v>
      </c>
      <c r="K198" s="321" t="s"/>
      <c r="L198" s="681">
        <v>1</v>
      </c>
      <c r="M198" s="681">
        <f>=N198*K198</f>
        <v>0</v>
      </c>
      <c r="N198" s="321" t="s"/>
      <c r="O198" s="321" t="s"/>
      <c r="P198" s="321" t="s"/>
      <c r="Q198" s="681">
        <v>200</v>
      </c>
      <c r="R198" s="681">
        <f>=H198*Q198</f>
        <v>200</v>
      </c>
      <c r="S198" s="676" t="s"/>
    </row>
    <row r="199" spans="1:19" customHeight="false">
      <c r="A199" s="706" t="s">
        <v>1925</v>
      </c>
      <c r="B199" s="706" t="s"/>
      <c r="C199" s="706" t="s"/>
      <c r="D199" s="706" t="s"/>
      <c r="E199" s="706" t="s"/>
      <c r="F199" s="706" t="s"/>
      <c r="G199" s="706" t="s"/>
      <c r="H199" s="706" t="s"/>
      <c r="I199" s="706" t="s"/>
      <c r="J199" s="706" t="s"/>
      <c r="K199" s="706" t="s"/>
      <c r="L199" s="706" t="s"/>
      <c r="M199" s="706" t="s"/>
      <c r="N199" s="706" t="s"/>
      <c r="O199" s="706" t="s"/>
      <c r="P199" s="706" t="s"/>
      <c r="Q199" s="676" t="s"/>
      <c r="R199" s="676">
        <f>=SUM(R200:R220)*2.05</f>
        <v>80.975</v>
      </c>
      <c r="S199" s="676" t="s"/>
    </row>
    <row r="200" spans="1:19" customHeight="false">
      <c r="A200" s="681">
        <v>1</v>
      </c>
      <c r="B200" s="681">
        <v>1</v>
      </c>
      <c r="C200" s="681" t="s">
        <v>1926</v>
      </c>
      <c r="D200" s="681" t="s">
        <v>1927</v>
      </c>
      <c r="E200" s="681" t="s">
        <v>1928</v>
      </c>
      <c r="F200" s="681" t="s">
        <v>1929</v>
      </c>
      <c r="G200" s="681" t="s">
        <v>32</v>
      </c>
      <c r="H200" s="697">
        <f>=L200+M200+N200</f>
        <v>1</v>
      </c>
      <c r="I200" s="681">
        <v>1.5</v>
      </c>
      <c r="J200" s="681">
        <f>=H200*I200</f>
        <v>1.5</v>
      </c>
      <c r="K200" s="681">
        <f>=L200*I200</f>
        <v>1.5</v>
      </c>
      <c r="L200" s="681">
        <v>1</v>
      </c>
      <c r="M200" s="321" t="s"/>
      <c r="N200" s="321" t="s"/>
      <c r="O200" s="681" t="s"/>
      <c r="P200" s="681" t="s">
        <v>411</v>
      </c>
      <c r="Q200" s="681">
        <v>2</v>
      </c>
      <c r="R200" s="681">
        <f>=H200*Q200</f>
        <v>2</v>
      </c>
      <c r="S200" s="676" t="s"/>
    </row>
    <row r="201" spans="1:19" customHeight="false">
      <c r="A201" s="681">
        <v>2</v>
      </c>
      <c r="B201" s="322">
        <v>2</v>
      </c>
      <c r="C201" s="707" t="s">
        <v>1930</v>
      </c>
      <c r="D201" s="322" t="s">
        <v>1931</v>
      </c>
      <c r="E201" s="322" t="s">
        <v>1932</v>
      </c>
      <c r="F201" s="322" t="s">
        <v>1933</v>
      </c>
      <c r="G201" s="322" t="s">
        <v>36</v>
      </c>
      <c r="H201" s="697">
        <f>=L201+M201+N201</f>
        <v>4</v>
      </c>
      <c r="I201" s="322">
        <v>0.55</v>
      </c>
      <c r="J201" s="322">
        <f>=H201*I201</f>
        <v>2.2</v>
      </c>
      <c r="K201" s="322">
        <f>=L201*I201</f>
        <v>1.1</v>
      </c>
      <c r="L201" s="322">
        <v>2</v>
      </c>
      <c r="M201" s="322">
        <v>2</v>
      </c>
      <c r="N201" s="322" t="s"/>
      <c r="O201" s="322" t="s">
        <v>1934</v>
      </c>
      <c r="P201" s="322" t="s">
        <v>1935</v>
      </c>
      <c r="Q201" s="676">
        <v>2</v>
      </c>
      <c r="R201" s="681">
        <f>=H201*Q201</f>
        <v>8</v>
      </c>
      <c r="S201" s="676" t="s"/>
    </row>
    <row r="202" spans="1:19" customHeight="false">
      <c r="A202" s="681">
        <v>3</v>
      </c>
      <c r="B202" s="322" t="s"/>
      <c r="C202" s="707" t="s"/>
      <c r="D202" s="322" t="s">
        <v>1741</v>
      </c>
      <c r="E202" s="322" t="s"/>
      <c r="F202" s="322" t="s">
        <v>1936</v>
      </c>
      <c r="G202" s="322" t="s">
        <v>45</v>
      </c>
      <c r="H202" s="697">
        <f>=L202+M202+N202</f>
        <v>0</v>
      </c>
      <c r="I202" s="322" t="s"/>
      <c r="J202" s="322" t="s"/>
      <c r="K202" s="322" t="s"/>
      <c r="L202" s="322" t="s"/>
      <c r="M202" s="322" t="s"/>
      <c r="N202" s="322" t="s"/>
      <c r="O202" s="322" t="s">
        <v>1937</v>
      </c>
      <c r="P202" s="322" t="s"/>
      <c r="Q202" s="676" t="s"/>
      <c r="R202" s="681">
        <f>=H202*Q202</f>
        <v>0</v>
      </c>
      <c r="S202" s="676" t="s"/>
    </row>
    <row r="203" spans="1:19" customHeight="false">
      <c r="A203" s="681">
        <v>4</v>
      </c>
      <c r="B203" s="322" t="s"/>
      <c r="C203" s="707" t="s">
        <v>1938</v>
      </c>
      <c r="D203" s="322" t="s">
        <v>1114</v>
      </c>
      <c r="E203" s="322" t="s"/>
      <c r="F203" s="322" t="s">
        <v>1939</v>
      </c>
      <c r="G203" s="322" t="s">
        <v>45</v>
      </c>
      <c r="H203" s="697">
        <f>=L203+M203+N203</f>
        <v>0</v>
      </c>
      <c r="I203" s="322" t="s"/>
      <c r="J203" s="322" t="s"/>
      <c r="K203" s="322" t="s"/>
      <c r="L203" s="322" t="s"/>
      <c r="M203" s="322" t="s"/>
      <c r="N203" s="322" t="s"/>
      <c r="O203" s="322" t="s">
        <v>1940</v>
      </c>
      <c r="P203" s="322" t="s"/>
      <c r="Q203" s="676" t="s"/>
      <c r="R203" s="681">
        <f>=H203*Q203</f>
        <v>0</v>
      </c>
      <c r="S203" s="676" t="s"/>
    </row>
    <row r="204" spans="1:19" customHeight="false">
      <c r="A204" s="681">
        <v>5</v>
      </c>
      <c r="B204" s="681">
        <v>3</v>
      </c>
      <c r="C204" s="681" t="s">
        <v>1941</v>
      </c>
      <c r="D204" s="681" t="s">
        <v>1942</v>
      </c>
      <c r="E204" s="681" t="s">
        <v>1932</v>
      </c>
      <c r="F204" s="681" t="s">
        <v>1943</v>
      </c>
      <c r="G204" s="681" t="s">
        <v>45</v>
      </c>
      <c r="H204" s="697">
        <f>=L204+M204+N204</f>
        <v>2</v>
      </c>
      <c r="I204" s="681">
        <v>0.25</v>
      </c>
      <c r="J204" s="681">
        <f>=H204*I204</f>
        <v>0.5</v>
      </c>
      <c r="K204" s="681">
        <f>=L204*I204</f>
        <v>0.25</v>
      </c>
      <c r="L204" s="681">
        <v>1</v>
      </c>
      <c r="M204" s="681">
        <v>1</v>
      </c>
      <c r="N204" s="321" t="s"/>
      <c r="O204" s="681" t="s"/>
      <c r="P204" s="681" t="s">
        <v>411</v>
      </c>
      <c r="Q204" s="681">
        <v>2</v>
      </c>
      <c r="R204" s="681">
        <f>=H204*Q204</f>
        <v>4</v>
      </c>
      <c r="S204" s="676" t="s"/>
    </row>
    <row r="205" spans="1:19" customHeight="false">
      <c r="A205" s="681">
        <v>6</v>
      </c>
      <c r="B205" s="321" t="s"/>
      <c r="C205" s="681" t="s">
        <v>1944</v>
      </c>
      <c r="D205" s="681" t="s">
        <v>1945</v>
      </c>
      <c r="E205" s="681" t="s">
        <v>1946</v>
      </c>
      <c r="F205" s="681" t="s">
        <v>1947</v>
      </c>
      <c r="G205" s="681" t="s">
        <v>32</v>
      </c>
      <c r="H205" s="697">
        <f>=L205+M205+N205</f>
        <v>1</v>
      </c>
      <c r="I205" s="321" t="s"/>
      <c r="J205" s="681">
        <f>=H205*I205</f>
        <v>0</v>
      </c>
      <c r="K205" s="681">
        <f>=L205*I205</f>
        <v>0</v>
      </c>
      <c r="L205" s="681">
        <v>1</v>
      </c>
      <c r="M205" s="321" t="s"/>
      <c r="N205" s="321" t="s"/>
      <c r="O205" s="681" t="s"/>
      <c r="P205" s="681" t="s">
        <v>411</v>
      </c>
      <c r="Q205" s="681">
        <v>3</v>
      </c>
      <c r="R205" s="681">
        <f>=H205*Q205</f>
        <v>3</v>
      </c>
      <c r="S205" s="676" t="s"/>
    </row>
    <row r="206" spans="1:19" customHeight="false">
      <c r="A206" s="681">
        <v>7</v>
      </c>
      <c r="B206" s="321" t="s"/>
      <c r="C206" s="681" t="s">
        <v>1948</v>
      </c>
      <c r="D206" s="681" t="s">
        <v>1949</v>
      </c>
      <c r="E206" s="681" t="s"/>
      <c r="F206" s="681" t="s">
        <v>1950</v>
      </c>
      <c r="G206" s="681" t="s">
        <v>32</v>
      </c>
      <c r="H206" s="697">
        <f>=L206+M206+N206</f>
        <v>3</v>
      </c>
      <c r="I206" s="321" t="s"/>
      <c r="J206" s="681">
        <f>=H206*I206</f>
        <v>0</v>
      </c>
      <c r="K206" s="681">
        <f>=L206*I206</f>
        <v>0</v>
      </c>
      <c r="L206" s="681">
        <v>2</v>
      </c>
      <c r="M206" s="681">
        <v>1</v>
      </c>
      <c r="N206" s="321" t="s"/>
      <c r="O206" s="681" t="s"/>
      <c r="P206" s="681" t="s">
        <v>411</v>
      </c>
      <c r="Q206" s="681">
        <v>1</v>
      </c>
      <c r="R206" s="681">
        <f>=H206*Q206</f>
        <v>3</v>
      </c>
      <c r="S206" s="676" t="s"/>
    </row>
    <row r="207" spans="1:19" customHeight="false">
      <c r="A207" s="681">
        <v>8</v>
      </c>
      <c r="B207" s="681">
        <v>4</v>
      </c>
      <c r="C207" s="681" t="s">
        <v>1951</v>
      </c>
      <c r="D207" s="681" t="s">
        <v>1952</v>
      </c>
      <c r="E207" s="681" t="s">
        <v>1928</v>
      </c>
      <c r="F207" s="681" t="s">
        <v>1929</v>
      </c>
      <c r="G207" s="681" t="s">
        <v>32</v>
      </c>
      <c r="H207" s="697">
        <f>=L207+M207+N207</f>
        <v>1</v>
      </c>
      <c r="I207" s="681">
        <v>1.5</v>
      </c>
      <c r="J207" s="681">
        <f>=H207*I207</f>
        <v>1.5</v>
      </c>
      <c r="K207" s="681">
        <f>=L207*I207</f>
        <v>1.5</v>
      </c>
      <c r="L207" s="681">
        <v>1</v>
      </c>
      <c r="M207" s="321" t="s"/>
      <c r="N207" s="321" t="s"/>
      <c r="O207" s="681" t="s"/>
      <c r="P207" s="681" t="s">
        <v>411</v>
      </c>
      <c r="Q207" s="681">
        <v>2</v>
      </c>
      <c r="R207" s="681">
        <f>=H207*Q207</f>
        <v>2</v>
      </c>
      <c r="S207" s="676" t="s"/>
    </row>
    <row r="208" spans="1:19" customHeight="false">
      <c r="A208" s="681">
        <v>9</v>
      </c>
      <c r="B208" s="322" t="s"/>
      <c r="C208" s="707" t="s"/>
      <c r="D208" s="322" t="s">
        <v>1741</v>
      </c>
      <c r="E208" s="322" t="s"/>
      <c r="F208" s="322" t="s">
        <v>1936</v>
      </c>
      <c r="G208" s="322" t="s">
        <v>45</v>
      </c>
      <c r="H208" s="697" t="s"/>
      <c r="I208" s="322" t="s"/>
      <c r="J208" s="322" t="s"/>
      <c r="K208" s="322" t="s"/>
      <c r="L208" s="322" t="s"/>
      <c r="M208" s="321" t="s"/>
      <c r="N208" s="322" t="s"/>
      <c r="O208" s="322" t="s"/>
      <c r="P208" s="322" t="s">
        <v>1953</v>
      </c>
      <c r="Q208" s="676" t="s"/>
      <c r="R208" s="681">
        <f>=H208*Q208</f>
        <v>0</v>
      </c>
      <c r="S208" s="676" t="s"/>
    </row>
    <row r="209" spans="1:19" customHeight="false">
      <c r="A209" s="681">
        <v>10</v>
      </c>
      <c r="B209" s="322" t="s"/>
      <c r="C209" s="707" t="s">
        <v>1954</v>
      </c>
      <c r="D209" s="322" t="s">
        <v>1114</v>
      </c>
      <c r="E209" s="322" t="s"/>
      <c r="F209" s="322" t="s">
        <v>1939</v>
      </c>
      <c r="G209" s="322" t="s">
        <v>45</v>
      </c>
      <c r="H209" s="697" t="s"/>
      <c r="I209" s="322" t="s"/>
      <c r="J209" s="322" t="s"/>
      <c r="K209" s="322" t="s"/>
      <c r="L209" s="322" t="s"/>
      <c r="M209" s="321" t="s"/>
      <c r="N209" s="322" t="s"/>
      <c r="O209" s="322" t="s"/>
      <c r="P209" s="322" t="s">
        <v>1955</v>
      </c>
      <c r="Q209" s="676" t="s"/>
      <c r="R209" s="681">
        <f>=H209*Q209</f>
        <v>0</v>
      </c>
      <c r="S209" s="676" t="s"/>
    </row>
    <row r="210" spans="1:19" customHeight="false">
      <c r="A210" s="681">
        <v>11</v>
      </c>
      <c r="B210" s="681">
        <v>5</v>
      </c>
      <c r="C210" s="681" t="s">
        <v>1956</v>
      </c>
      <c r="D210" s="681" t="s">
        <v>1957</v>
      </c>
      <c r="E210" s="681" t="s">
        <v>1928</v>
      </c>
      <c r="F210" s="681" t="s">
        <v>1929</v>
      </c>
      <c r="G210" s="681" t="s">
        <v>32</v>
      </c>
      <c r="H210" s="697">
        <f>=L210+M210+N210</f>
        <v>1</v>
      </c>
      <c r="I210" s="681">
        <v>1.5</v>
      </c>
      <c r="J210" s="681">
        <f>=H210*I210</f>
        <v>1.5</v>
      </c>
      <c r="K210" s="681">
        <f>=L210*I210</f>
        <v>1.5</v>
      </c>
      <c r="L210" s="681">
        <v>1</v>
      </c>
      <c r="M210" s="321" t="s"/>
      <c r="N210" s="321" t="s"/>
      <c r="O210" s="681" t="s"/>
      <c r="P210" s="681" t="s">
        <v>411</v>
      </c>
      <c r="Q210" s="681">
        <v>2</v>
      </c>
      <c r="R210" s="681">
        <f>=H210*Q210</f>
        <v>2</v>
      </c>
      <c r="S210" s="676" t="s"/>
    </row>
    <row r="211" spans="1:19" customHeight="false">
      <c r="A211" s="681">
        <v>12</v>
      </c>
      <c r="B211" s="321" t="s"/>
      <c r="C211" s="681" t="s">
        <v>1958</v>
      </c>
      <c r="D211" s="681" t="s">
        <v>1959</v>
      </c>
      <c r="E211" s="681" t="s"/>
      <c r="F211" s="681" t="s">
        <v>1960</v>
      </c>
      <c r="G211" s="681" t="s">
        <v>36</v>
      </c>
      <c r="H211" s="697">
        <f>=L211+M211+N211</f>
        <v>1</v>
      </c>
      <c r="I211" s="321" t="s"/>
      <c r="J211" s="321" t="s"/>
      <c r="K211" s="321" t="s"/>
      <c r="L211" s="681">
        <v>1</v>
      </c>
      <c r="M211" s="321" t="s"/>
      <c r="N211" s="321" t="s"/>
      <c r="O211" s="681" t="s">
        <v>1961</v>
      </c>
      <c r="P211" s="681" t="s"/>
      <c r="Q211" s="681">
        <v>1.5</v>
      </c>
      <c r="R211" s="681">
        <f>=H211*Q211</f>
        <v>1.5</v>
      </c>
      <c r="S211" s="676" t="s"/>
    </row>
    <row r="212" spans="1:19" customHeight="false">
      <c r="A212" s="681">
        <v>13</v>
      </c>
      <c r="B212" s="322">
        <v>6</v>
      </c>
      <c r="C212" s="707" t="s">
        <v>1962</v>
      </c>
      <c r="D212" s="322" t="s">
        <v>1719</v>
      </c>
      <c r="E212" s="322" t="s">
        <v>1932</v>
      </c>
      <c r="F212" s="322" t="s">
        <v>1963</v>
      </c>
      <c r="G212" s="322" t="s">
        <v>36</v>
      </c>
      <c r="H212" s="697">
        <f>=L212+M212+N212</f>
        <v>3</v>
      </c>
      <c r="I212" s="322">
        <v>0.37</v>
      </c>
      <c r="J212" s="322">
        <f>=H212*I212</f>
        <v>1.11</v>
      </c>
      <c r="K212" s="322">
        <f>=L212*I212</f>
        <v>0.74</v>
      </c>
      <c r="L212" s="322">
        <v>2</v>
      </c>
      <c r="M212" s="322">
        <v>1</v>
      </c>
      <c r="N212" s="322" t="s"/>
      <c r="O212" s="322" t="s">
        <v>1964</v>
      </c>
      <c r="P212" s="322" t="s">
        <v>1965</v>
      </c>
      <c r="Q212" s="676">
        <v>2</v>
      </c>
      <c r="R212" s="681">
        <f>=H212*Q212</f>
        <v>6</v>
      </c>
      <c r="S212" s="676" t="s"/>
    </row>
    <row r="213" spans="1:19" customHeight="false">
      <c r="A213" s="681">
        <v>14</v>
      </c>
      <c r="B213" s="322" t="s"/>
      <c r="C213" s="707" t="s"/>
      <c r="D213" s="322" t="s">
        <v>1741</v>
      </c>
      <c r="E213" s="322" t="s"/>
      <c r="F213" s="322" t="s">
        <v>1936</v>
      </c>
      <c r="G213" s="322" t="s">
        <v>36</v>
      </c>
      <c r="H213" s="697">
        <f>=L213+M213+N213</f>
        <v>0</v>
      </c>
      <c r="I213" s="322" t="s"/>
      <c r="J213" s="322" t="s"/>
      <c r="K213" s="322" t="s"/>
      <c r="L213" s="322" t="s"/>
      <c r="M213" s="322" t="s"/>
      <c r="N213" s="322" t="s"/>
      <c r="O213" s="322" t="s">
        <v>1966</v>
      </c>
      <c r="P213" s="322" t="s">
        <v>1967</v>
      </c>
      <c r="Q213" s="676" t="s"/>
      <c r="R213" s="681">
        <f>=H213*Q213</f>
        <v>0</v>
      </c>
      <c r="S213" s="676" t="s"/>
    </row>
    <row r="214" spans="1:19" customHeight="false">
      <c r="A214" s="681">
        <v>15</v>
      </c>
      <c r="B214" s="322">
        <v>7</v>
      </c>
      <c r="C214" s="707" t="s">
        <v>1968</v>
      </c>
      <c r="D214" s="322" t="s">
        <v>1969</v>
      </c>
      <c r="E214" s="322" t="s"/>
      <c r="F214" s="322" t="s">
        <v>359</v>
      </c>
      <c r="G214" s="322" t="s">
        <v>45</v>
      </c>
      <c r="H214" s="697">
        <f>=L214+M214+N214</f>
        <v>0</v>
      </c>
      <c r="I214" s="322" t="s"/>
      <c r="J214" s="322" t="s"/>
      <c r="K214" s="322" t="s"/>
      <c r="L214" s="322" t="s"/>
      <c r="M214" s="322" t="s"/>
      <c r="N214" s="322" t="s"/>
      <c r="O214" s="322" t="s">
        <v>1970</v>
      </c>
      <c r="P214" s="322" t="s">
        <v>1971</v>
      </c>
      <c r="Q214" s="676" t="s"/>
      <c r="R214" s="681">
        <f>=H214*Q214</f>
        <v>0</v>
      </c>
      <c r="S214" s="676" t="s"/>
    </row>
    <row r="215" spans="1:19" customHeight="false">
      <c r="A215" s="681">
        <v>16</v>
      </c>
      <c r="B215" s="322" t="s"/>
      <c r="C215" s="707" t="s">
        <v>1972</v>
      </c>
      <c r="D215" s="322" t="s">
        <v>1114</v>
      </c>
      <c r="E215" s="322" t="s"/>
      <c r="F215" s="322" t="s">
        <v>1939</v>
      </c>
      <c r="G215" s="322" t="s">
        <v>45</v>
      </c>
      <c r="H215" s="697">
        <f>=L215+M215+N215</f>
        <v>0</v>
      </c>
      <c r="I215" s="322" t="s"/>
      <c r="J215" s="322" t="s"/>
      <c r="K215" s="322" t="s"/>
      <c r="L215" s="322" t="s"/>
      <c r="M215" s="322" t="s"/>
      <c r="N215" s="322" t="s"/>
      <c r="O215" s="322" t="s">
        <v>416</v>
      </c>
      <c r="P215" s="322" t="s">
        <v>1967</v>
      </c>
      <c r="Q215" s="676" t="s"/>
      <c r="R215" s="681">
        <f>=H215*Q215</f>
        <v>0</v>
      </c>
      <c r="S215" s="676" t="s"/>
    </row>
    <row r="216" spans="1:19" customHeight="false">
      <c r="A216" s="681">
        <v>17</v>
      </c>
      <c r="B216" s="322">
        <v>8</v>
      </c>
      <c r="C216" s="707" t="s">
        <v>1973</v>
      </c>
      <c r="D216" s="322" t="s">
        <v>1974</v>
      </c>
      <c r="E216" s="322" t="s"/>
      <c r="F216" s="322" t="s">
        <v>1975</v>
      </c>
      <c r="G216" s="322" t="s">
        <v>36</v>
      </c>
      <c r="H216" s="697">
        <f>=L216+M216+N216</f>
        <v>1</v>
      </c>
      <c r="I216" s="322">
        <v>5</v>
      </c>
      <c r="J216" s="322">
        <f>=H216*I216</f>
        <v>5</v>
      </c>
      <c r="K216" s="322">
        <f>=L216*I216</f>
        <v>5</v>
      </c>
      <c r="L216" s="322">
        <v>1</v>
      </c>
      <c r="M216" s="322" t="s"/>
      <c r="N216" s="322" t="s"/>
      <c r="O216" s="322" t="s">
        <v>1976</v>
      </c>
      <c r="P216" s="322" t="s">
        <v>1967</v>
      </c>
      <c r="Q216" s="676">
        <v>2</v>
      </c>
      <c r="R216" s="681">
        <f>=H216*Q216</f>
        <v>2</v>
      </c>
      <c r="S216" s="676" t="s"/>
    </row>
    <row r="217" spans="1:19" customHeight="false">
      <c r="A217" s="681">
        <v>18</v>
      </c>
      <c r="B217" s="322">
        <v>9</v>
      </c>
      <c r="C217" s="707" t="s">
        <v>1977</v>
      </c>
      <c r="D217" s="322" t="s">
        <v>1727</v>
      </c>
      <c r="E217" s="322" t="s">
        <v>1753</v>
      </c>
      <c r="F217" s="322" t="s">
        <v>1978</v>
      </c>
      <c r="G217" s="322" t="s">
        <v>36</v>
      </c>
      <c r="H217" s="697">
        <f>=L217+M217+N217</f>
        <v>3</v>
      </c>
      <c r="I217" s="322">
        <v>0.75</v>
      </c>
      <c r="J217" s="322">
        <f>=H217*I217</f>
        <v>2.25</v>
      </c>
      <c r="K217" s="322">
        <f>=L217*I217</f>
        <v>1.5</v>
      </c>
      <c r="L217" s="322">
        <v>2</v>
      </c>
      <c r="M217" s="322">
        <v>1</v>
      </c>
      <c r="N217" s="322" t="s"/>
      <c r="O217" s="322" t="s">
        <v>1976</v>
      </c>
      <c r="P217" s="322" t="s">
        <v>1979</v>
      </c>
      <c r="Q217" s="676">
        <v>2</v>
      </c>
      <c r="R217" s="681">
        <f>=H217*Q217</f>
        <v>6</v>
      </c>
      <c r="S217" s="676" t="s"/>
    </row>
    <row r="218" spans="1:19" customHeight="false">
      <c r="A218" s="681">
        <v>19</v>
      </c>
      <c r="B218" s="322" t="s"/>
      <c r="C218" s="707" t="s"/>
      <c r="D218" s="322" t="s">
        <v>1741</v>
      </c>
      <c r="E218" s="322" t="s"/>
      <c r="F218" s="322" t="s">
        <v>1936</v>
      </c>
      <c r="G218" s="322" t="s">
        <v>36</v>
      </c>
      <c r="H218" s="697">
        <f>=L218+M218+N218</f>
        <v>0</v>
      </c>
      <c r="I218" s="322" t="s"/>
      <c r="J218" s="322" t="s"/>
      <c r="K218" s="322" t="s"/>
      <c r="L218" s="322" t="s"/>
      <c r="M218" s="322" t="s"/>
      <c r="N218" s="322" t="s"/>
      <c r="O218" s="322" t="s">
        <v>1980</v>
      </c>
      <c r="P218" s="322" t="s">
        <v>1967</v>
      </c>
      <c r="Q218" s="676" t="s"/>
      <c r="R218" s="681">
        <f>=H218*Q218</f>
        <v>0</v>
      </c>
      <c r="S218" s="676" t="s"/>
    </row>
    <row r="219" spans="1:19" customHeight="false">
      <c r="A219" s="681">
        <v>20</v>
      </c>
      <c r="B219" s="322" t="s"/>
      <c r="C219" s="707" t="s">
        <v>1981</v>
      </c>
      <c r="D219" s="322" t="s">
        <v>1982</v>
      </c>
      <c r="E219" s="322" t="s"/>
      <c r="F219" s="322" t="s">
        <v>2539</v>
      </c>
      <c r="G219" s="322" t="s">
        <v>45</v>
      </c>
      <c r="H219" s="697">
        <f>=L219+M219+N219</f>
        <v>0</v>
      </c>
      <c r="I219" s="322" t="s"/>
      <c r="J219" s="322" t="s"/>
      <c r="K219" s="322" t="s"/>
      <c r="L219" s="322" t="s"/>
      <c r="M219" s="322" t="s"/>
      <c r="N219" s="322" t="s"/>
      <c r="O219" s="322" t="s">
        <v>1983</v>
      </c>
      <c r="P219" s="322" t="s"/>
      <c r="Q219" s="676">
        <v>5</v>
      </c>
      <c r="R219" s="681">
        <f>=H219*Q219</f>
        <v>0</v>
      </c>
      <c r="S219" s="676" t="s"/>
    </row>
    <row r="220" spans="1:19" customHeight="false">
      <c r="A220" s="681">
        <v>21</v>
      </c>
      <c r="B220" s="322" t="s"/>
      <c r="C220" s="707" t="s">
        <v>1984</v>
      </c>
      <c r="D220" s="322" t="s">
        <v>1949</v>
      </c>
      <c r="E220" s="322" t="s"/>
      <c r="F220" s="322" t="s">
        <v>1985</v>
      </c>
      <c r="G220" s="322" t="s">
        <v>36</v>
      </c>
      <c r="H220" s="697">
        <f>=L220+M220+N220</f>
        <v>0</v>
      </c>
      <c r="I220" s="322" t="s"/>
      <c r="J220" s="322" t="s"/>
      <c r="K220" s="322" t="s"/>
      <c r="L220" s="322" t="s"/>
      <c r="M220" s="322" t="s"/>
      <c r="N220" s="322" t="s"/>
      <c r="O220" s="322" t="s"/>
      <c r="P220" s="322" t="s"/>
      <c r="Q220" s="676" t="s"/>
      <c r="R220" s="681">
        <f>=H220*Q220</f>
        <v>0</v>
      </c>
      <c r="S220" s="676" t="s"/>
    </row>
    <row r="221" spans="1:19" customHeight="false">
      <c r="A221" s="688" t="s">
        <v>1986</v>
      </c>
      <c r="B221" s="688" t="s"/>
      <c r="C221" s="688" t="s"/>
      <c r="D221" s="688" t="s"/>
      <c r="E221" s="688" t="s"/>
      <c r="F221" s="688" t="s"/>
      <c r="G221" s="688" t="s"/>
      <c r="H221" s="688" t="s"/>
      <c r="I221" s="688" t="s"/>
      <c r="J221" s="688" t="s"/>
      <c r="K221" s="688" t="s"/>
      <c r="L221" s="688" t="s"/>
      <c r="M221" s="688" t="s"/>
      <c r="N221" s="688" t="s"/>
      <c r="O221" s="688" t="s"/>
      <c r="P221" s="688" t="s"/>
      <c r="Q221" s="676" t="s"/>
      <c r="R221" s="676">
        <f>=SUM(R223:R233)*1.25</f>
        <v>96.25</v>
      </c>
      <c r="S221" s="676" t="s"/>
    </row>
    <row r="222" spans="1:19" customHeight="false">
      <c r="A222" s="708" t="s">
        <v>1987</v>
      </c>
      <c r="B222" s="708" t="s"/>
      <c r="C222" s="708" t="s"/>
      <c r="D222" s="708" t="s"/>
      <c r="E222" s="708" t="s"/>
      <c r="F222" s="708" t="s"/>
      <c r="G222" s="708" t="s"/>
      <c r="H222" s="697" t="s"/>
      <c r="I222" s="708" t="s"/>
      <c r="J222" s="708" t="s"/>
      <c r="K222" s="708" t="s"/>
      <c r="L222" s="708" t="s"/>
      <c r="M222" s="708" t="s"/>
      <c r="N222" s="708" t="s"/>
      <c r="O222" s="708" t="s"/>
      <c r="P222" s="708" t="s"/>
      <c r="Q222" s="676" t="s"/>
      <c r="R222" s="676" t="s"/>
      <c r="S222" s="676" t="s"/>
    </row>
    <row r="223" spans="1:19" customHeight="false">
      <c r="A223" s="315">
        <v>1</v>
      </c>
      <c r="B223" s="315">
        <v>1</v>
      </c>
      <c r="C223" s="315" t="s">
        <v>1988</v>
      </c>
      <c r="D223" s="315" t="s">
        <v>1989</v>
      </c>
      <c r="E223" s="315" t="s">
        <v>1990</v>
      </c>
      <c r="F223" s="315" t="s">
        <v>1990</v>
      </c>
      <c r="G223" s="315" t="s">
        <v>32</v>
      </c>
      <c r="H223" s="697">
        <f>=L223+M223+N223</f>
        <v>24</v>
      </c>
      <c r="I223" s="691">
        <v>1.5</v>
      </c>
      <c r="J223" s="322">
        <f>=H223*I223</f>
        <v>36</v>
      </c>
      <c r="K223" s="322">
        <f>=L223*I223</f>
        <v>18</v>
      </c>
      <c r="L223" s="315">
        <v>12</v>
      </c>
      <c r="M223" s="691">
        <v>12</v>
      </c>
      <c r="N223" s="691">
        <v>0</v>
      </c>
      <c r="O223" s="691" t="s"/>
      <c r="P223" s="315" t="s"/>
      <c r="Q223" s="676">
        <v>0.78</v>
      </c>
      <c r="R223" s="681">
        <f>=H223*Q223</f>
        <v>18.72</v>
      </c>
      <c r="S223" s="676" t="s"/>
    </row>
    <row r="224" spans="1:19" customHeight="false">
      <c r="A224" s="315">
        <v>2</v>
      </c>
      <c r="B224" s="315">
        <v>2</v>
      </c>
      <c r="C224" s="315" t="s">
        <v>1991</v>
      </c>
      <c r="D224" s="315" t="s">
        <v>1989</v>
      </c>
      <c r="E224" s="315" t="s">
        <v>1990</v>
      </c>
      <c r="F224" s="315" t="s">
        <v>1990</v>
      </c>
      <c r="G224" s="315" t="s">
        <v>32</v>
      </c>
      <c r="H224" s="697">
        <f>=L224+M224+N224</f>
        <v>6</v>
      </c>
      <c r="I224" s="691">
        <v>1.5</v>
      </c>
      <c r="J224" s="322">
        <f>=H224*I224</f>
        <v>9</v>
      </c>
      <c r="K224" s="322">
        <f>=L224*I224</f>
        <v>4.5</v>
      </c>
      <c r="L224" s="315">
        <v>3</v>
      </c>
      <c r="M224" s="691">
        <v>3</v>
      </c>
      <c r="N224" s="691">
        <v>0</v>
      </c>
      <c r="O224" s="691" t="s"/>
      <c r="P224" s="315" t="s"/>
      <c r="Q224" s="676">
        <v>0.78</v>
      </c>
      <c r="R224" s="681">
        <f>=H224*Q224</f>
        <v>4.68</v>
      </c>
      <c r="S224" s="676" t="s"/>
    </row>
    <row r="225" spans="1:19" customHeight="false">
      <c r="A225" s="315">
        <v>3</v>
      </c>
      <c r="B225" s="315" t="s"/>
      <c r="C225" s="315" t="s"/>
      <c r="D225" s="315" t="s">
        <v>1992</v>
      </c>
      <c r="E225" s="322" t="s">
        <v>1993</v>
      </c>
      <c r="F225" s="315" t="s"/>
      <c r="G225" s="315" t="s">
        <v>36</v>
      </c>
      <c r="H225" s="697">
        <f>=L225+M225+N225</f>
        <v>15</v>
      </c>
      <c r="I225" s="691" t="s"/>
      <c r="J225" s="691" t="s"/>
      <c r="K225" s="691" t="s"/>
      <c r="L225" s="315">
        <v>15</v>
      </c>
      <c r="M225" s="691">
        <v>0</v>
      </c>
      <c r="N225" s="691">
        <v>0</v>
      </c>
      <c r="O225" s="691" t="s"/>
      <c r="P225" s="315" t="s"/>
      <c r="Q225" s="676" t="s"/>
      <c r="R225" s="681">
        <f>=H225*Q225</f>
        <v>0</v>
      </c>
      <c r="S225" s="676" t="s"/>
    </row>
    <row r="226" spans="1:19" customHeight="false">
      <c r="A226" s="315">
        <v>4</v>
      </c>
      <c r="B226" s="315" t="s"/>
      <c r="C226" s="315" t="s"/>
      <c r="D226" s="315" t="s">
        <v>432</v>
      </c>
      <c r="E226" s="315" t="s"/>
      <c r="F226" s="691" t="s"/>
      <c r="G226" s="315" t="s"/>
      <c r="H226" s="697">
        <f>=L226+M226+N226</f>
        <v>0</v>
      </c>
      <c r="I226" s="691" t="s"/>
      <c r="J226" s="691" t="s"/>
      <c r="K226" s="691" t="s"/>
      <c r="L226" s="691" t="s"/>
      <c r="M226" s="691">
        <v>0</v>
      </c>
      <c r="N226" s="691">
        <v>0</v>
      </c>
      <c r="O226" s="691" t="s"/>
      <c r="P226" s="315" t="s"/>
      <c r="Q226" s="676" t="s"/>
      <c r="R226" s="681">
        <f>=H226*Q226</f>
        <v>0</v>
      </c>
      <c r="S226" s="676" t="s"/>
    </row>
    <row r="227" spans="1:19" customHeight="false">
      <c r="A227" s="315">
        <v>5</v>
      </c>
      <c r="B227" s="315">
        <v>3</v>
      </c>
      <c r="C227" s="315" t="s">
        <v>1994</v>
      </c>
      <c r="D227" s="315" t="s">
        <v>1995</v>
      </c>
      <c r="E227" s="315" t="s">
        <v>1996</v>
      </c>
      <c r="F227" s="315" t="s">
        <v>1996</v>
      </c>
      <c r="G227" s="315" t="s">
        <v>32</v>
      </c>
      <c r="H227" s="697">
        <f>=L227+M227+N227</f>
        <v>2</v>
      </c>
      <c r="I227" s="691">
        <v>45</v>
      </c>
      <c r="J227" s="322">
        <f>=H227*I227</f>
        <v>90</v>
      </c>
      <c r="K227" s="322">
        <f>=L227*I227</f>
        <v>45</v>
      </c>
      <c r="L227" s="315">
        <v>1</v>
      </c>
      <c r="M227" s="691">
        <v>1</v>
      </c>
      <c r="N227" s="691">
        <v>0</v>
      </c>
      <c r="O227" s="691" t="s"/>
      <c r="P227" s="315" t="s">
        <v>1791</v>
      </c>
      <c r="Q227" s="676">
        <v>15</v>
      </c>
      <c r="R227" s="681">
        <f>=H227*Q227</f>
        <v>30</v>
      </c>
      <c r="S227" s="676" t="s"/>
    </row>
    <row r="228" spans="1:19" customHeight="false">
      <c r="A228" s="315">
        <v>6</v>
      </c>
      <c r="B228" s="315">
        <v>4</v>
      </c>
      <c r="C228" s="315" t="s">
        <v>1997</v>
      </c>
      <c r="D228" s="315" t="s">
        <v>1998</v>
      </c>
      <c r="E228" s="315" t="s">
        <v>1999</v>
      </c>
      <c r="F228" s="315" t="s">
        <v>1999</v>
      </c>
      <c r="G228" s="315" t="s">
        <v>32</v>
      </c>
      <c r="H228" s="697">
        <f>=L228+M228+N228</f>
        <v>2</v>
      </c>
      <c r="I228" s="691">
        <v>15</v>
      </c>
      <c r="J228" s="322">
        <f>=H228*I228</f>
        <v>30</v>
      </c>
      <c r="K228" s="322">
        <f>=L228*I228</f>
        <v>15</v>
      </c>
      <c r="L228" s="315">
        <v>1</v>
      </c>
      <c r="M228" s="691">
        <v>1</v>
      </c>
      <c r="N228" s="691">
        <v>0</v>
      </c>
      <c r="O228" s="691" t="s"/>
      <c r="P228" s="315" t="s">
        <v>1791</v>
      </c>
      <c r="Q228" s="676">
        <v>8</v>
      </c>
      <c r="R228" s="681">
        <f>=H228*Q228</f>
        <v>16</v>
      </c>
      <c r="S228" s="676" t="s"/>
    </row>
    <row r="229" spans="1:19" customHeight="false">
      <c r="A229" s="315">
        <v>7</v>
      </c>
      <c r="B229" s="315">
        <v>5</v>
      </c>
      <c r="C229" s="315" t="s"/>
      <c r="D229" s="315" t="s">
        <v>1114</v>
      </c>
      <c r="E229" s="322" t="s">
        <v>2000</v>
      </c>
      <c r="F229" s="315" t="s">
        <v>1632</v>
      </c>
      <c r="G229" s="315" t="s">
        <v>36</v>
      </c>
      <c r="H229" s="697">
        <f>=L229+M229+N229</f>
        <v>1</v>
      </c>
      <c r="I229" s="691" t="s"/>
      <c r="J229" s="691" t="s"/>
      <c r="K229" s="691" t="s"/>
      <c r="L229" s="315">
        <v>1</v>
      </c>
      <c r="M229" s="691">
        <v>0</v>
      </c>
      <c r="N229" s="691">
        <v>0</v>
      </c>
      <c r="O229" s="691" t="s"/>
      <c r="P229" s="315" t="s">
        <v>430</v>
      </c>
      <c r="Q229" s="676" t="s"/>
      <c r="R229" s="681">
        <f>=H229*Q229</f>
        <v>0</v>
      </c>
      <c r="S229" s="676" t="s"/>
    </row>
    <row r="230" spans="1:19" customHeight="false">
      <c r="A230" s="315">
        <v>8</v>
      </c>
      <c r="B230" s="315" t="s"/>
      <c r="C230" s="315" t="s"/>
      <c r="D230" s="315" t="s">
        <v>2001</v>
      </c>
      <c r="E230" s="315" t="s"/>
      <c r="F230" s="691" t="s"/>
      <c r="G230" s="315" t="s"/>
      <c r="H230" s="697" t="s"/>
      <c r="I230" s="691" t="s"/>
      <c r="J230" s="691" t="s"/>
      <c r="K230" s="691" t="s"/>
      <c r="L230" s="315" t="s"/>
      <c r="M230" s="691">
        <v>0</v>
      </c>
      <c r="N230" s="691">
        <v>0</v>
      </c>
      <c r="O230" s="691" t="s"/>
      <c r="P230" s="315" t="s"/>
      <c r="Q230" s="676" t="s"/>
      <c r="R230" s="681">
        <f>=H230*Q230</f>
        <v>0</v>
      </c>
      <c r="S230" s="676" t="s"/>
    </row>
    <row r="231" spans="1:19" ht="38" customHeight="true">
      <c r="A231" s="315">
        <v>9</v>
      </c>
      <c r="B231" s="322">
        <v>6</v>
      </c>
      <c r="C231" s="322" t="s">
        <v>2002</v>
      </c>
      <c r="D231" s="322" t="s">
        <v>2003</v>
      </c>
      <c r="E231" s="322" t="s">
        <v>2004</v>
      </c>
      <c r="F231" s="322" t="s">
        <v>2004</v>
      </c>
      <c r="G231" s="322" t="s">
        <v>32</v>
      </c>
      <c r="H231" s="697">
        <f>=L231+M231+N231</f>
        <v>2</v>
      </c>
      <c r="I231" s="691">
        <v>0.55</v>
      </c>
      <c r="J231" s="322">
        <f>=H230*I231</f>
        <v>0</v>
      </c>
      <c r="K231" s="322">
        <f>=L231*I231</f>
        <v>0.55</v>
      </c>
      <c r="L231" s="315">
        <v>1</v>
      </c>
      <c r="M231" s="691">
        <v>1</v>
      </c>
      <c r="N231" s="691">
        <v>0</v>
      </c>
      <c r="O231" s="691" t="s"/>
      <c r="P231" s="322" t="s">
        <v>2005</v>
      </c>
      <c r="Q231" s="676">
        <v>2</v>
      </c>
      <c r="R231" s="681">
        <v>3.8</v>
      </c>
      <c r="S231" s="676" t="s"/>
    </row>
    <row r="232" spans="1:19" ht="38" customHeight="true">
      <c r="A232" s="315">
        <v>10</v>
      </c>
      <c r="B232" s="322">
        <v>7</v>
      </c>
      <c r="C232" s="322" t="s">
        <v>2006</v>
      </c>
      <c r="D232" s="322" t="s">
        <v>2007</v>
      </c>
      <c r="E232" s="322" t="s">
        <v>2004</v>
      </c>
      <c r="F232" s="322" t="s">
        <v>2004</v>
      </c>
      <c r="G232" s="322" t="s">
        <v>32</v>
      </c>
      <c r="H232" s="697">
        <f>=L232+M232+N232</f>
        <v>2</v>
      </c>
      <c r="I232" s="691">
        <v>0.55</v>
      </c>
      <c r="J232" s="322">
        <f>=H231*I232</f>
        <v>1.1</v>
      </c>
      <c r="K232" s="322">
        <f>=L232*I232</f>
        <v>0.55</v>
      </c>
      <c r="L232" s="322">
        <v>1</v>
      </c>
      <c r="M232" s="691">
        <v>1</v>
      </c>
      <c r="N232" s="691">
        <v>0</v>
      </c>
      <c r="O232" s="691" t="s"/>
      <c r="P232" s="322" t="s">
        <v>2005</v>
      </c>
      <c r="Q232" s="676">
        <v>2</v>
      </c>
      <c r="R232" s="681">
        <v>3.8</v>
      </c>
      <c r="S232" s="676" t="s"/>
    </row>
    <row r="233" spans="1:19" customHeight="false">
      <c r="A233" s="315">
        <v>11</v>
      </c>
      <c r="B233" s="322">
        <v>8</v>
      </c>
      <c r="C233" s="322" t="s"/>
      <c r="D233" s="322" t="s">
        <v>1363</v>
      </c>
      <c r="E233" s="322" t="s">
        <v>2008</v>
      </c>
      <c r="F233" s="691" t="s"/>
      <c r="G233" s="322" t="s">
        <v>36</v>
      </c>
      <c r="H233" s="697">
        <f>=L233+M233+N233</f>
        <v>1</v>
      </c>
      <c r="I233" s="691" t="s"/>
      <c r="J233" s="691" t="s"/>
      <c r="K233" s="691" t="s"/>
      <c r="L233" s="322">
        <v>1</v>
      </c>
      <c r="M233" s="691" t="s"/>
      <c r="N233" s="691" t="s"/>
      <c r="O233" s="691" t="s"/>
      <c r="P233" s="322" t="s">
        <v>2009</v>
      </c>
      <c r="Q233" s="676" t="s"/>
      <c r="R233" s="681">
        <f>=H233*Q233</f>
        <v>0</v>
      </c>
      <c r="S233" s="676" t="s"/>
    </row>
    <row r="234" spans="1:19" customHeight="false">
      <c r="A234" s="321" t="s"/>
      <c r="B234" s="321" t="s"/>
      <c r="C234" s="321" t="s"/>
      <c r="D234" s="321" t="s"/>
      <c r="E234" s="321" t="s"/>
      <c r="F234" s="321" t="s"/>
      <c r="G234" s="321" t="s"/>
      <c r="H234" s="321" t="s"/>
      <c r="I234" s="321" t="s"/>
      <c r="J234" s="321" t="s"/>
      <c r="K234" s="321" t="s"/>
      <c r="L234" s="321" t="s"/>
      <c r="M234" s="321" t="s"/>
      <c r="N234" s="321" t="s"/>
      <c r="O234" s="321" t="s"/>
      <c r="P234" s="321" t="s"/>
      <c r="Q234" s="676" t="s"/>
      <c r="R234" s="676" t="s"/>
      <c r="S234" s="676" t="s"/>
    </row>
    <row r="235" spans="1:19" customHeight="false">
      <c r="A235" s="321" t="s"/>
      <c r="B235" s="321" t="s"/>
      <c r="C235" s="321" t="s"/>
      <c r="D235" s="321" t="s"/>
      <c r="E235" s="321" t="s"/>
      <c r="F235" s="321" t="s"/>
      <c r="G235" s="321" t="s"/>
      <c r="H235" s="321" t="s"/>
      <c r="I235" s="321" t="s"/>
      <c r="J235" s="321" t="s"/>
      <c r="K235" s="321" t="s"/>
      <c r="L235" s="321" t="s"/>
      <c r="M235" s="321" t="s"/>
      <c r="N235" s="321" t="s"/>
      <c r="O235" s="321" t="s"/>
      <c r="P235" s="321" t="s"/>
      <c r="Q235" s="676" t="s"/>
      <c r="R235" s="676" t="s"/>
      <c r="S235" s="676" t="s"/>
    </row>
    <row r="236" spans="1:19" customHeight="false">
      <c r="A236" s="321" t="s"/>
      <c r="B236" s="321" t="s"/>
      <c r="C236" s="321" t="s"/>
      <c r="D236" s="321" t="s"/>
      <c r="E236" s="321" t="s"/>
      <c r="F236" s="321" t="s"/>
      <c r="G236" s="321" t="s"/>
      <c r="H236" s="321" t="s"/>
      <c r="I236" s="321" t="s"/>
      <c r="J236" s="321">
        <f>=SUM(J2:J235)</f>
        <v>5114.67</v>
      </c>
      <c r="K236" s="321" t="s"/>
      <c r="L236" s="321" t="s"/>
      <c r="M236" s="321" t="s"/>
      <c r="N236" s="321" t="s"/>
      <c r="O236" s="321" t="s"/>
      <c r="P236" s="321" t="s"/>
      <c r="Q236" s="676" t="s"/>
      <c r="R236" s="676" t="s"/>
      <c r="S236" s="676" t="s"/>
    </row>
  </sheetData>
</worksheet>
</file>

<file path=xl/worksheets/sheet17.xml><?xml version="1.0" encoding="utf-8"?>
<worksheet xmlns="http://schemas.openxmlformats.org/spreadsheetml/2006/main">
  <sheetPr>
    <tabColor rgb="FFFFFFFF"/>
  </sheetPr>
  <dimension ref="N201"/>
  <sheetViews>
    <sheetView showGridLines="true" rightToLeft="false" workbookViewId="0"/>
  </sheetViews>
  <cols>
    <col min="1" max="3" width="10.4336" customWidth="true"/>
    <col min="4" max="4" width="17.0039" customWidth="true"/>
    <col min="5" max="5" width="22.293" customWidth="true"/>
    <col min="6" max="6" width="19.1523" customWidth="true"/>
    <col min="7" max="7" width="31.1523" customWidth="true"/>
    <col min="8" max="8" width="14.7227" customWidth="true"/>
    <col min="9" max="9" width="10.4336" customWidth="true"/>
    <col min="10" max="10" width="14.0039" customWidth="true"/>
    <col min="11" max="11" width="18.582" customWidth="true"/>
    <col min="12" max="14" width="10.4336" customWidth="true"/>
  </cols>
  <sheetData>
    <row r="1" spans="1:14" customHeight="false">
      <c r="A1" s="923" t="s"/>
      <c r="B1" s="923" t="s"/>
      <c r="C1" s="923" t="s"/>
      <c r="D1" s="923" t="s"/>
      <c r="E1" s="923" t="s"/>
      <c r="F1" s="923" t="s"/>
      <c r="G1" s="923" t="s"/>
      <c r="H1" s="923" t="s"/>
      <c r="I1" s="923" t="s"/>
      <c r="J1" s="923" t="s"/>
      <c r="K1" s="923" t="s"/>
      <c r="L1" s="923" t="s"/>
      <c r="M1" s="923" t="s"/>
      <c r="N1" s="923" t="s"/>
    </row>
    <row r="2" spans="1:14" customHeight="false">
      <c r="A2" s="923" t="s"/>
      <c r="B2" s="923" t="s"/>
      <c r="C2" s="923" t="s"/>
      <c r="D2" s="923" t="s"/>
      <c r="E2" s="923" t="s"/>
      <c r="F2" s="923" t="s"/>
      <c r="G2" s="923" t="s"/>
      <c r="H2" s="923" t="s"/>
      <c r="I2" s="923" t="s"/>
      <c r="J2" s="923" t="s"/>
      <c r="K2" s="923" t="s"/>
      <c r="L2" s="923" t="s"/>
      <c r="M2" s="923" t="s"/>
      <c r="N2" s="923" t="s"/>
    </row>
    <row r="3" spans="1:14" customHeight="false">
      <c r="A3" s="923" t="s"/>
      <c r="B3" s="923" t="s"/>
      <c r="C3" s="923" t="s"/>
      <c r="D3" s="923" t="s"/>
      <c r="E3" s="923" t="s"/>
      <c r="F3" s="923" t="s"/>
      <c r="G3" s="923" t="s"/>
      <c r="H3" s="923" t="s"/>
      <c r="I3" s="923" t="s"/>
      <c r="J3" s="923" t="s"/>
      <c r="K3" s="923" t="s"/>
      <c r="L3" s="923" t="s"/>
      <c r="M3" s="923" t="s"/>
      <c r="N3" s="923" t="s"/>
    </row>
    <row r="4" spans="1:14" customHeight="false">
      <c r="A4" s="923" t="s"/>
      <c r="B4" s="923" t="s"/>
      <c r="C4" s="923" t="s"/>
      <c r="D4" s="923" t="s"/>
      <c r="E4" s="923" t="s"/>
      <c r="F4" s="923" t="s"/>
      <c r="G4" s="923" t="s"/>
      <c r="H4" s="923" t="s"/>
      <c r="I4" s="923" t="s"/>
      <c r="J4" s="923" t="s"/>
      <c r="K4" s="923" t="s"/>
      <c r="L4" s="923" t="s"/>
      <c r="M4" s="923" t="s"/>
      <c r="N4" s="923" t="s"/>
    </row>
    <row r="5" spans="1:14" customHeight="false">
      <c r="A5" s="923" t="s"/>
      <c r="B5" s="923" t="s"/>
      <c r="C5" s="923" t="s"/>
      <c r="D5" s="923" t="s">
        <v>2372</v>
      </c>
      <c r="E5" s="923">
        <v>100000</v>
      </c>
      <c r="F5" s="923" t="s">
        <v>2373</v>
      </c>
      <c r="G5" s="923" t="s">
        <v>2374</v>
      </c>
      <c r="H5" s="923">
        <v>15.69</v>
      </c>
      <c r="I5" s="923" t="s">
        <v>2375</v>
      </c>
      <c r="J5" s="923" t="s"/>
      <c r="K5" s="923" t="s"/>
      <c r="L5" s="923" t="s"/>
      <c r="M5" s="923" t="s"/>
      <c r="N5" s="923" t="s"/>
    </row>
    <row r="6" spans="1:14" customHeight="false">
      <c r="A6" s="923" t="s"/>
      <c r="B6" s="923" t="s"/>
      <c r="C6" s="923" t="s"/>
      <c r="D6" s="923" t="s">
        <v>2376</v>
      </c>
      <c r="E6" s="923" t="s"/>
      <c r="F6" s="923" t="s"/>
      <c r="G6" s="923" t="s"/>
      <c r="H6" s="923" t="s"/>
      <c r="I6" s="923" t="s"/>
      <c r="J6" s="923" t="s"/>
      <c r="K6" s="923" t="s"/>
      <c r="L6" s="923" t="s"/>
      <c r="M6" s="923" t="s"/>
      <c r="N6" s="923" t="s"/>
    </row>
    <row r="7" spans="1:14" customHeight="false">
      <c r="A7" s="923" t="s"/>
      <c r="B7" s="923" t="s"/>
      <c r="C7" s="923" t="s"/>
      <c r="D7" s="924" t="s">
        <v>3</v>
      </c>
      <c r="E7" s="924" t="s">
        <v>2377</v>
      </c>
      <c r="F7" s="925" t="s">
        <v>2378</v>
      </c>
      <c r="G7" s="925" t="s">
        <v>2379</v>
      </c>
      <c r="H7" s="925" t="s">
        <v>7</v>
      </c>
      <c r="I7" s="924" t="s">
        <v>582</v>
      </c>
      <c r="J7" s="925" t="s">
        <v>2380</v>
      </c>
      <c r="K7" s="925" t="s">
        <v>2381</v>
      </c>
      <c r="L7" s="923" t="s"/>
      <c r="M7" s="923" t="s"/>
      <c r="N7" s="923" t="s"/>
    </row>
    <row r="8" spans="1:14" customHeight="false">
      <c r="A8" s="923" t="s"/>
      <c r="B8" s="923" t="s"/>
      <c r="C8" s="923" t="s"/>
      <c r="D8" s="924">
        <v>1</v>
      </c>
      <c r="E8" s="924" t="s">
        <v>2382</v>
      </c>
      <c r="F8" s="925">
        <v>53952.568</v>
      </c>
      <c r="G8" s="925">
        <f>=F8/$E$5</f>
        <v>0.53952568</v>
      </c>
      <c r="H8" s="925" t="s">
        <v>2073</v>
      </c>
      <c r="I8" s="924">
        <v>0.76</v>
      </c>
      <c r="J8" s="925">
        <f>=F8*I8</f>
        <v>41003.95168</v>
      </c>
      <c r="K8" s="925">
        <f>=J8/$E$5</f>
        <v>0.4100395168</v>
      </c>
      <c r="L8" s="923" t="s"/>
      <c r="M8" s="923" t="s"/>
      <c r="N8" s="923" t="s"/>
    </row>
    <row r="9" spans="1:14" customHeight="false">
      <c r="A9" s="923" t="s"/>
      <c r="B9" s="923" t="s"/>
      <c r="C9" s="923" t="s"/>
      <c r="D9" s="924" t="s"/>
      <c r="E9" s="924" t="s">
        <v>2383</v>
      </c>
      <c r="F9" s="925">
        <f>=F42*0.3</f>
        <v>12</v>
      </c>
      <c r="G9" s="925" t="s">
        <v>2384</v>
      </c>
      <c r="H9" s="925" t="s">
        <v>2385</v>
      </c>
      <c r="I9" s="924">
        <v>3</v>
      </c>
      <c r="J9" s="925">
        <f>=F9*I9</f>
        <v>36</v>
      </c>
      <c r="K9" s="925">
        <f>=J9/$E$5</f>
        <v>0.00036</v>
      </c>
      <c r="L9" s="923" t="s"/>
      <c r="M9" s="923" t="s"/>
      <c r="N9" s="923" t="s"/>
    </row>
    <row r="10" spans="1:14" customHeight="false">
      <c r="A10" s="923" t="s"/>
      <c r="B10" s="923" t="s"/>
      <c r="C10" s="923" t="s"/>
      <c r="D10" s="924" t="s">
        <v>2386</v>
      </c>
      <c r="E10" s="924" t="s"/>
      <c r="F10" s="925" t="s"/>
      <c r="G10" s="925" t="s"/>
      <c r="H10" s="925" t="s"/>
      <c r="I10" s="924" t="s"/>
      <c r="J10" s="925">
        <f>=SUM(J8:J9)</f>
        <v>41039.95168</v>
      </c>
      <c r="K10" s="925">
        <f>=SUM(K8:K9)</f>
        <v>0.4103995168</v>
      </c>
      <c r="L10" s="923" t="s"/>
      <c r="M10" s="923" t="s"/>
      <c r="N10" s="923" t="s"/>
    </row>
    <row r="11" spans="1:14" customHeight="false">
      <c r="A11" s="923" t="s"/>
      <c r="B11" s="923" t="s"/>
      <c r="C11" s="923" t="s"/>
      <c r="D11" s="923" t="s"/>
      <c r="E11" s="923" t="s"/>
      <c r="F11" s="923" t="s"/>
      <c r="G11" s="923" t="s"/>
      <c r="H11" s="923" t="s"/>
      <c r="I11" s="923" t="s"/>
      <c r="J11" s="923" t="s"/>
      <c r="K11" s="923" t="s"/>
      <c r="L11" s="923" t="s"/>
      <c r="M11" s="923" t="s"/>
      <c r="N11" s="923" t="s"/>
    </row>
    <row r="12" spans="1:14" customHeight="false">
      <c r="A12" s="923" t="s"/>
      <c r="B12" s="923" t="s"/>
      <c r="C12" s="923" t="s"/>
      <c r="D12" s="923" t="s"/>
      <c r="E12" s="923" t="s"/>
      <c r="F12" s="923" t="s"/>
      <c r="G12" s="923" t="s"/>
      <c r="H12" s="923" t="s"/>
      <c r="I12" s="923" t="s"/>
      <c r="J12" s="923" t="s"/>
      <c r="K12" s="923" t="s"/>
      <c r="L12" s="923" t="s"/>
      <c r="M12" s="923" t="s"/>
      <c r="N12" s="923" t="s"/>
    </row>
    <row r="13" spans="1:14" customHeight="false">
      <c r="A13" s="923" t="s"/>
      <c r="B13" s="923" t="s"/>
      <c r="C13" s="923" t="s"/>
      <c r="D13" s="923" t="s">
        <v>2387</v>
      </c>
      <c r="E13" s="923" t="s"/>
      <c r="F13" s="923" t="s"/>
      <c r="G13" s="923" t="s"/>
      <c r="H13" s="923" t="s"/>
      <c r="I13" s="923" t="s"/>
      <c r="J13" s="923" t="s"/>
      <c r="K13" s="923" t="s"/>
      <c r="L13" s="923" t="s"/>
      <c r="M13" s="923" t="s"/>
      <c r="N13" s="923" t="s"/>
    </row>
    <row r="14" spans="1:14" customHeight="false">
      <c r="A14" s="923" t="s"/>
      <c r="B14" s="923" t="s"/>
      <c r="C14" s="923" t="s"/>
      <c r="D14" s="924" t="s">
        <v>3</v>
      </c>
      <c r="E14" s="924" t="s">
        <v>2377</v>
      </c>
      <c r="F14" s="925" t="s">
        <v>2378</v>
      </c>
      <c r="G14" s="925" t="s">
        <v>2379</v>
      </c>
      <c r="H14" s="925" t="s">
        <v>7</v>
      </c>
      <c r="I14" s="924" t="s">
        <v>582</v>
      </c>
      <c r="J14" s="925" t="s">
        <v>2380</v>
      </c>
      <c r="K14" s="925" t="s">
        <v>2381</v>
      </c>
      <c r="L14" s="923" t="s"/>
      <c r="M14" s="923" t="s"/>
      <c r="N14" s="923" t="s"/>
    </row>
    <row r="15" spans="1:14" customHeight="false">
      <c r="A15" s="923" t="s"/>
      <c r="B15" s="923" t="s"/>
      <c r="C15" s="923" t="s"/>
      <c r="D15" s="924">
        <v>1</v>
      </c>
      <c r="E15" s="924" t="s">
        <v>2078</v>
      </c>
      <c r="F15" s="925">
        <f>=0.015*$E$5/1000</f>
        <v>1.5</v>
      </c>
      <c r="G15" s="925" t="s">
        <v>2388</v>
      </c>
      <c r="H15" s="925" t="s">
        <v>2385</v>
      </c>
      <c r="I15" s="924">
        <v>900</v>
      </c>
      <c r="J15" s="925">
        <f>=F15*I15</f>
        <v>1350</v>
      </c>
      <c r="K15" s="925">
        <f>=J15/$E$5</f>
        <v>0.0135</v>
      </c>
      <c r="L15" s="923" t="s"/>
      <c r="M15" s="923" t="s"/>
      <c r="N15" s="923" t="s"/>
    </row>
    <row r="16" spans="1:14" customHeight="false">
      <c r="A16" s="923" t="s"/>
      <c r="B16" s="923" t="s"/>
      <c r="C16" s="923" t="s"/>
      <c r="D16" s="924">
        <v>2</v>
      </c>
      <c r="E16" s="924" t="s">
        <v>2389</v>
      </c>
      <c r="F16" s="925">
        <f>=1*$E$5/1000/1000</f>
        <v>0.1</v>
      </c>
      <c r="G16" s="925" t="s">
        <v>2390</v>
      </c>
      <c r="H16" s="925" t="s">
        <v>2385</v>
      </c>
      <c r="I16" s="924">
        <v>30000</v>
      </c>
      <c r="J16" s="925">
        <f>=F16*I16</f>
        <v>3000</v>
      </c>
      <c r="K16" s="925">
        <f>=J16/$E$5</f>
        <v>0.03</v>
      </c>
      <c r="L16" s="923" t="s"/>
      <c r="M16" s="923" t="s"/>
      <c r="N16" s="923" t="s"/>
    </row>
    <row r="17" spans="1:14" customHeight="false">
      <c r="A17" s="923" t="s"/>
      <c r="B17" s="923" t="s"/>
      <c r="C17" s="923" t="s"/>
      <c r="D17" s="924">
        <v>3</v>
      </c>
      <c r="E17" s="924" t="s">
        <v>2083</v>
      </c>
      <c r="F17" s="925">
        <f>=4*$E$5/1000/1000</f>
        <v>0.4</v>
      </c>
      <c r="G17" s="925" t="s">
        <v>2391</v>
      </c>
      <c r="H17" s="925" t="s">
        <v>2385</v>
      </c>
      <c r="I17" s="924">
        <v>3000</v>
      </c>
      <c r="J17" s="925">
        <f>=F17*I17</f>
        <v>1200</v>
      </c>
      <c r="K17" s="925">
        <f>=J17/$E$5</f>
        <v>0.012</v>
      </c>
      <c r="L17" s="923" t="s"/>
      <c r="M17" s="923" t="s"/>
      <c r="N17" s="923" t="s"/>
    </row>
    <row r="18" spans="1:14" customHeight="false">
      <c r="A18" s="923" t="s"/>
      <c r="B18" s="923" t="s"/>
      <c r="C18" s="923" t="s"/>
      <c r="D18" s="924">
        <v>4</v>
      </c>
      <c r="E18" s="924" t="s">
        <v>2085</v>
      </c>
      <c r="F18" s="925">
        <f>=15*$E$5/1000/1000</f>
        <v>1.5</v>
      </c>
      <c r="G18" s="925" t="s">
        <v>2388</v>
      </c>
      <c r="H18" s="925" t="s">
        <v>2385</v>
      </c>
      <c r="I18" s="924">
        <v>1500</v>
      </c>
      <c r="J18" s="925">
        <f>=F18*I18</f>
        <v>2250</v>
      </c>
      <c r="K18" s="925">
        <f>=J18/$E$5</f>
        <v>0.0225</v>
      </c>
      <c r="L18" s="923" t="s"/>
      <c r="M18" s="923" t="s"/>
      <c r="N18" s="923" t="s"/>
    </row>
    <row r="19" spans="1:14" customHeight="false">
      <c r="A19" s="923" t="s"/>
      <c r="B19" s="923" t="s"/>
      <c r="C19" s="923" t="s"/>
      <c r="D19" s="924">
        <v>2</v>
      </c>
      <c r="E19" s="924" t="s">
        <v>2392</v>
      </c>
      <c r="F19" s="926">
        <f>=10*2000/10000000</f>
        <v>0.002</v>
      </c>
      <c r="G19" s="925" t="s">
        <v>2393</v>
      </c>
      <c r="H19" s="925" t="s">
        <v>2385</v>
      </c>
      <c r="I19" s="924">
        <v>15000</v>
      </c>
      <c r="J19" s="925">
        <f>=F19*I19</f>
        <v>30</v>
      </c>
      <c r="K19" s="925">
        <f>=J19/$E$5</f>
        <v>0.0003</v>
      </c>
      <c r="L19" s="923" t="s"/>
      <c r="M19" s="923" t="s"/>
      <c r="N19" s="923" t="s"/>
    </row>
    <row r="20" spans="1:14" customHeight="false">
      <c r="A20" s="923" t="s"/>
      <c r="B20" s="923" t="s"/>
      <c r="C20" s="923" t="s"/>
      <c r="D20" s="924" t="s">
        <v>2386</v>
      </c>
      <c r="E20" s="924" t="s"/>
      <c r="F20" s="925" t="s"/>
      <c r="G20" s="925">
        <f>=SUM(G15:G18)</f>
        <v>0</v>
      </c>
      <c r="H20" s="925" t="s"/>
      <c r="I20" s="924" t="s"/>
      <c r="J20" s="925">
        <f>=SUM(J15:J19)</f>
        <v>7830</v>
      </c>
      <c r="K20" s="925">
        <f>=SUM(K15:K19)</f>
        <v>0.0783</v>
      </c>
      <c r="L20" s="923" t="s"/>
      <c r="M20" s="923" t="s"/>
      <c r="N20" s="923" t="s"/>
    </row>
    <row r="21" spans="1:14" customHeight="false">
      <c r="A21" s="923" t="s"/>
      <c r="B21" s="923" t="s"/>
      <c r="C21" s="923" t="s"/>
      <c r="D21" s="923" t="s"/>
      <c r="E21" s="923" t="s"/>
      <c r="F21" s="923" t="s"/>
      <c r="G21" s="923" t="s"/>
      <c r="H21" s="923" t="s"/>
      <c r="I21" s="923" t="s"/>
      <c r="J21" s="923" t="s"/>
      <c r="K21" s="923" t="s"/>
      <c r="L21" s="923" t="s"/>
      <c r="M21" s="923" t="s"/>
      <c r="N21" s="923" t="s"/>
    </row>
    <row r="22" spans="1:14" customHeight="false">
      <c r="A22" s="923" t="s"/>
      <c r="B22" s="923" t="s"/>
      <c r="C22" s="923" t="s"/>
      <c r="D22" s="923" t="s">
        <v>2394</v>
      </c>
      <c r="E22" s="923" t="s"/>
      <c r="F22" s="923" t="s"/>
      <c r="G22" s="923" t="s"/>
      <c r="H22" s="923" t="s"/>
      <c r="I22" s="923" t="s"/>
      <c r="J22" s="923" t="s"/>
      <c r="K22" s="923" t="s"/>
      <c r="L22" s="923" t="s"/>
      <c r="M22" s="923" t="s"/>
      <c r="N22" s="923" t="s"/>
    </row>
    <row r="23" spans="1:14" customHeight="false">
      <c r="A23" s="923" t="s"/>
      <c r="B23" s="923" t="s"/>
      <c r="C23" s="923" t="s"/>
      <c r="D23" s="924" t="s">
        <v>3</v>
      </c>
      <c r="E23" s="924" t="s">
        <v>2377</v>
      </c>
      <c r="F23" s="925" t="s">
        <v>2378</v>
      </c>
      <c r="G23" s="925" t="s">
        <v>2379</v>
      </c>
      <c r="H23" s="925" t="s">
        <v>7</v>
      </c>
      <c r="I23" s="924" t="s">
        <v>582</v>
      </c>
      <c r="J23" s="925" t="s">
        <v>2380</v>
      </c>
      <c r="K23" s="925" t="s">
        <v>2381</v>
      </c>
      <c r="L23" s="923" t="s"/>
      <c r="M23" s="923" t="s"/>
      <c r="N23" s="923" t="s"/>
    </row>
    <row r="24" spans="1:14" customHeight="false">
      <c r="A24" s="923" t="s"/>
      <c r="B24" s="923" t="s"/>
      <c r="C24" s="923" t="s"/>
      <c r="D24" s="924">
        <v>1</v>
      </c>
      <c r="E24" s="924" t="s">
        <v>2081</v>
      </c>
      <c r="F24" s="925">
        <f>=H5*0.0025</f>
        <v>0.039225</v>
      </c>
      <c r="G24" s="925">
        <f>=F24/$E$5</f>
        <v>0.00000039225</v>
      </c>
      <c r="H24" s="925" t="s">
        <v>2385</v>
      </c>
      <c r="I24" s="924">
        <v>30000</v>
      </c>
      <c r="J24" s="925">
        <f>=F24*I24</f>
        <v>1176.75</v>
      </c>
      <c r="K24" s="925">
        <f>=J24/$E$5</f>
        <v>0.0117675</v>
      </c>
      <c r="L24" s="923" t="s"/>
      <c r="M24" s="923" t="s"/>
      <c r="N24" s="923" t="s"/>
    </row>
    <row r="25" spans="1:14" customHeight="false">
      <c r="A25" s="923" t="s"/>
      <c r="B25" s="923" t="s"/>
      <c r="C25" s="923" t="s"/>
      <c r="D25" s="924">
        <v>2</v>
      </c>
      <c r="E25" s="924" t="s">
        <v>2395</v>
      </c>
      <c r="F25" s="925">
        <f>=H5/0.65</f>
        <v>24.1384615384615</v>
      </c>
      <c r="G25" s="925" t="s">
        <v>2396</v>
      </c>
      <c r="H25" s="925" t="s">
        <v>2385</v>
      </c>
      <c r="I25" s="924">
        <v>320</v>
      </c>
      <c r="J25" s="925">
        <f>=F25*I25</f>
        <v>7724.30769230769</v>
      </c>
      <c r="K25" s="925">
        <f>=J25/$E$5</f>
        <v>0.0772430769230769</v>
      </c>
      <c r="L25" s="923" t="s"/>
      <c r="M25" s="923" t="s"/>
      <c r="N25" s="923" t="s"/>
    </row>
    <row r="26" spans="1:14" customHeight="false">
      <c r="A26" s="923" t="s"/>
      <c r="B26" s="923" t="s"/>
      <c r="C26" s="923" t="s"/>
      <c r="D26" s="924" t="s">
        <v>2386</v>
      </c>
      <c r="E26" s="924" t="s"/>
      <c r="F26" s="925" t="s"/>
      <c r="G26" s="925" t="s"/>
      <c r="H26" s="925" t="s"/>
      <c r="I26" s="924" t="s"/>
      <c r="J26" s="925">
        <f>=SUM(J24:J25)</f>
        <v>8901.05769230769</v>
      </c>
      <c r="K26" s="925">
        <f>=SUM(K24:K25)</f>
        <v>0.0890105769230769</v>
      </c>
      <c r="L26" s="923" t="s"/>
      <c r="M26" s="923" t="s"/>
      <c r="N26" s="923" t="s"/>
    </row>
    <row r="27" spans="1:14" customHeight="false">
      <c r="A27" s="923" t="s"/>
      <c r="B27" s="923" t="s"/>
      <c r="C27" s="923" t="s"/>
      <c r="D27" s="923" t="s"/>
      <c r="E27" s="923" t="s"/>
      <c r="F27" s="923" t="s"/>
      <c r="G27" s="923" t="s"/>
      <c r="H27" s="923" t="s"/>
      <c r="I27" s="923" t="s"/>
      <c r="J27" s="923" t="s"/>
      <c r="K27" s="923" t="s"/>
      <c r="L27" s="923" t="s"/>
      <c r="M27" s="923" t="s">
        <v>2397</v>
      </c>
      <c r="N27" s="923" t="s"/>
    </row>
    <row r="28" spans="1:14" customHeight="false">
      <c r="A28" s="923" t="s"/>
      <c r="B28" s="923" t="s"/>
      <c r="C28" s="923" t="s"/>
      <c r="D28" s="923" t="s">
        <v>2398</v>
      </c>
      <c r="E28" s="927" t="s">
        <v>2399</v>
      </c>
      <c r="F28" s="927">
        <f>=K26+K20+K10</f>
        <v>0.577710093723077</v>
      </c>
      <c r="G28" s="928" t="s">
        <v>2381</v>
      </c>
      <c r="H28" s="923" t="s"/>
      <c r="I28" s="923" t="s"/>
      <c r="J28" s="923" t="s"/>
      <c r="K28" s="923" t="s"/>
      <c r="L28" s="923" t="s"/>
      <c r="M28" s="923" t="s"/>
      <c r="N28" s="923" t="s"/>
    </row>
    <row r="29" spans="1:14" customHeight="false">
      <c r="A29" s="923" t="s"/>
      <c r="B29" s="923" t="s"/>
      <c r="C29" s="923" t="s"/>
      <c r="D29" s="923" t="s"/>
      <c r="E29" s="923" t="s"/>
      <c r="F29" s="923" t="s"/>
      <c r="G29" s="923" t="s"/>
      <c r="H29" s="923" t="s"/>
      <c r="I29" s="923" t="s"/>
      <c r="J29" s="923" t="s"/>
      <c r="K29" s="923" t="s"/>
      <c r="L29" s="923" t="s"/>
      <c r="M29" s="923" t="s"/>
      <c r="N29" s="923" t="s"/>
    </row>
    <row r="30" spans="1:14" customHeight="false">
      <c r="A30" s="923" t="s"/>
      <c r="B30" s="923" t="s"/>
      <c r="C30" s="923" t="s"/>
      <c r="D30" s="924" t="s">
        <v>566</v>
      </c>
      <c r="E30" s="924" t="s">
        <v>2400</v>
      </c>
      <c r="F30" s="925">
        <v>365</v>
      </c>
      <c r="G30" s="925" t="s"/>
      <c r="H30" s="925" t="s">
        <v>2401</v>
      </c>
      <c r="I30" s="924">
        <v>20000</v>
      </c>
      <c r="J30" s="925" t="s">
        <v>2402</v>
      </c>
      <c r="K30" s="925" t="s"/>
      <c r="L30" s="923" t="s"/>
      <c r="M30" s="929" t="s"/>
      <c r="N30" s="929" t="s"/>
    </row>
    <row r="31" spans="1:14" customHeight="false">
      <c r="A31" s="923" t="s"/>
      <c r="B31" s="923" t="s"/>
      <c r="C31" s="923" t="s"/>
      <c r="D31" s="924" t="s"/>
      <c r="E31" s="924" t="s">
        <v>2403</v>
      </c>
      <c r="F31" s="925">
        <f>=I30*I31</f>
        <v>400</v>
      </c>
      <c r="G31" s="925" t="s">
        <v>2404</v>
      </c>
      <c r="H31" s="925" t="s">
        <v>2405</v>
      </c>
      <c r="I31" s="930">
        <v>0.02</v>
      </c>
      <c r="J31" s="925" t="s"/>
      <c r="K31" s="925" t="s"/>
      <c r="L31" s="929" t="s"/>
      <c r="M31" s="929" t="s"/>
      <c r="N31" s="929" t="s"/>
    </row>
    <row r="32" spans="1:14" customHeight="false">
      <c r="A32" s="923" t="s"/>
      <c r="B32" s="923" t="s"/>
      <c r="C32" s="923" t="s"/>
      <c r="D32" s="924" t="s"/>
      <c r="E32" s="924" t="s">
        <v>2406</v>
      </c>
      <c r="F32" s="925">
        <f>=F31/$F$30*10000</f>
        <v>10958.904109589</v>
      </c>
      <c r="G32" s="925" t="s">
        <v>2407</v>
      </c>
      <c r="H32" s="925" t="s"/>
      <c r="I32" s="924" t="s"/>
      <c r="J32" s="925" t="s"/>
      <c r="K32" s="925" t="s"/>
      <c r="L32" s="931" t="s"/>
      <c r="M32" s="929" t="s"/>
      <c r="N32" s="932" t="s"/>
    </row>
    <row r="33" spans="1:14" customHeight="false">
      <c r="A33" s="923" t="s"/>
      <c r="B33" s="923" t="s"/>
      <c r="C33" s="923" t="s"/>
      <c r="D33" s="923" t="s"/>
      <c r="E33" s="927" t="s"/>
      <c r="F33" s="927">
        <f>=F32/$E$5</f>
        <v>0.10958904109589</v>
      </c>
      <c r="G33" s="928" t="s">
        <v>2581</v>
      </c>
      <c r="H33" s="929" t="s"/>
      <c r="I33" s="929" t="s"/>
      <c r="J33" s="929" t="s"/>
      <c r="K33" s="929" t="s"/>
      <c r="L33" s="929" t="s"/>
      <c r="M33" s="929" t="s"/>
      <c r="N33" s="929" t="s"/>
    </row>
    <row r="34" spans="1:14" customHeight="false">
      <c r="A34" s="933" t="s"/>
      <c r="B34" s="933" t="s"/>
      <c r="C34" s="933" t="s"/>
      <c r="D34" s="934" t="s"/>
      <c r="E34" s="934" t="s"/>
      <c r="F34" s="935" t="s"/>
      <c r="G34" s="929" t="s"/>
      <c r="H34" s="929" t="s"/>
      <c r="I34" s="929" t="s"/>
      <c r="J34" s="929" t="s"/>
      <c r="K34" s="929" t="s"/>
      <c r="L34" s="929" t="s"/>
      <c r="M34" s="929" t="s"/>
      <c r="N34" s="929" t="s"/>
    </row>
    <row r="35" spans="1:14" customHeight="false">
      <c r="A35" s="923" t="s"/>
      <c r="B35" s="923" t="s"/>
      <c r="C35" s="923" t="s"/>
      <c r="D35" s="936" t="s">
        <v>568</v>
      </c>
      <c r="E35" s="936" t="s">
        <v>2408</v>
      </c>
      <c r="F35" s="936" t="s"/>
      <c r="G35" s="936" t="s"/>
      <c r="H35" s="936" t="s"/>
      <c r="I35" s="936" t="s"/>
      <c r="J35" s="936" t="s"/>
      <c r="K35" s="936" t="s"/>
      <c r="L35" s="929" t="s"/>
      <c r="M35" s="929" t="s"/>
      <c r="N35" s="929" t="s"/>
    </row>
    <row r="36" spans="1:14" customHeight="false">
      <c r="A36" s="923" t="s"/>
      <c r="B36" s="923" t="s"/>
      <c r="C36" s="923" t="s"/>
      <c r="D36" s="936" t="s"/>
      <c r="E36" s="937" t="s">
        <v>2409</v>
      </c>
      <c r="F36" s="938">
        <v>30000</v>
      </c>
      <c r="G36" s="937" t="s">
        <v>2410</v>
      </c>
      <c r="H36" s="936" t="s"/>
      <c r="I36" s="936" t="s"/>
      <c r="J36" s="936" t="s"/>
      <c r="K36" s="936" t="s"/>
      <c r="L36" s="929" t="s"/>
      <c r="M36" s="929" t="s"/>
      <c r="N36" s="929" t="s"/>
    </row>
    <row r="37" spans="1:14" customHeight="false">
      <c r="A37" s="923" t="s"/>
      <c r="B37" s="923" t="s"/>
      <c r="C37" s="923" t="s"/>
      <c r="D37" s="936" t="s"/>
      <c r="E37" s="937" t="s">
        <v>2411</v>
      </c>
      <c r="F37" s="937">
        <v>2</v>
      </c>
      <c r="G37" s="937" t="s">
        <v>2412</v>
      </c>
      <c r="H37" s="936" t="s"/>
      <c r="I37" s="936" t="s"/>
      <c r="J37" s="936" t="s"/>
      <c r="K37" s="936" t="s"/>
      <c r="L37" s="929" t="s"/>
      <c r="M37" s="929" t="s"/>
      <c r="N37" s="929" t="s"/>
    </row>
    <row r="38" spans="1:14" customHeight="false">
      <c r="A38" s="923" t="s"/>
      <c r="B38" s="923" t="s"/>
      <c r="C38" s="923" t="s"/>
      <c r="D38" s="936" t="s"/>
      <c r="E38" s="937" t="s">
        <v>2413</v>
      </c>
      <c r="F38" s="938">
        <v>18000</v>
      </c>
      <c r="G38" s="937" t="s">
        <v>2410</v>
      </c>
      <c r="H38" s="936" t="s"/>
      <c r="I38" s="936" t="s"/>
      <c r="J38" s="936" t="s"/>
      <c r="K38" s="936" t="s"/>
      <c r="L38" s="929" t="s"/>
      <c r="M38" s="929" t="s"/>
      <c r="N38" s="929" t="s"/>
    </row>
    <row r="39" spans="1:14" customHeight="false">
      <c r="A39" s="923" t="s"/>
      <c r="B39" s="923" t="s"/>
      <c r="C39" s="923" t="s"/>
      <c r="D39" s="936" t="s"/>
      <c r="E39" s="937" t="s">
        <v>2414</v>
      </c>
      <c r="F39" s="937">
        <v>8</v>
      </c>
      <c r="G39" s="937" t="s">
        <v>2412</v>
      </c>
      <c r="H39" s="936" t="s"/>
      <c r="I39" s="936" t="s"/>
      <c r="J39" s="936" t="s"/>
      <c r="K39" s="936" t="s"/>
      <c r="L39" s="929" t="s"/>
      <c r="M39" s="929" t="s"/>
      <c r="N39" s="929" t="s"/>
    </row>
    <row r="40" spans="1:14" customHeight="false">
      <c r="A40" s="923" t="s"/>
      <c r="B40" s="923" t="s"/>
      <c r="C40" s="923" t="s"/>
      <c r="D40" s="936" t="s"/>
      <c r="E40" s="937" t="s">
        <v>2415</v>
      </c>
      <c r="F40" s="938">
        <v>12000</v>
      </c>
      <c r="G40" s="937" t="s">
        <v>2410</v>
      </c>
      <c r="H40" s="936" t="s"/>
      <c r="I40" s="936" t="s"/>
      <c r="J40" s="936" t="s"/>
      <c r="K40" s="936" t="s"/>
      <c r="L40" s="929" t="s"/>
      <c r="M40" s="929" t="s"/>
      <c r="N40" s="929" t="s"/>
    </row>
    <row r="41" spans="1:14" customHeight="false">
      <c r="A41" s="923" t="s"/>
      <c r="B41" s="923" t="s"/>
      <c r="C41" s="923" t="s"/>
      <c r="D41" s="936" t="s"/>
      <c r="E41" s="937" t="s">
        <v>2416</v>
      </c>
      <c r="F41" s="937">
        <v>30</v>
      </c>
      <c r="G41" s="937" t="s">
        <v>2412</v>
      </c>
      <c r="H41" s="936" t="s"/>
      <c r="I41" s="936" t="s"/>
      <c r="J41" s="936" t="s"/>
      <c r="K41" s="936" t="s"/>
      <c r="L41" s="929" t="s"/>
      <c r="M41" s="929" t="s"/>
      <c r="N41" s="929" t="s"/>
    </row>
    <row r="42" spans="1:14" customHeight="false">
      <c r="A42" s="923" t="s"/>
      <c r="B42" s="923" t="s"/>
      <c r="C42" s="923" t="s"/>
      <c r="D42" s="936" t="s"/>
      <c r="E42" s="937" t="s">
        <v>2417</v>
      </c>
      <c r="F42" s="937">
        <f>=F37+F39+F41</f>
        <v>40</v>
      </c>
      <c r="G42" s="937" t="s">
        <v>2412</v>
      </c>
      <c r="H42" s="936" t="s"/>
      <c r="I42" s="936" t="s"/>
      <c r="J42" s="936" t="s"/>
      <c r="K42" s="936" t="s"/>
      <c r="L42" s="929" t="s"/>
      <c r="M42" s="929" t="s"/>
      <c r="N42" s="929" t="s"/>
    </row>
    <row r="43" spans="1:14" customHeight="false">
      <c r="A43" s="923" t="s"/>
      <c r="B43" s="923" t="s"/>
      <c r="C43" s="923" t="s"/>
      <c r="D43" s="936" t="s"/>
      <c r="E43" s="936" t="s"/>
      <c r="F43" s="936" t="s"/>
      <c r="G43" s="936" t="s"/>
      <c r="H43" s="936" t="s"/>
      <c r="I43" s="936" t="s"/>
      <c r="J43" s="936" t="s"/>
      <c r="K43" s="936" t="s"/>
      <c r="L43" s="929" t="s"/>
      <c r="M43" s="929" t="s"/>
      <c r="N43" s="929" t="s"/>
    </row>
    <row r="44" spans="1:14" customHeight="false">
      <c r="A44" s="923" t="s"/>
      <c r="B44" s="923" t="s"/>
      <c r="C44" s="923" t="s"/>
      <c r="D44" s="936" t="s"/>
      <c r="E44" s="936" t="s">
        <v>2418</v>
      </c>
      <c r="F44" s="939">
        <f>=(F36*F37+F38*F39+F40*F41)*12/10000</f>
        <v>676.8</v>
      </c>
      <c r="G44" s="936" t="s">
        <v>2404</v>
      </c>
      <c r="H44" s="940" t="s"/>
      <c r="I44" s="936" t="s"/>
      <c r="J44" s="936" t="s"/>
      <c r="K44" s="936" t="s"/>
      <c r="L44" s="929" t="s"/>
      <c r="M44" s="929" t="s"/>
      <c r="N44" s="929" t="s"/>
    </row>
    <row r="45" spans="1:14" customHeight="false">
      <c r="A45" s="923" t="s"/>
      <c r="B45" s="923" t="s"/>
      <c r="C45" s="923" t="s"/>
      <c r="D45" s="936" t="s"/>
      <c r="E45" s="936" t="s">
        <v>2419</v>
      </c>
      <c r="F45" s="939">
        <f>=F44/$F$30*10000</f>
        <v>18542.4657534247</v>
      </c>
      <c r="G45" s="936" t="s">
        <v>2407</v>
      </c>
      <c r="H45" s="941" t="s"/>
      <c r="I45" s="941" t="s"/>
      <c r="J45" s="942" t="s"/>
      <c r="K45" s="936" t="s"/>
      <c r="L45" s="929" t="s"/>
      <c r="M45" s="929" t="s"/>
      <c r="N45" s="929" t="s"/>
    </row>
    <row r="46" spans="1:14" customHeight="false">
      <c r="A46" s="923" t="s"/>
      <c r="B46" s="923" t="s"/>
      <c r="C46" s="923" t="s"/>
      <c r="D46" s="929" t="s"/>
      <c r="E46" s="927" t="s"/>
      <c r="F46" s="927">
        <f>=F45/$E$5</f>
        <v>0.185424657534247</v>
      </c>
      <c r="G46" s="928" t="s">
        <v>2381</v>
      </c>
      <c r="H46" s="929" t="s"/>
      <c r="I46" s="929" t="s"/>
      <c r="J46" s="929" t="s"/>
      <c r="K46" s="929" t="s"/>
      <c r="L46" s="929" t="s"/>
      <c r="M46" s="929" t="s"/>
      <c r="N46" s="929" t="s"/>
    </row>
    <row r="47" spans="1:14" customHeight="false">
      <c r="A47" s="933" t="s"/>
      <c r="B47" s="933" t="s"/>
      <c r="C47" s="933" t="s"/>
      <c r="D47" s="929" t="s"/>
      <c r="E47" s="934" t="s"/>
      <c r="F47" s="934" t="s"/>
      <c r="G47" s="935" t="s"/>
      <c r="H47" s="929" t="s"/>
      <c r="I47" s="929" t="s"/>
      <c r="J47" s="929" t="s"/>
      <c r="K47" s="929" t="s"/>
      <c r="L47" s="929" t="s"/>
      <c r="M47" s="929" t="s"/>
      <c r="N47" s="929" t="s"/>
    </row>
    <row r="48" spans="1:14" customHeight="false">
      <c r="A48" s="923" t="s"/>
      <c r="B48" s="923" t="s"/>
      <c r="C48" s="923" t="s"/>
      <c r="D48" s="929" t="s">
        <v>570</v>
      </c>
      <c r="E48" s="929" t="s">
        <v>2420</v>
      </c>
      <c r="F48" s="929" t="s"/>
      <c r="G48" s="929" t="s"/>
      <c r="H48" s="929" t="s"/>
      <c r="I48" s="929" t="s"/>
      <c r="J48" s="929" t="s"/>
      <c r="K48" s="929" t="s"/>
      <c r="L48" s="929" t="s"/>
      <c r="M48" s="929" t="s"/>
      <c r="N48" s="929" t="s"/>
    </row>
    <row r="49" spans="1:14" customHeight="false">
      <c r="A49" s="923" t="s"/>
      <c r="B49" s="923" t="s"/>
      <c r="C49" s="923" t="s"/>
      <c r="D49" s="936" t="s"/>
      <c r="E49" s="943" t="s">
        <v>2421</v>
      </c>
      <c r="F49" s="944">
        <f>=(F44)*30%</f>
        <v>203.04</v>
      </c>
      <c r="G49" s="936" t="s">
        <v>2404</v>
      </c>
      <c r="H49" s="940" t="s"/>
      <c r="I49" s="936" t="s"/>
      <c r="J49" s="936" t="s"/>
      <c r="K49" s="936" t="s"/>
      <c r="L49" s="929" t="s"/>
      <c r="M49" s="929" t="s"/>
      <c r="N49" s="929" t="s"/>
    </row>
    <row r="50" spans="1:14" customHeight="false">
      <c r="A50" s="923" t="s"/>
      <c r="B50" s="923" t="s"/>
      <c r="C50" s="923" t="s"/>
      <c r="D50" s="936" t="s"/>
      <c r="E50" s="943" t="s">
        <v>2422</v>
      </c>
      <c r="F50" s="944">
        <f>=F44*0.07</f>
        <v>47.376</v>
      </c>
      <c r="G50" s="936" t="s">
        <v>2404</v>
      </c>
      <c r="H50" s="940" t="s"/>
      <c r="I50" s="936" t="s"/>
      <c r="J50" s="936" t="s"/>
      <c r="K50" s="936" t="s"/>
      <c r="L50" s="929" t="s"/>
      <c r="M50" s="929" t="s"/>
      <c r="N50" s="929" t="s"/>
    </row>
    <row r="51" spans="1:14" customHeight="false">
      <c r="A51" s="923" t="s"/>
      <c r="B51" s="923" t="s"/>
      <c r="C51" s="923" t="s"/>
      <c r="D51" s="936" t="s"/>
      <c r="E51" s="943" t="s">
        <v>2423</v>
      </c>
      <c r="F51" s="944">
        <f>=50000*0.0036</f>
        <v>180</v>
      </c>
      <c r="G51" s="936" t="s">
        <v>2404</v>
      </c>
      <c r="H51" s="940" t="s"/>
      <c r="I51" s="936" t="s"/>
      <c r="J51" s="936" t="s"/>
      <c r="K51" s="936" t="s"/>
      <c r="L51" s="929" t="s"/>
      <c r="M51" s="929" t="s"/>
      <c r="N51" s="929" t="s"/>
    </row>
    <row r="52" spans="1:14" customHeight="false">
      <c r="A52" s="923" t="s"/>
      <c r="B52" s="923" t="s"/>
      <c r="C52" s="923" t="s"/>
      <c r="D52" s="936" t="s"/>
      <c r="E52" s="943" t="s">
        <v>2424</v>
      </c>
      <c r="F52" s="944">
        <v>30</v>
      </c>
      <c r="G52" s="936" t="s">
        <v>2404</v>
      </c>
      <c r="H52" s="940" t="s"/>
      <c r="I52" s="936" t="s"/>
      <c r="J52" s="936" t="s"/>
      <c r="K52" s="936" t="s"/>
      <c r="L52" s="929" t="s"/>
      <c r="M52" s="929" t="s"/>
      <c r="N52" s="929" t="s"/>
    </row>
    <row r="53" spans="1:14" customHeight="false">
      <c r="A53" s="923" t="s"/>
      <c r="B53" s="923" t="s"/>
      <c r="C53" s="923" t="s"/>
      <c r="D53" s="929" t="s"/>
      <c r="E53" s="945" t="s">
        <v>2386</v>
      </c>
      <c r="F53" s="946">
        <f>=SUM(F49:F52)</f>
        <v>460.416</v>
      </c>
      <c r="G53" s="929" t="s">
        <v>2404</v>
      </c>
      <c r="H53" s="947" t="s"/>
      <c r="I53" s="929" t="s"/>
      <c r="J53" s="929" t="s"/>
      <c r="K53" s="929" t="s"/>
      <c r="L53" s="929" t="s"/>
      <c r="M53" s="929" t="s"/>
      <c r="N53" s="929" t="s"/>
    </row>
    <row r="54" spans="1:14" customHeight="false">
      <c r="A54" s="923" t="s"/>
      <c r="B54" s="923" t="s"/>
      <c r="C54" s="923" t="s"/>
      <c r="D54" s="929" t="s"/>
      <c r="E54" s="936" t="s">
        <v>2419</v>
      </c>
      <c r="F54" s="939">
        <f>=F53/$F$30*10000</f>
        <v>12614.1369863014</v>
      </c>
      <c r="G54" s="936" t="s">
        <v>2407</v>
      </c>
      <c r="H54" s="947" t="s"/>
      <c r="I54" s="929" t="s"/>
      <c r="J54" s="929" t="s"/>
      <c r="K54" s="929" t="s"/>
      <c r="L54" s="929" t="s"/>
      <c r="M54" s="929" t="s"/>
      <c r="N54" s="929" t="s"/>
    </row>
    <row r="55" spans="1:14" customHeight="false">
      <c r="A55" s="923" t="s"/>
      <c r="B55" s="923" t="s"/>
      <c r="C55" s="923" t="s"/>
      <c r="D55" s="923" t="s"/>
      <c r="E55" s="927" t="s"/>
      <c r="F55" s="927">
        <f>=F54/$E$5</f>
        <v>0.126141369863014</v>
      </c>
      <c r="G55" s="928" t="s">
        <v>2381</v>
      </c>
      <c r="H55" s="923" t="s"/>
      <c r="I55" s="923" t="s"/>
      <c r="J55" s="923" t="s"/>
      <c r="K55" s="923" t="s"/>
      <c r="L55" s="923" t="s"/>
      <c r="M55" s="923" t="s"/>
      <c r="N55" s="923" t="s"/>
    </row>
    <row r="56" spans="1:14" customHeight="false">
      <c r="A56" s="923" t="s"/>
      <c r="B56" s="923" t="s"/>
      <c r="C56" s="923" t="s"/>
      <c r="D56" s="923" t="s"/>
      <c r="E56" s="923" t="s"/>
      <c r="F56" s="923" t="s"/>
      <c r="G56" s="923" t="s"/>
      <c r="H56" s="923" t="s"/>
      <c r="I56" s="923" t="s"/>
      <c r="J56" s="923" t="s"/>
      <c r="K56" s="923" t="s"/>
      <c r="L56" s="923" t="s"/>
      <c r="M56" s="923" t="s"/>
      <c r="N56" s="923" t="s"/>
    </row>
    <row r="57" spans="1:14" customHeight="false">
      <c r="A57" s="923" t="s"/>
      <c r="B57" s="923" t="s"/>
      <c r="C57" s="923" t="s"/>
      <c r="D57" s="923" t="s"/>
      <c r="E57" s="923" t="s"/>
      <c r="F57" s="923" t="s"/>
      <c r="G57" s="923" t="s"/>
      <c r="H57" s="923" t="s"/>
      <c r="I57" s="923" t="s"/>
      <c r="J57" s="923" t="s"/>
      <c r="K57" s="923" t="s"/>
      <c r="L57" s="923" t="s"/>
      <c r="M57" s="923" t="s"/>
      <c r="N57" s="923" t="s"/>
    </row>
    <row r="58" spans="1:14" customHeight="false">
      <c r="A58" s="923" t="s"/>
      <c r="B58" s="923" t="s"/>
      <c r="C58" s="923" t="s"/>
      <c r="D58" s="923" t="s"/>
      <c r="E58" s="923" t="s"/>
      <c r="F58" s="923" t="s"/>
      <c r="G58" s="923" t="s"/>
      <c r="H58" s="923" t="s"/>
      <c r="I58" s="923" t="s"/>
      <c r="J58" s="923" t="s"/>
      <c r="K58" s="923" t="s"/>
      <c r="L58" s="923" t="s"/>
      <c r="M58" s="923" t="s"/>
      <c r="N58" s="923" t="s"/>
    </row>
    <row r="59" spans="1:14" customHeight="false">
      <c r="A59" s="923" t="s"/>
      <c r="B59" s="923" t="s"/>
      <c r="C59" s="923" t="s"/>
      <c r="D59" s="923" t="s"/>
      <c r="E59" s="923" t="s"/>
      <c r="F59" s="923" t="s"/>
      <c r="G59" s="923" t="s"/>
      <c r="H59" s="923" t="s"/>
      <c r="I59" s="923" t="s"/>
      <c r="J59" s="923" t="s"/>
      <c r="K59" s="923" t="s"/>
      <c r="L59" s="923" t="s"/>
      <c r="M59" s="923" t="s"/>
      <c r="N59" s="923" t="s"/>
    </row>
    <row r="60" spans="1:14" customHeight="false">
      <c r="A60" s="923" t="s"/>
      <c r="B60" s="923" t="s"/>
      <c r="C60" s="923" t="s"/>
      <c r="D60" s="948" t="s"/>
      <c r="E60" s="948" t="s">
        <v>2425</v>
      </c>
      <c r="F60" s="949">
        <f>=F28+F33+F46+F55</f>
        <v>0.998865162216228</v>
      </c>
      <c r="G60" s="948" t="s">
        <v>2426</v>
      </c>
      <c r="H60" s="929" t="s"/>
      <c r="I60" s="929" t="s"/>
      <c r="J60" s="929" t="s"/>
      <c r="K60" s="929" t="s"/>
      <c r="L60" s="929" t="s"/>
      <c r="M60" s="929" t="s"/>
      <c r="N60" s="929" t="s"/>
    </row>
    <row r="61" spans="1:14" customHeight="false">
      <c r="A61" s="923" t="s"/>
      <c r="B61" s="923" t="s"/>
      <c r="C61" s="923" t="s"/>
      <c r="D61" s="949" t="s"/>
      <c r="E61" s="949" t="s">
        <v>2427</v>
      </c>
      <c r="F61" s="949">
        <f>=F60-K25</f>
        <v>0.921622085293151</v>
      </c>
      <c r="G61" s="949" t="s">
        <v>2426</v>
      </c>
      <c r="H61" s="923" t="s"/>
      <c r="I61" s="923" t="s"/>
      <c r="J61" s="923" t="s"/>
      <c r="K61" s="923" t="s"/>
      <c r="L61" s="923" t="s"/>
      <c r="M61" s="923" t="s"/>
      <c r="N61" s="923" t="s"/>
    </row>
    <row r="62" spans="1:14" customHeight="false">
      <c r="A62" s="923" t="s"/>
      <c r="B62" s="923" t="s"/>
      <c r="C62" s="923" t="s"/>
      <c r="D62" s="923" t="s"/>
      <c r="E62" s="923" t="s"/>
      <c r="F62" s="923" t="s"/>
      <c r="G62" s="923" t="s"/>
      <c r="H62" s="923" t="s"/>
      <c r="I62" s="923" t="s"/>
      <c r="J62" s="923" t="s"/>
      <c r="K62" s="923" t="s"/>
      <c r="L62" s="923" t="s"/>
      <c r="M62" s="923" t="s"/>
      <c r="N62" s="923" t="s"/>
    </row>
    <row r="63" spans="1:14" customHeight="false">
      <c r="A63" s="923" t="s"/>
      <c r="B63" s="923" t="s"/>
      <c r="C63" s="923" t="s"/>
      <c r="D63" s="923" t="s"/>
      <c r="E63" s="923" t="s"/>
      <c r="F63" s="923" t="s"/>
      <c r="G63" s="923" t="s"/>
      <c r="H63" s="923" t="s"/>
      <c r="I63" s="923" t="s"/>
      <c r="J63" s="923" t="s"/>
      <c r="K63" s="923" t="s"/>
      <c r="L63" s="923" t="s"/>
      <c r="M63" s="923" t="s"/>
      <c r="N63" s="923" t="s"/>
    </row>
    <row r="64" spans="1:14" customHeight="false">
      <c r="A64" s="923" t="s"/>
      <c r="B64" s="923" t="s"/>
      <c r="C64" s="923" t="s"/>
      <c r="D64" s="923" t="s"/>
      <c r="E64" s="923" t="s"/>
      <c r="F64" s="923" t="s"/>
      <c r="G64" s="923" t="s"/>
      <c r="H64" s="923" t="s"/>
      <c r="I64" s="923" t="s"/>
      <c r="J64" s="923" t="s"/>
      <c r="K64" s="923" t="s"/>
      <c r="L64" s="923" t="s"/>
      <c r="M64" s="923" t="s"/>
      <c r="N64" s="923" t="s"/>
    </row>
    <row r="65" spans="1:14" customHeight="false">
      <c r="A65" s="923" t="s"/>
      <c r="B65" s="923" t="s"/>
      <c r="C65" s="923" t="s"/>
      <c r="D65" s="923" t="s"/>
      <c r="E65" s="923" t="s"/>
      <c r="F65" s="923" t="s"/>
      <c r="G65" s="923" t="s"/>
      <c r="H65" s="923" t="s"/>
      <c r="I65" s="923" t="s"/>
      <c r="J65" s="923" t="s"/>
      <c r="K65" s="923" t="s"/>
      <c r="L65" s="923" t="s"/>
      <c r="M65" s="923" t="s"/>
      <c r="N65" s="923" t="s"/>
    </row>
    <row r="66" spans="1:14" customHeight="false">
      <c r="A66" s="923" t="s"/>
      <c r="B66" s="923" t="s"/>
      <c r="C66" s="923" t="s"/>
      <c r="D66" s="923" t="s"/>
      <c r="E66" s="923" t="s"/>
      <c r="F66" s="923" t="s"/>
      <c r="G66" s="923" t="s"/>
      <c r="H66" s="923" t="s"/>
      <c r="I66" s="923" t="s"/>
      <c r="J66" s="923" t="s"/>
      <c r="K66" s="923" t="s"/>
      <c r="L66" s="923" t="s"/>
      <c r="M66" s="923" t="s"/>
      <c r="N66" s="923" t="s"/>
    </row>
    <row r="67" spans="1:14" customHeight="false">
      <c r="A67" s="923" t="s"/>
      <c r="B67" s="923" t="s"/>
      <c r="C67" s="923" t="s"/>
      <c r="D67" s="923" t="s"/>
      <c r="E67" s="923" t="s"/>
      <c r="F67" s="923" t="s"/>
      <c r="G67" s="923" t="s"/>
      <c r="H67" s="923" t="s"/>
      <c r="I67" s="923" t="s"/>
      <c r="J67" s="923" t="s"/>
      <c r="K67" s="923" t="s"/>
      <c r="L67" s="923" t="s"/>
      <c r="M67" s="923" t="s"/>
      <c r="N67" s="923" t="s"/>
    </row>
    <row r="68" spans="1:14" customHeight="false">
      <c r="A68" s="923" t="s"/>
      <c r="B68" s="923" t="s"/>
      <c r="C68" s="923" t="s"/>
      <c r="D68" s="923" t="s"/>
      <c r="E68" s="923" t="s"/>
      <c r="F68" s="923" t="s"/>
      <c r="G68" s="923" t="s"/>
      <c r="H68" s="923" t="s"/>
      <c r="I68" s="923" t="s"/>
      <c r="J68" s="923" t="s"/>
      <c r="K68" s="923" t="s"/>
      <c r="L68" s="923" t="s"/>
      <c r="M68" s="923" t="s"/>
      <c r="N68" s="923" t="s"/>
    </row>
    <row r="69" spans="1:14" customHeight="false">
      <c r="A69" s="923" t="s"/>
      <c r="B69" s="923" t="s"/>
      <c r="C69" s="923" t="s"/>
      <c r="D69" s="923" t="s"/>
      <c r="E69" s="923" t="s"/>
      <c r="F69" s="923" t="s"/>
      <c r="G69" s="923" t="s"/>
      <c r="H69" s="923" t="s"/>
      <c r="I69" s="923" t="s"/>
      <c r="J69" s="923" t="s"/>
      <c r="K69" s="923" t="s"/>
      <c r="L69" s="923" t="s"/>
      <c r="M69" s="923" t="s"/>
      <c r="N69" s="923" t="s"/>
    </row>
    <row r="70" spans="1:14" customHeight="false">
      <c r="A70" s="923" t="s"/>
      <c r="B70" s="923" t="s"/>
      <c r="C70" s="923" t="s"/>
      <c r="D70" s="923" t="s"/>
      <c r="E70" s="923" t="s"/>
      <c r="F70" s="923" t="s"/>
      <c r="G70" s="923" t="s"/>
      <c r="H70" s="923" t="s"/>
      <c r="I70" s="923" t="s"/>
      <c r="J70" s="923" t="s"/>
      <c r="K70" s="923" t="s"/>
      <c r="L70" s="923" t="s"/>
      <c r="M70" s="923" t="s"/>
      <c r="N70" s="923" t="s"/>
    </row>
    <row r="71" spans="1:14" customHeight="false">
      <c r="A71" s="923" t="s"/>
      <c r="B71" s="923" t="s"/>
      <c r="C71" s="923" t="s"/>
      <c r="D71" s="923" t="s"/>
      <c r="E71" s="923" t="s"/>
      <c r="F71" s="923" t="s"/>
      <c r="G71" s="923" t="s"/>
      <c r="H71" s="923" t="s"/>
      <c r="I71" s="923" t="s"/>
      <c r="J71" s="923" t="s"/>
      <c r="K71" s="923" t="s"/>
      <c r="L71" s="923" t="s"/>
      <c r="M71" s="923" t="s"/>
      <c r="N71" s="923" t="s"/>
    </row>
    <row r="72" spans="1:14" customHeight="false">
      <c r="A72" s="923" t="s"/>
      <c r="B72" s="923" t="s"/>
      <c r="C72" s="923" t="s"/>
      <c r="D72" s="923" t="s"/>
      <c r="E72" s="923" t="s"/>
      <c r="F72" s="923" t="s"/>
      <c r="G72" s="923" t="s"/>
      <c r="H72" s="923" t="s"/>
      <c r="I72" s="923" t="s"/>
      <c r="J72" s="923" t="s"/>
      <c r="K72" s="923" t="s"/>
      <c r="L72" s="923" t="s"/>
      <c r="M72" s="923" t="s"/>
      <c r="N72" s="923" t="s"/>
    </row>
    <row r="73" spans="1:14" customHeight="false">
      <c r="A73" s="923" t="s"/>
      <c r="B73" s="923" t="s"/>
      <c r="C73" s="923" t="s"/>
      <c r="D73" s="923" t="s"/>
      <c r="E73" s="923" t="s"/>
      <c r="F73" s="923" t="s"/>
      <c r="G73" s="923" t="s"/>
      <c r="H73" s="923" t="s"/>
      <c r="I73" s="923" t="s"/>
      <c r="J73" s="923" t="s"/>
      <c r="K73" s="923" t="s"/>
      <c r="L73" s="923" t="s"/>
      <c r="M73" s="923" t="s"/>
      <c r="N73" s="923" t="s"/>
    </row>
    <row r="74" spans="1:14" customHeight="false">
      <c r="A74" s="923" t="s"/>
      <c r="B74" s="923" t="s"/>
      <c r="C74" s="923" t="s"/>
      <c r="D74" s="923" t="s"/>
      <c r="E74" s="923" t="s"/>
      <c r="F74" s="923" t="s"/>
      <c r="G74" s="923" t="s"/>
      <c r="H74" s="923" t="s"/>
      <c r="I74" s="923" t="s"/>
      <c r="J74" s="923" t="s"/>
      <c r="K74" s="923" t="s"/>
      <c r="L74" s="923" t="s"/>
      <c r="M74" s="923" t="s"/>
      <c r="N74" s="923" t="s"/>
    </row>
    <row r="75" spans="1:14" customHeight="false">
      <c r="A75" s="923" t="s"/>
      <c r="B75" s="923" t="s"/>
      <c r="C75" s="923" t="s"/>
      <c r="D75" s="923" t="s"/>
      <c r="E75" s="923" t="s"/>
      <c r="F75" s="923" t="s"/>
      <c r="G75" s="923" t="s"/>
      <c r="H75" s="923" t="s"/>
      <c r="I75" s="923" t="s"/>
      <c r="J75" s="923" t="s"/>
      <c r="K75" s="923" t="s"/>
      <c r="L75" s="923" t="s"/>
      <c r="M75" s="923" t="s"/>
      <c r="N75" s="923" t="s"/>
    </row>
    <row r="76" spans="1:14" customHeight="false">
      <c r="A76" s="923" t="s"/>
      <c r="B76" s="923" t="s"/>
      <c r="C76" s="923" t="s"/>
      <c r="D76" s="923" t="s"/>
      <c r="E76" s="923" t="s"/>
      <c r="F76" s="923" t="s"/>
      <c r="G76" s="923" t="s"/>
      <c r="H76" s="923" t="s"/>
      <c r="I76" s="923" t="s"/>
      <c r="J76" s="923" t="s"/>
      <c r="K76" s="923" t="s"/>
      <c r="L76" s="923" t="s"/>
      <c r="M76" s="923" t="s"/>
      <c r="N76" s="923" t="s"/>
    </row>
    <row r="77" spans="1:14" customHeight="false">
      <c r="A77" s="923" t="s"/>
      <c r="B77" s="923" t="s"/>
      <c r="C77" s="923" t="s"/>
      <c r="D77" s="923" t="s"/>
      <c r="E77" s="923" t="s"/>
      <c r="F77" s="923" t="s"/>
      <c r="G77" s="923" t="s"/>
      <c r="H77" s="923" t="s"/>
      <c r="I77" s="923" t="s"/>
      <c r="J77" s="923" t="s"/>
      <c r="K77" s="923" t="s"/>
      <c r="L77" s="923" t="s"/>
      <c r="M77" s="923" t="s"/>
      <c r="N77" s="923" t="s"/>
    </row>
    <row r="78" spans="1:14" customHeight="false">
      <c r="A78" s="923" t="s"/>
      <c r="B78" s="923" t="s"/>
      <c r="C78" s="923" t="s"/>
      <c r="D78" s="923" t="s"/>
      <c r="E78" s="923" t="s"/>
      <c r="F78" s="923" t="s"/>
      <c r="G78" s="923" t="s"/>
      <c r="H78" s="923" t="s"/>
      <c r="I78" s="923" t="s"/>
      <c r="J78" s="923" t="s"/>
      <c r="K78" s="923" t="s"/>
      <c r="L78" s="923" t="s"/>
      <c r="M78" s="923" t="s"/>
      <c r="N78" s="923" t="s"/>
    </row>
    <row r="79" spans="1:14" customHeight="false">
      <c r="A79" s="923" t="s"/>
      <c r="B79" s="923" t="s"/>
      <c r="C79" s="923" t="s"/>
      <c r="D79" s="923" t="s"/>
      <c r="E79" s="923" t="s"/>
      <c r="F79" s="923" t="s"/>
      <c r="G79" s="923" t="s"/>
      <c r="H79" s="923" t="s"/>
      <c r="I79" s="923" t="s"/>
      <c r="J79" s="923" t="s"/>
      <c r="K79" s="923" t="s"/>
      <c r="L79" s="923" t="s"/>
      <c r="M79" s="923" t="s"/>
      <c r="N79" s="923" t="s"/>
    </row>
    <row r="80" spans="1:14" customHeight="false">
      <c r="A80" s="923" t="s"/>
      <c r="B80" s="923" t="s"/>
      <c r="C80" s="923" t="s"/>
      <c r="D80" s="923" t="s"/>
      <c r="E80" s="923" t="s"/>
      <c r="F80" s="923" t="s"/>
      <c r="G80" s="923" t="s"/>
      <c r="H80" s="923" t="s"/>
      <c r="I80" s="923" t="s"/>
      <c r="J80" s="923" t="s"/>
      <c r="K80" s="923" t="s"/>
      <c r="L80" s="923" t="s"/>
      <c r="M80" s="923" t="s"/>
      <c r="N80" s="923" t="s"/>
    </row>
    <row r="81" spans="1:14" customHeight="false">
      <c r="A81" s="923" t="s"/>
      <c r="B81" s="923" t="s"/>
      <c r="C81" s="923" t="s"/>
      <c r="D81" s="923" t="s"/>
      <c r="E81" s="923" t="s"/>
      <c r="F81" s="923" t="s"/>
      <c r="G81" s="923" t="s"/>
      <c r="H81" s="923" t="s"/>
      <c r="I81" s="923" t="s"/>
      <c r="J81" s="923" t="s"/>
      <c r="K81" s="923" t="s"/>
      <c r="L81" s="923" t="s"/>
      <c r="M81" s="923" t="s"/>
      <c r="N81" s="923" t="s"/>
    </row>
    <row r="82" spans="1:14" customHeight="false">
      <c r="A82" s="923" t="s"/>
      <c r="B82" s="923" t="s"/>
      <c r="C82" s="923" t="s"/>
      <c r="D82" s="923" t="s"/>
      <c r="E82" s="923" t="s"/>
      <c r="F82" s="923" t="s"/>
      <c r="G82" s="923" t="s"/>
      <c r="H82" s="923" t="s"/>
      <c r="I82" s="923" t="s"/>
      <c r="J82" s="923" t="s"/>
      <c r="K82" s="923" t="s"/>
      <c r="L82" s="923" t="s"/>
      <c r="M82" s="923" t="s"/>
      <c r="N82" s="923" t="s"/>
    </row>
    <row r="83" spans="1:14" customHeight="false">
      <c r="A83" s="923" t="s"/>
      <c r="B83" s="923" t="s"/>
      <c r="C83" s="923" t="s"/>
      <c r="D83" s="923" t="s"/>
      <c r="E83" s="923" t="s"/>
      <c r="F83" s="923" t="s"/>
      <c r="G83" s="923" t="s"/>
      <c r="H83" s="923" t="s"/>
      <c r="I83" s="923" t="s"/>
      <c r="J83" s="923" t="s"/>
      <c r="K83" s="923" t="s"/>
      <c r="L83" s="923" t="s"/>
      <c r="M83" s="923" t="s"/>
      <c r="N83" s="923" t="s"/>
    </row>
    <row r="84" spans="1:14" customHeight="false">
      <c r="A84" s="923" t="s"/>
      <c r="B84" s="923" t="s"/>
      <c r="C84" s="923" t="s"/>
      <c r="D84" s="923" t="s"/>
      <c r="E84" s="923" t="s"/>
      <c r="F84" s="923" t="s"/>
      <c r="G84" s="923" t="s"/>
      <c r="H84" s="923" t="s"/>
      <c r="I84" s="923" t="s"/>
      <c r="J84" s="923" t="s"/>
      <c r="K84" s="923" t="s"/>
      <c r="L84" s="923" t="s"/>
      <c r="M84" s="923" t="s"/>
      <c r="N84" s="923" t="s"/>
    </row>
    <row r="85" spans="1:14" customHeight="false">
      <c r="A85" s="923" t="s"/>
      <c r="B85" s="923" t="s"/>
      <c r="C85" s="923" t="s"/>
      <c r="D85" s="923" t="s"/>
      <c r="E85" s="923" t="s"/>
      <c r="F85" s="923" t="s"/>
      <c r="G85" s="923" t="s"/>
      <c r="H85" s="923" t="s"/>
      <c r="I85" s="923" t="s"/>
      <c r="J85" s="923" t="s"/>
      <c r="K85" s="923" t="s"/>
      <c r="L85" s="923" t="s"/>
      <c r="M85" s="923" t="s"/>
      <c r="N85" s="923" t="s"/>
    </row>
    <row r="86" spans="1:14" customHeight="false">
      <c r="A86" s="923" t="s"/>
      <c r="B86" s="923" t="s"/>
      <c r="C86" s="923" t="s"/>
      <c r="D86" s="923" t="s"/>
      <c r="E86" s="923" t="s"/>
      <c r="F86" s="923" t="s"/>
      <c r="G86" s="923" t="s"/>
      <c r="H86" s="923" t="s"/>
      <c r="I86" s="923" t="s"/>
      <c r="J86" s="923" t="s"/>
      <c r="K86" s="923" t="s"/>
      <c r="L86" s="923" t="s"/>
      <c r="M86" s="923" t="s"/>
      <c r="N86" s="923" t="s"/>
    </row>
    <row r="87" spans="1:14" customHeight="false">
      <c r="A87" s="923" t="s"/>
      <c r="B87" s="923" t="s"/>
      <c r="C87" s="923" t="s"/>
      <c r="D87" s="923" t="s"/>
      <c r="E87" s="923" t="s"/>
      <c r="F87" s="923" t="s"/>
      <c r="G87" s="923" t="s"/>
      <c r="H87" s="923" t="s"/>
      <c r="I87" s="923" t="s"/>
      <c r="J87" s="923" t="s"/>
      <c r="K87" s="923" t="s"/>
      <c r="L87" s="923" t="s"/>
      <c r="M87" s="923" t="s"/>
      <c r="N87" s="923" t="s"/>
    </row>
    <row r="88" spans="1:14" customHeight="false">
      <c r="A88" s="923" t="s"/>
      <c r="B88" s="923" t="s"/>
      <c r="C88" s="923" t="s"/>
      <c r="D88" s="923" t="s"/>
      <c r="E88" s="923" t="s"/>
      <c r="F88" s="923" t="s"/>
      <c r="G88" s="923" t="s"/>
      <c r="H88" s="923" t="s"/>
      <c r="I88" s="923" t="s"/>
      <c r="J88" s="923" t="s"/>
      <c r="K88" s="923" t="s"/>
      <c r="L88" s="923" t="s"/>
      <c r="M88" s="923" t="s"/>
      <c r="N88" s="923" t="s"/>
    </row>
    <row r="89" spans="1:14" customHeight="false">
      <c r="A89" s="923" t="s"/>
      <c r="B89" s="923" t="s"/>
      <c r="C89" s="923" t="s"/>
      <c r="D89" s="923" t="s"/>
      <c r="E89" s="923" t="s"/>
      <c r="F89" s="923" t="s"/>
      <c r="G89" s="923" t="s"/>
      <c r="H89" s="923" t="s"/>
      <c r="I89" s="923" t="s"/>
      <c r="J89" s="923" t="s"/>
      <c r="K89" s="923" t="s"/>
      <c r="L89" s="923" t="s"/>
      <c r="M89" s="923" t="s"/>
      <c r="N89" s="923" t="s"/>
    </row>
    <row r="90" spans="1:14" customHeight="false">
      <c r="A90" s="923" t="s"/>
      <c r="B90" s="923" t="s"/>
      <c r="C90" s="923" t="s"/>
      <c r="D90" s="923" t="s"/>
      <c r="E90" s="923" t="s"/>
      <c r="F90" s="923" t="s"/>
      <c r="G90" s="923" t="s"/>
      <c r="H90" s="923" t="s"/>
      <c r="I90" s="923" t="s"/>
      <c r="J90" s="923" t="s"/>
      <c r="K90" s="923" t="s"/>
      <c r="L90" s="923" t="s"/>
      <c r="M90" s="923" t="s"/>
      <c r="N90" s="923" t="s"/>
    </row>
    <row r="91" spans="1:14" customHeight="false">
      <c r="A91" s="923" t="s"/>
      <c r="B91" s="923" t="s"/>
      <c r="C91" s="923" t="s"/>
      <c r="D91" s="923" t="s"/>
      <c r="E91" s="923" t="s"/>
      <c r="F91" s="923" t="s"/>
      <c r="G91" s="923" t="s"/>
      <c r="H91" s="923" t="s"/>
      <c r="I91" s="923" t="s"/>
      <c r="J91" s="923" t="s"/>
      <c r="K91" s="923" t="s"/>
      <c r="L91" s="923" t="s"/>
      <c r="M91" s="923" t="s"/>
      <c r="N91" s="923" t="s"/>
    </row>
    <row r="92" spans="1:14" customHeight="false">
      <c r="A92" s="923" t="s"/>
      <c r="B92" s="923" t="s"/>
      <c r="C92" s="923" t="s"/>
      <c r="D92" s="923" t="s"/>
      <c r="E92" s="923" t="s"/>
      <c r="F92" s="923" t="s"/>
      <c r="G92" s="923" t="s"/>
      <c r="H92" s="923" t="s"/>
      <c r="I92" s="923" t="s"/>
      <c r="J92" s="923" t="s"/>
      <c r="K92" s="923" t="s"/>
      <c r="L92" s="923" t="s"/>
      <c r="M92" s="923" t="s"/>
      <c r="N92" s="923" t="s"/>
    </row>
    <row r="93" spans="1:14" customHeight="false">
      <c r="A93" s="923" t="s"/>
      <c r="B93" s="923" t="s"/>
      <c r="C93" s="923" t="s"/>
      <c r="D93" s="923" t="s"/>
      <c r="E93" s="923" t="s"/>
      <c r="F93" s="923" t="s"/>
      <c r="G93" s="923" t="s"/>
      <c r="H93" s="923" t="s"/>
      <c r="I93" s="923" t="s"/>
      <c r="J93" s="923" t="s"/>
      <c r="K93" s="923" t="s"/>
      <c r="L93" s="923" t="s"/>
      <c r="M93" s="923" t="s"/>
      <c r="N93" s="923" t="s"/>
    </row>
    <row r="94" spans="1:14" customHeight="false">
      <c r="A94" s="923" t="s"/>
      <c r="B94" s="923" t="s"/>
      <c r="C94" s="923" t="s"/>
      <c r="D94" s="923" t="s"/>
      <c r="E94" s="923" t="s"/>
      <c r="F94" s="923" t="s"/>
      <c r="G94" s="923" t="s"/>
      <c r="H94" s="923" t="s"/>
      <c r="I94" s="923" t="s"/>
      <c r="J94" s="923" t="s"/>
      <c r="K94" s="923" t="s"/>
      <c r="L94" s="923" t="s"/>
      <c r="M94" s="923" t="s"/>
      <c r="N94" s="923" t="s"/>
    </row>
    <row r="95" spans="1:14" customHeight="false">
      <c r="A95" s="923" t="s"/>
      <c r="B95" s="923" t="s"/>
      <c r="C95" s="923" t="s"/>
      <c r="D95" s="923" t="s"/>
      <c r="E95" s="923" t="s"/>
      <c r="F95" s="923" t="s"/>
      <c r="G95" s="923" t="s"/>
      <c r="H95" s="923" t="s"/>
      <c r="I95" s="923" t="s"/>
      <c r="J95" s="923" t="s"/>
      <c r="K95" s="923" t="s"/>
      <c r="L95" s="923" t="s"/>
      <c r="M95" s="923" t="s"/>
      <c r="N95" s="923" t="s"/>
    </row>
    <row r="96" spans="1:14" customHeight="false">
      <c r="A96" s="923" t="s"/>
      <c r="B96" s="923" t="s"/>
      <c r="C96" s="923" t="s"/>
      <c r="D96" s="923" t="s"/>
      <c r="E96" s="923" t="s"/>
      <c r="F96" s="923" t="s"/>
      <c r="G96" s="923" t="s"/>
      <c r="H96" s="923" t="s"/>
      <c r="I96" s="923" t="s"/>
      <c r="J96" s="923" t="s"/>
      <c r="K96" s="923" t="s"/>
      <c r="L96" s="923" t="s"/>
      <c r="M96" s="923" t="s"/>
      <c r="N96" s="923" t="s"/>
    </row>
    <row r="97" spans="1:14" customHeight="false">
      <c r="A97" s="923" t="s"/>
      <c r="B97" s="923" t="s"/>
      <c r="C97" s="923" t="s"/>
      <c r="D97" s="923" t="s"/>
      <c r="E97" s="923" t="s"/>
      <c r="F97" s="923" t="s"/>
      <c r="G97" s="923" t="s"/>
      <c r="H97" s="923" t="s"/>
      <c r="I97" s="923" t="s"/>
      <c r="J97" s="923" t="s"/>
      <c r="K97" s="923" t="s"/>
      <c r="L97" s="923" t="s"/>
      <c r="M97" s="923" t="s"/>
      <c r="N97" s="923" t="s"/>
    </row>
    <row r="98" spans="1:14" customHeight="false">
      <c r="A98" s="923" t="s"/>
      <c r="B98" s="923" t="s"/>
      <c r="C98" s="923" t="s"/>
      <c r="D98" s="923" t="s"/>
      <c r="E98" s="923" t="s"/>
      <c r="F98" s="923" t="s"/>
      <c r="G98" s="923" t="s"/>
      <c r="H98" s="923" t="s"/>
      <c r="I98" s="923" t="s"/>
      <c r="J98" s="923" t="s"/>
      <c r="K98" s="923" t="s"/>
      <c r="L98" s="923" t="s"/>
      <c r="M98" s="923" t="s"/>
      <c r="N98" s="923" t="s"/>
    </row>
    <row r="99" spans="1:14" customHeight="false">
      <c r="A99" s="923" t="s"/>
      <c r="B99" s="923" t="s"/>
      <c r="C99" s="923" t="s"/>
      <c r="D99" s="923" t="s"/>
      <c r="E99" s="923" t="s"/>
      <c r="F99" s="923" t="s"/>
      <c r="G99" s="923" t="s"/>
      <c r="H99" s="923" t="s"/>
      <c r="I99" s="923" t="s"/>
      <c r="J99" s="923" t="s"/>
      <c r="K99" s="923" t="s"/>
      <c r="L99" s="923" t="s"/>
      <c r="M99" s="923" t="s"/>
      <c r="N99" s="923" t="s"/>
    </row>
    <row r="100" spans="1:14" customHeight="false">
      <c r="A100" s="923" t="s"/>
      <c r="B100" s="923" t="s"/>
      <c r="C100" s="923" t="s"/>
      <c r="D100" s="923" t="s"/>
      <c r="E100" s="923" t="s"/>
      <c r="F100" s="923" t="s"/>
      <c r="G100" s="923" t="s"/>
      <c r="H100" s="923" t="s"/>
      <c r="I100" s="923" t="s"/>
      <c r="J100" s="923" t="s"/>
      <c r="K100" s="923" t="s"/>
      <c r="L100" s="923" t="s"/>
      <c r="M100" s="923" t="s"/>
      <c r="N100" s="923" t="s"/>
    </row>
    <row r="101" spans="1:14" customHeight="false">
      <c r="A101" s="923" t="s"/>
      <c r="B101" s="923" t="s"/>
      <c r="C101" s="923" t="s"/>
      <c r="D101" s="923" t="s"/>
      <c r="E101" s="923" t="s"/>
      <c r="F101" s="923" t="s"/>
      <c r="G101" s="923" t="s"/>
      <c r="H101" s="923" t="s"/>
      <c r="I101" s="923" t="s"/>
      <c r="J101" s="923" t="s"/>
      <c r="K101" s="923" t="s"/>
      <c r="L101" s="923" t="s"/>
      <c r="M101" s="923" t="s"/>
      <c r="N101" s="923" t="s"/>
    </row>
    <row r="102" spans="1:14" customHeight="false">
      <c r="A102" s="923" t="s"/>
      <c r="B102" s="923" t="s"/>
      <c r="C102" s="923" t="s"/>
      <c r="D102" s="923" t="s"/>
      <c r="E102" s="923" t="s"/>
      <c r="F102" s="923" t="s"/>
      <c r="G102" s="923" t="s"/>
      <c r="H102" s="923" t="s"/>
      <c r="I102" s="923" t="s"/>
      <c r="J102" s="923" t="s"/>
      <c r="K102" s="923" t="s"/>
      <c r="L102" s="923" t="s"/>
      <c r="M102" s="923" t="s"/>
      <c r="N102" s="923" t="s"/>
    </row>
    <row r="103" spans="1:14" customHeight="false">
      <c r="A103" s="923" t="s"/>
      <c r="B103" s="923" t="s"/>
      <c r="C103" s="923" t="s"/>
      <c r="D103" s="923" t="s"/>
      <c r="E103" s="923" t="s"/>
      <c r="F103" s="923" t="s"/>
      <c r="G103" s="923" t="s"/>
      <c r="H103" s="923" t="s"/>
      <c r="I103" s="923" t="s"/>
      <c r="J103" s="923" t="s"/>
      <c r="K103" s="923" t="s"/>
      <c r="L103" s="923" t="s"/>
      <c r="M103" s="923" t="s"/>
      <c r="N103" s="923" t="s"/>
    </row>
    <row r="104" spans="1:14" customHeight="false">
      <c r="A104" s="923" t="s"/>
      <c r="B104" s="923" t="s"/>
      <c r="C104" s="923" t="s"/>
      <c r="D104" s="923" t="s"/>
      <c r="E104" s="923" t="s"/>
      <c r="F104" s="923" t="s"/>
      <c r="G104" s="923" t="s"/>
      <c r="H104" s="923" t="s"/>
      <c r="I104" s="923" t="s"/>
      <c r="J104" s="923" t="s"/>
      <c r="K104" s="923" t="s"/>
      <c r="L104" s="923" t="s"/>
      <c r="M104" s="923" t="s"/>
      <c r="N104" s="923" t="s"/>
    </row>
    <row r="105" spans="1:14" customHeight="false">
      <c r="A105" s="923" t="s"/>
      <c r="B105" s="923" t="s"/>
      <c r="C105" s="923" t="s"/>
      <c r="D105" s="923" t="s"/>
      <c r="E105" s="923" t="s"/>
      <c r="F105" s="923" t="s"/>
      <c r="G105" s="923" t="s"/>
      <c r="H105" s="923" t="s"/>
      <c r="I105" s="923" t="s"/>
      <c r="J105" s="923" t="s"/>
      <c r="K105" s="923" t="s"/>
      <c r="L105" s="923" t="s"/>
      <c r="M105" s="923" t="s"/>
      <c r="N105" s="923" t="s"/>
    </row>
    <row r="106" spans="1:14" customHeight="false">
      <c r="A106" s="923" t="s"/>
      <c r="B106" s="923" t="s"/>
      <c r="C106" s="923" t="s"/>
      <c r="D106" s="923" t="s"/>
      <c r="E106" s="923" t="s"/>
      <c r="F106" s="923" t="s"/>
      <c r="G106" s="923" t="s"/>
      <c r="H106" s="923" t="s"/>
      <c r="I106" s="923" t="s"/>
      <c r="J106" s="923" t="s"/>
      <c r="K106" s="923" t="s"/>
      <c r="L106" s="923" t="s"/>
      <c r="M106" s="923" t="s"/>
      <c r="N106" s="923" t="s"/>
    </row>
    <row r="107" spans="1:14" customHeight="false">
      <c r="A107" s="923" t="s"/>
      <c r="B107" s="923" t="s"/>
      <c r="C107" s="923" t="s"/>
      <c r="D107" s="923" t="s"/>
      <c r="E107" s="923" t="s"/>
      <c r="F107" s="923" t="s"/>
      <c r="G107" s="923" t="s"/>
      <c r="H107" s="923" t="s"/>
      <c r="I107" s="923" t="s"/>
      <c r="J107" s="923" t="s"/>
      <c r="K107" s="923" t="s"/>
      <c r="L107" s="923" t="s"/>
      <c r="M107" s="923" t="s"/>
      <c r="N107" s="923" t="s"/>
    </row>
    <row r="108" spans="1:14" customHeight="false">
      <c r="A108" s="923" t="s"/>
      <c r="B108" s="923" t="s"/>
      <c r="C108" s="923" t="s"/>
      <c r="D108" s="923" t="s"/>
      <c r="E108" s="923" t="s"/>
      <c r="F108" s="923" t="s"/>
      <c r="G108" s="923" t="s"/>
      <c r="H108" s="923" t="s"/>
      <c r="I108" s="923" t="s"/>
      <c r="J108" s="923" t="s"/>
      <c r="K108" s="923" t="s"/>
      <c r="L108" s="923" t="s"/>
      <c r="M108" s="923" t="s"/>
      <c r="N108" s="923" t="s"/>
    </row>
    <row r="109" spans="1:14" customHeight="false">
      <c r="A109" s="923" t="s"/>
      <c r="B109" s="923" t="s"/>
      <c r="C109" s="923" t="s"/>
      <c r="D109" s="923" t="s"/>
      <c r="E109" s="923" t="s"/>
      <c r="F109" s="923" t="s"/>
      <c r="G109" s="923" t="s"/>
      <c r="H109" s="923" t="s"/>
      <c r="I109" s="923" t="s"/>
      <c r="J109" s="923" t="s"/>
      <c r="K109" s="923" t="s"/>
      <c r="L109" s="923" t="s"/>
      <c r="M109" s="923" t="s"/>
      <c r="N109" s="923" t="s"/>
    </row>
    <row r="110" spans="1:14" customHeight="false">
      <c r="A110" s="923" t="s"/>
      <c r="B110" s="923" t="s"/>
      <c r="C110" s="923" t="s"/>
      <c r="D110" s="923" t="s"/>
      <c r="E110" s="923" t="s"/>
      <c r="F110" s="923" t="s"/>
      <c r="G110" s="923" t="s"/>
      <c r="H110" s="923" t="s"/>
      <c r="I110" s="923" t="s"/>
      <c r="J110" s="923" t="s"/>
      <c r="K110" s="923" t="s"/>
      <c r="L110" s="923" t="s"/>
      <c r="M110" s="923" t="s"/>
      <c r="N110" s="923" t="s"/>
    </row>
    <row r="111" spans="1:14" customHeight="false">
      <c r="A111" s="923" t="s"/>
      <c r="B111" s="923" t="s"/>
      <c r="C111" s="923" t="s"/>
      <c r="D111" s="923" t="s"/>
      <c r="E111" s="923" t="s"/>
      <c r="F111" s="923" t="s"/>
      <c r="G111" s="923" t="s"/>
      <c r="H111" s="923" t="s"/>
      <c r="I111" s="923" t="s"/>
      <c r="J111" s="923" t="s"/>
      <c r="K111" s="923" t="s"/>
      <c r="L111" s="923" t="s"/>
      <c r="M111" s="923" t="s"/>
      <c r="N111" s="923" t="s"/>
    </row>
    <row r="112" spans="1:14" customHeight="false">
      <c r="A112" s="923" t="s"/>
      <c r="B112" s="923" t="s"/>
      <c r="C112" s="923" t="s"/>
      <c r="D112" s="923" t="s"/>
      <c r="E112" s="923" t="s"/>
      <c r="F112" s="923" t="s"/>
      <c r="G112" s="923" t="s"/>
      <c r="H112" s="923" t="s"/>
      <c r="I112" s="923" t="s"/>
      <c r="J112" s="923" t="s"/>
      <c r="K112" s="923" t="s"/>
      <c r="L112" s="923" t="s"/>
      <c r="M112" s="923" t="s"/>
      <c r="N112" s="923" t="s"/>
    </row>
    <row r="113" spans="1:14" customHeight="false">
      <c r="A113" s="923" t="s"/>
      <c r="B113" s="923" t="s"/>
      <c r="C113" s="923" t="s"/>
      <c r="D113" s="923" t="s"/>
      <c r="E113" s="923" t="s"/>
      <c r="F113" s="923" t="s"/>
      <c r="G113" s="923" t="s"/>
      <c r="H113" s="923" t="s"/>
      <c r="I113" s="923" t="s"/>
      <c r="J113" s="923" t="s"/>
      <c r="K113" s="923" t="s"/>
      <c r="L113" s="923" t="s"/>
      <c r="M113" s="923" t="s"/>
      <c r="N113" s="923" t="s"/>
    </row>
    <row r="114" spans="1:14" customHeight="false">
      <c r="A114" s="923" t="s"/>
      <c r="B114" s="923" t="s"/>
      <c r="C114" s="923" t="s"/>
      <c r="D114" s="923" t="s"/>
      <c r="E114" s="923" t="s"/>
      <c r="F114" s="923" t="s"/>
      <c r="G114" s="923" t="s"/>
      <c r="H114" s="923" t="s"/>
      <c r="I114" s="923" t="s"/>
      <c r="J114" s="923" t="s"/>
      <c r="K114" s="923" t="s"/>
      <c r="L114" s="923" t="s"/>
      <c r="M114" s="923" t="s"/>
      <c r="N114" s="923" t="s"/>
    </row>
    <row r="115" spans="1:14" customHeight="false">
      <c r="A115" s="923" t="s"/>
      <c r="B115" s="923" t="s"/>
      <c r="C115" s="923" t="s"/>
      <c r="D115" s="923" t="s"/>
      <c r="E115" s="923" t="s"/>
      <c r="F115" s="923" t="s"/>
      <c r="G115" s="923" t="s"/>
      <c r="H115" s="923" t="s"/>
      <c r="I115" s="923" t="s"/>
      <c r="J115" s="923" t="s"/>
      <c r="K115" s="923" t="s"/>
      <c r="L115" s="923" t="s"/>
      <c r="M115" s="923" t="s"/>
      <c r="N115" s="923" t="s"/>
    </row>
    <row r="116" spans="1:14" customHeight="false">
      <c r="A116" s="923" t="s"/>
      <c r="B116" s="923" t="s"/>
      <c r="C116" s="923" t="s"/>
      <c r="D116" s="923" t="s"/>
      <c r="E116" s="923" t="s"/>
      <c r="F116" s="923" t="s"/>
      <c r="G116" s="923" t="s"/>
      <c r="H116" s="923" t="s"/>
      <c r="I116" s="923" t="s"/>
      <c r="J116" s="923" t="s"/>
      <c r="K116" s="923" t="s"/>
      <c r="L116" s="923" t="s"/>
      <c r="M116" s="923" t="s"/>
      <c r="N116" s="923" t="s"/>
    </row>
    <row r="117" spans="1:14" customHeight="false">
      <c r="A117" s="923" t="s"/>
      <c r="B117" s="923" t="s"/>
      <c r="C117" s="923" t="s"/>
      <c r="D117" s="923" t="s"/>
      <c r="E117" s="923" t="s"/>
      <c r="F117" s="923" t="s"/>
      <c r="G117" s="923" t="s"/>
      <c r="H117" s="923" t="s"/>
      <c r="I117" s="923" t="s"/>
      <c r="J117" s="923" t="s"/>
      <c r="K117" s="923" t="s"/>
      <c r="L117" s="923" t="s"/>
      <c r="M117" s="923" t="s"/>
      <c r="N117" s="923" t="s"/>
    </row>
    <row r="118" spans="1:14" customHeight="false">
      <c r="A118" s="923" t="s"/>
      <c r="B118" s="923" t="s"/>
      <c r="C118" s="923" t="s"/>
      <c r="D118" s="923" t="s"/>
      <c r="E118" s="923" t="s"/>
      <c r="F118" s="923" t="s"/>
      <c r="G118" s="923" t="s"/>
      <c r="H118" s="923" t="s"/>
      <c r="I118" s="923" t="s"/>
      <c r="J118" s="923" t="s"/>
      <c r="K118" s="923" t="s"/>
      <c r="L118" s="923" t="s"/>
      <c r="M118" s="923" t="s"/>
      <c r="N118" s="923" t="s"/>
    </row>
    <row r="119" spans="1:14" customHeight="false">
      <c r="A119" s="923" t="s"/>
      <c r="B119" s="923" t="s"/>
      <c r="C119" s="923" t="s"/>
      <c r="D119" s="923" t="s"/>
      <c r="E119" s="923" t="s"/>
      <c r="F119" s="923" t="s"/>
      <c r="G119" s="923" t="s"/>
      <c r="H119" s="923" t="s"/>
      <c r="I119" s="923" t="s"/>
      <c r="J119" s="923" t="s"/>
      <c r="K119" s="923" t="s"/>
      <c r="L119" s="923" t="s"/>
      <c r="M119" s="923" t="s"/>
      <c r="N119" s="923" t="s"/>
    </row>
    <row r="120" spans="1:14" customHeight="false">
      <c r="A120" s="923" t="s"/>
      <c r="B120" s="923" t="s"/>
      <c r="C120" s="923" t="s"/>
      <c r="D120" s="923" t="s"/>
      <c r="E120" s="923" t="s"/>
      <c r="F120" s="923" t="s"/>
      <c r="G120" s="923" t="s"/>
      <c r="H120" s="923" t="s"/>
      <c r="I120" s="923" t="s"/>
      <c r="J120" s="923" t="s"/>
      <c r="K120" s="923" t="s"/>
      <c r="L120" s="923" t="s"/>
      <c r="M120" s="923" t="s"/>
      <c r="N120" s="923" t="s"/>
    </row>
    <row r="121" spans="1:14" customHeight="false">
      <c r="A121" s="923" t="s"/>
      <c r="B121" s="923" t="s"/>
      <c r="C121" s="923" t="s"/>
      <c r="D121" s="923" t="s"/>
      <c r="E121" s="923" t="s"/>
      <c r="F121" s="923" t="s"/>
      <c r="G121" s="923" t="s"/>
      <c r="H121" s="923" t="s"/>
      <c r="I121" s="923" t="s"/>
      <c r="J121" s="923" t="s"/>
      <c r="K121" s="923" t="s"/>
      <c r="L121" s="923" t="s"/>
      <c r="M121" s="923" t="s"/>
      <c r="N121" s="923" t="s"/>
    </row>
    <row r="122" spans="1:14" customHeight="false">
      <c r="A122" s="923" t="s"/>
      <c r="B122" s="923" t="s"/>
      <c r="C122" s="923" t="s"/>
      <c r="D122" s="923" t="s"/>
      <c r="E122" s="923" t="s"/>
      <c r="F122" s="923" t="s"/>
      <c r="G122" s="923" t="s"/>
      <c r="H122" s="923" t="s"/>
      <c r="I122" s="923" t="s"/>
      <c r="J122" s="923" t="s"/>
      <c r="K122" s="923" t="s"/>
      <c r="L122" s="923" t="s"/>
      <c r="M122" s="923" t="s"/>
      <c r="N122" s="923" t="s"/>
    </row>
    <row r="123" spans="1:14" customHeight="false">
      <c r="A123" s="923" t="s"/>
      <c r="B123" s="923" t="s"/>
      <c r="C123" s="923" t="s"/>
      <c r="D123" s="923" t="s"/>
      <c r="E123" s="923" t="s"/>
      <c r="F123" s="923" t="s"/>
      <c r="G123" s="923" t="s"/>
      <c r="H123" s="923" t="s"/>
      <c r="I123" s="923" t="s"/>
      <c r="J123" s="923" t="s"/>
      <c r="K123" s="923" t="s"/>
      <c r="L123" s="923" t="s"/>
      <c r="M123" s="923" t="s"/>
      <c r="N123" s="923" t="s"/>
    </row>
    <row r="124" spans="1:14" customHeight="false">
      <c r="A124" s="923" t="s"/>
      <c r="B124" s="923" t="s"/>
      <c r="C124" s="923" t="s"/>
      <c r="D124" s="923" t="s"/>
      <c r="E124" s="923" t="s"/>
      <c r="F124" s="923" t="s"/>
      <c r="G124" s="923" t="s"/>
      <c r="H124" s="923" t="s"/>
      <c r="I124" s="923" t="s"/>
      <c r="J124" s="923" t="s"/>
      <c r="K124" s="923" t="s"/>
      <c r="L124" s="923" t="s"/>
      <c r="M124" s="923" t="s"/>
      <c r="N124" s="923" t="s"/>
    </row>
    <row r="125" spans="1:14" customHeight="false">
      <c r="A125" s="923" t="s"/>
      <c r="B125" s="923" t="s"/>
      <c r="C125" s="923" t="s"/>
      <c r="D125" s="923" t="s"/>
      <c r="E125" s="923" t="s"/>
      <c r="F125" s="923" t="s"/>
      <c r="G125" s="923" t="s"/>
      <c r="H125" s="923" t="s"/>
      <c r="I125" s="923" t="s"/>
      <c r="J125" s="923" t="s"/>
      <c r="K125" s="923" t="s"/>
      <c r="L125" s="923" t="s"/>
      <c r="M125" s="923" t="s"/>
      <c r="N125" s="923" t="s"/>
    </row>
    <row r="126" spans="1:14" customHeight="false">
      <c r="A126" s="923" t="s"/>
      <c r="B126" s="923" t="s"/>
      <c r="C126" s="923" t="s"/>
      <c r="D126" s="923" t="s"/>
      <c r="E126" s="923" t="s"/>
      <c r="F126" s="923" t="s"/>
      <c r="G126" s="923" t="s"/>
      <c r="H126" s="923" t="s"/>
      <c r="I126" s="923" t="s"/>
      <c r="J126" s="923" t="s"/>
      <c r="K126" s="923" t="s"/>
      <c r="L126" s="923" t="s"/>
      <c r="M126" s="923" t="s"/>
      <c r="N126" s="923" t="s"/>
    </row>
    <row r="127" spans="1:14" customHeight="false">
      <c r="A127" s="923" t="s"/>
      <c r="B127" s="923" t="s"/>
      <c r="C127" s="923" t="s"/>
      <c r="D127" s="923" t="s"/>
      <c r="E127" s="923" t="s"/>
      <c r="F127" s="923" t="s"/>
      <c r="G127" s="923" t="s"/>
      <c r="H127" s="923" t="s"/>
      <c r="I127" s="923" t="s"/>
      <c r="J127" s="923" t="s"/>
      <c r="K127" s="923" t="s"/>
      <c r="L127" s="923" t="s"/>
      <c r="M127" s="923" t="s"/>
      <c r="N127" s="923" t="s"/>
    </row>
    <row r="128" spans="1:14" customHeight="false">
      <c r="A128" s="923" t="s"/>
      <c r="B128" s="923" t="s"/>
      <c r="C128" s="923" t="s"/>
      <c r="D128" s="923" t="s"/>
      <c r="E128" s="923" t="s"/>
      <c r="F128" s="923" t="s"/>
      <c r="G128" s="923" t="s"/>
      <c r="H128" s="923" t="s"/>
      <c r="I128" s="923" t="s"/>
      <c r="J128" s="923" t="s"/>
      <c r="K128" s="923" t="s"/>
      <c r="L128" s="923" t="s"/>
      <c r="M128" s="923" t="s"/>
      <c r="N128" s="923" t="s"/>
    </row>
    <row r="129" spans="1:14" customHeight="false">
      <c r="A129" s="923" t="s"/>
      <c r="B129" s="923" t="s"/>
      <c r="C129" s="923" t="s"/>
      <c r="D129" s="923" t="s"/>
      <c r="E129" s="923" t="s"/>
      <c r="F129" s="923" t="s"/>
      <c r="G129" s="923" t="s"/>
      <c r="H129" s="923" t="s"/>
      <c r="I129" s="923" t="s"/>
      <c r="J129" s="923" t="s"/>
      <c r="K129" s="923" t="s"/>
      <c r="L129" s="923" t="s"/>
      <c r="M129" s="923" t="s"/>
      <c r="N129" s="923" t="s"/>
    </row>
    <row r="130" spans="1:14" customHeight="false">
      <c r="A130" s="923" t="s"/>
      <c r="B130" s="923" t="s"/>
      <c r="C130" s="923" t="s"/>
      <c r="D130" s="923" t="s"/>
      <c r="E130" s="923" t="s"/>
      <c r="F130" s="923" t="s"/>
      <c r="G130" s="923" t="s"/>
      <c r="H130" s="923" t="s"/>
      <c r="I130" s="923" t="s"/>
      <c r="J130" s="923" t="s"/>
      <c r="K130" s="923" t="s"/>
      <c r="L130" s="923" t="s"/>
      <c r="M130" s="923" t="s"/>
      <c r="N130" s="923" t="s"/>
    </row>
    <row r="131" spans="1:14" customHeight="false">
      <c r="A131" s="923" t="s"/>
      <c r="B131" s="923" t="s"/>
      <c r="C131" s="923" t="s"/>
      <c r="D131" s="923" t="s"/>
      <c r="E131" s="923" t="s"/>
      <c r="F131" s="923" t="s"/>
      <c r="G131" s="923" t="s"/>
      <c r="H131" s="923" t="s"/>
      <c r="I131" s="923" t="s"/>
      <c r="J131" s="923" t="s"/>
      <c r="K131" s="923" t="s"/>
      <c r="L131" s="923" t="s"/>
      <c r="M131" s="923" t="s"/>
      <c r="N131" s="923" t="s"/>
    </row>
    <row r="132" spans="1:14" customHeight="false">
      <c r="A132" s="923" t="s"/>
      <c r="B132" s="923" t="s"/>
      <c r="C132" s="923" t="s"/>
      <c r="D132" s="923" t="s"/>
      <c r="E132" s="923" t="s"/>
      <c r="F132" s="923" t="s"/>
      <c r="G132" s="923" t="s"/>
      <c r="H132" s="923" t="s"/>
      <c r="I132" s="923" t="s"/>
      <c r="J132" s="923" t="s"/>
      <c r="K132" s="923" t="s"/>
      <c r="L132" s="923" t="s"/>
      <c r="M132" s="923" t="s"/>
      <c r="N132" s="923" t="s"/>
    </row>
    <row r="133" spans="1:14" customHeight="false">
      <c r="A133" s="923" t="s"/>
      <c r="B133" s="923" t="s"/>
      <c r="C133" s="923" t="s"/>
      <c r="D133" s="923" t="s"/>
      <c r="E133" s="923" t="s"/>
      <c r="F133" s="923" t="s"/>
      <c r="G133" s="923" t="s"/>
      <c r="H133" s="923" t="s"/>
      <c r="I133" s="923" t="s"/>
      <c r="J133" s="923" t="s"/>
      <c r="K133" s="923" t="s"/>
      <c r="L133" s="923" t="s"/>
      <c r="M133" s="923" t="s"/>
      <c r="N133" s="923" t="s"/>
    </row>
    <row r="134" spans="1:14" customHeight="false">
      <c r="A134" s="923" t="s"/>
      <c r="B134" s="923" t="s"/>
      <c r="C134" s="923" t="s"/>
      <c r="D134" s="923" t="s"/>
      <c r="E134" s="923" t="s"/>
      <c r="F134" s="923" t="s"/>
      <c r="G134" s="923" t="s"/>
      <c r="H134" s="923" t="s"/>
      <c r="I134" s="923" t="s"/>
      <c r="J134" s="923" t="s"/>
      <c r="K134" s="923" t="s"/>
      <c r="L134" s="923" t="s"/>
      <c r="M134" s="923" t="s"/>
      <c r="N134" s="923" t="s"/>
    </row>
    <row r="135" spans="1:14" customHeight="false">
      <c r="A135" s="923" t="s"/>
      <c r="B135" s="923" t="s"/>
      <c r="C135" s="923" t="s"/>
      <c r="D135" s="923" t="s"/>
      <c r="E135" s="923" t="s"/>
      <c r="F135" s="923" t="s"/>
      <c r="G135" s="923" t="s"/>
      <c r="H135" s="923" t="s"/>
      <c r="I135" s="923" t="s"/>
      <c r="J135" s="923" t="s"/>
      <c r="K135" s="923" t="s"/>
      <c r="L135" s="923" t="s"/>
      <c r="M135" s="923" t="s"/>
      <c r="N135" s="923" t="s"/>
    </row>
    <row r="136" spans="1:14" customHeight="false">
      <c r="A136" s="923" t="s"/>
      <c r="B136" s="923" t="s"/>
      <c r="C136" s="923" t="s"/>
      <c r="D136" s="923" t="s"/>
      <c r="E136" s="923" t="s"/>
      <c r="F136" s="923" t="s"/>
      <c r="G136" s="923" t="s"/>
      <c r="H136" s="923" t="s"/>
      <c r="I136" s="923" t="s"/>
      <c r="J136" s="923" t="s"/>
      <c r="K136" s="923" t="s"/>
      <c r="L136" s="923" t="s"/>
      <c r="M136" s="923" t="s"/>
      <c r="N136" s="923" t="s"/>
    </row>
    <row r="137" spans="1:14" customHeight="false">
      <c r="A137" s="923" t="s"/>
      <c r="B137" s="923" t="s"/>
      <c r="C137" s="923" t="s"/>
      <c r="D137" s="923" t="s"/>
      <c r="E137" s="923" t="s"/>
      <c r="F137" s="923" t="s"/>
      <c r="G137" s="923" t="s"/>
      <c r="H137" s="923" t="s"/>
      <c r="I137" s="923" t="s"/>
      <c r="J137" s="923" t="s"/>
      <c r="K137" s="923" t="s"/>
      <c r="L137" s="923" t="s"/>
      <c r="M137" s="923" t="s"/>
      <c r="N137" s="923" t="s"/>
    </row>
    <row r="138" spans="1:14" customHeight="false">
      <c r="A138" s="923" t="s"/>
      <c r="B138" s="923" t="s"/>
      <c r="C138" s="923" t="s"/>
      <c r="D138" s="923" t="s"/>
      <c r="E138" s="923" t="s"/>
      <c r="F138" s="923" t="s"/>
      <c r="G138" s="923" t="s"/>
      <c r="H138" s="923" t="s"/>
      <c r="I138" s="923" t="s"/>
      <c r="J138" s="923" t="s"/>
      <c r="K138" s="923" t="s"/>
      <c r="L138" s="923" t="s"/>
      <c r="M138" s="923" t="s"/>
      <c r="N138" s="923" t="s"/>
    </row>
    <row r="139" spans="1:14" customHeight="false">
      <c r="A139" s="923" t="s"/>
      <c r="B139" s="923" t="s"/>
      <c r="C139" s="923" t="s"/>
      <c r="D139" s="923" t="s"/>
      <c r="E139" s="923" t="s"/>
      <c r="F139" s="923" t="s"/>
      <c r="G139" s="923" t="s"/>
      <c r="H139" s="923" t="s"/>
      <c r="I139" s="923" t="s"/>
      <c r="J139" s="923" t="s"/>
      <c r="K139" s="923" t="s"/>
      <c r="L139" s="923" t="s"/>
      <c r="M139" s="923" t="s"/>
      <c r="N139" s="923" t="s"/>
    </row>
    <row r="140" spans="1:14" customHeight="false">
      <c r="A140" s="923" t="s"/>
      <c r="B140" s="923" t="s"/>
      <c r="C140" s="923" t="s"/>
      <c r="D140" s="923" t="s"/>
      <c r="E140" s="923" t="s"/>
      <c r="F140" s="923" t="s"/>
      <c r="G140" s="923" t="s"/>
      <c r="H140" s="923" t="s"/>
      <c r="I140" s="923" t="s"/>
      <c r="J140" s="923" t="s"/>
      <c r="K140" s="923" t="s"/>
      <c r="L140" s="923" t="s"/>
      <c r="M140" s="923" t="s"/>
      <c r="N140" s="923" t="s"/>
    </row>
    <row r="141" spans="1:14" customHeight="false">
      <c r="A141" s="923" t="s"/>
      <c r="B141" s="923" t="s"/>
      <c r="C141" s="923" t="s"/>
      <c r="D141" s="923" t="s"/>
      <c r="E141" s="923" t="s"/>
      <c r="F141" s="923" t="s"/>
      <c r="G141" s="923" t="s"/>
      <c r="H141" s="923" t="s"/>
      <c r="I141" s="923" t="s"/>
      <c r="J141" s="923" t="s"/>
      <c r="K141" s="923" t="s"/>
      <c r="L141" s="923" t="s"/>
      <c r="M141" s="923" t="s"/>
      <c r="N141" s="923" t="s"/>
    </row>
    <row r="142" spans="1:14" customHeight="false">
      <c r="A142" s="923" t="s"/>
      <c r="B142" s="923" t="s"/>
      <c r="C142" s="923" t="s"/>
      <c r="D142" s="923" t="s"/>
      <c r="E142" s="923" t="s"/>
      <c r="F142" s="923" t="s"/>
      <c r="G142" s="923" t="s"/>
      <c r="H142" s="923" t="s"/>
      <c r="I142" s="923" t="s"/>
      <c r="J142" s="923" t="s"/>
      <c r="K142" s="923" t="s"/>
      <c r="L142" s="923" t="s"/>
      <c r="M142" s="923" t="s"/>
      <c r="N142" s="923" t="s"/>
    </row>
    <row r="143" spans="1:14" customHeight="false">
      <c r="A143" s="923" t="s"/>
      <c r="B143" s="923" t="s"/>
      <c r="C143" s="923" t="s"/>
      <c r="D143" s="923" t="s"/>
      <c r="E143" s="923" t="s"/>
      <c r="F143" s="923" t="s"/>
      <c r="G143" s="923" t="s"/>
      <c r="H143" s="923" t="s"/>
      <c r="I143" s="923" t="s"/>
      <c r="J143" s="923" t="s"/>
      <c r="K143" s="923" t="s"/>
      <c r="L143" s="923" t="s"/>
      <c r="M143" s="923" t="s"/>
      <c r="N143" s="923" t="s"/>
    </row>
    <row r="144" spans="1:14" customHeight="false">
      <c r="A144" s="923" t="s"/>
      <c r="B144" s="923" t="s"/>
      <c r="C144" s="923" t="s"/>
      <c r="D144" s="923" t="s"/>
      <c r="E144" s="923" t="s"/>
      <c r="F144" s="923" t="s"/>
      <c r="G144" s="923" t="s"/>
      <c r="H144" s="923" t="s"/>
      <c r="I144" s="923" t="s"/>
      <c r="J144" s="923" t="s"/>
      <c r="K144" s="923" t="s"/>
      <c r="L144" s="923" t="s"/>
      <c r="M144" s="923" t="s"/>
      <c r="N144" s="923" t="s"/>
    </row>
    <row r="145" spans="1:14" customHeight="false">
      <c r="A145" s="923" t="s"/>
      <c r="B145" s="923" t="s"/>
      <c r="C145" s="923" t="s"/>
      <c r="D145" s="923" t="s"/>
      <c r="E145" s="923" t="s"/>
      <c r="F145" s="923" t="s"/>
      <c r="G145" s="923" t="s"/>
      <c r="H145" s="923" t="s"/>
      <c r="I145" s="923" t="s"/>
      <c r="J145" s="923" t="s"/>
      <c r="K145" s="923" t="s"/>
      <c r="L145" s="923" t="s"/>
      <c r="M145" s="923" t="s"/>
      <c r="N145" s="923" t="s"/>
    </row>
    <row r="146" spans="1:14" customHeight="false">
      <c r="A146" s="923" t="s"/>
      <c r="B146" s="923" t="s"/>
      <c r="C146" s="923" t="s"/>
      <c r="D146" s="923" t="s"/>
      <c r="E146" s="923" t="s"/>
      <c r="F146" s="923" t="s"/>
      <c r="G146" s="923" t="s"/>
      <c r="H146" s="923" t="s"/>
      <c r="I146" s="923" t="s"/>
      <c r="J146" s="923" t="s"/>
      <c r="K146" s="923" t="s"/>
      <c r="L146" s="923" t="s"/>
      <c r="M146" s="923" t="s"/>
      <c r="N146" s="923" t="s"/>
    </row>
    <row r="147" spans="1:14" customHeight="false">
      <c r="A147" s="923" t="s"/>
      <c r="B147" s="923" t="s"/>
      <c r="C147" s="923" t="s"/>
      <c r="D147" s="923" t="s"/>
      <c r="E147" s="923" t="s"/>
      <c r="F147" s="923" t="s"/>
      <c r="G147" s="923" t="s"/>
      <c r="H147" s="923" t="s"/>
      <c r="I147" s="923" t="s"/>
      <c r="J147" s="923" t="s"/>
      <c r="K147" s="923" t="s"/>
      <c r="L147" s="923" t="s"/>
      <c r="M147" s="923" t="s"/>
      <c r="N147" s="923" t="s"/>
    </row>
    <row r="148" spans="1:14" customHeight="false">
      <c r="A148" s="923" t="s"/>
      <c r="B148" s="923" t="s"/>
      <c r="C148" s="923" t="s"/>
      <c r="D148" s="923" t="s"/>
      <c r="E148" s="923" t="s"/>
      <c r="F148" s="923" t="s"/>
      <c r="G148" s="923" t="s"/>
      <c r="H148" s="923" t="s"/>
      <c r="I148" s="923" t="s"/>
      <c r="J148" s="923" t="s"/>
      <c r="K148" s="923" t="s"/>
      <c r="L148" s="923" t="s"/>
      <c r="M148" s="923" t="s"/>
      <c r="N148" s="923" t="s"/>
    </row>
    <row r="149" spans="1:14" customHeight="false">
      <c r="A149" s="923" t="s"/>
      <c r="B149" s="923" t="s"/>
      <c r="C149" s="923" t="s"/>
      <c r="D149" s="923" t="s"/>
      <c r="E149" s="923" t="s"/>
      <c r="F149" s="923" t="s"/>
      <c r="G149" s="923" t="s"/>
      <c r="H149" s="923" t="s"/>
      <c r="I149" s="923" t="s"/>
      <c r="J149" s="923" t="s"/>
      <c r="K149" s="923" t="s"/>
      <c r="L149" s="923" t="s"/>
      <c r="M149" s="923" t="s"/>
      <c r="N149" s="923" t="s"/>
    </row>
    <row r="150" spans="1:14" customHeight="false">
      <c r="A150" s="923" t="s"/>
      <c r="B150" s="923" t="s"/>
      <c r="C150" s="923" t="s"/>
      <c r="D150" s="923" t="s"/>
      <c r="E150" s="923" t="s"/>
      <c r="F150" s="923" t="s"/>
      <c r="G150" s="923" t="s"/>
      <c r="H150" s="923" t="s"/>
      <c r="I150" s="923" t="s"/>
      <c r="J150" s="923" t="s"/>
      <c r="K150" s="923" t="s"/>
      <c r="L150" s="923" t="s"/>
      <c r="M150" s="923" t="s"/>
      <c r="N150" s="923" t="s"/>
    </row>
    <row r="151" spans="1:14" customHeight="false">
      <c r="A151" s="923" t="s"/>
      <c r="B151" s="923" t="s"/>
      <c r="C151" s="923" t="s"/>
      <c r="D151" s="923" t="s"/>
      <c r="E151" s="923" t="s"/>
      <c r="F151" s="923" t="s"/>
      <c r="G151" s="923" t="s"/>
      <c r="H151" s="923" t="s"/>
      <c r="I151" s="923" t="s"/>
      <c r="J151" s="923" t="s"/>
      <c r="K151" s="923" t="s"/>
      <c r="L151" s="923" t="s"/>
      <c r="M151" s="923" t="s"/>
      <c r="N151" s="923" t="s"/>
    </row>
    <row r="152" spans="1:14" customHeight="false">
      <c r="A152" s="923" t="s"/>
      <c r="B152" s="923" t="s"/>
      <c r="C152" s="923" t="s"/>
      <c r="D152" s="923" t="s"/>
      <c r="E152" s="923" t="s"/>
      <c r="F152" s="923" t="s"/>
      <c r="G152" s="923" t="s"/>
      <c r="H152" s="923" t="s"/>
      <c r="I152" s="923" t="s"/>
      <c r="J152" s="923" t="s"/>
      <c r="K152" s="923" t="s"/>
      <c r="L152" s="923" t="s"/>
      <c r="M152" s="923" t="s"/>
      <c r="N152" s="923" t="s"/>
    </row>
    <row r="153" spans="1:14" customHeight="false">
      <c r="A153" s="923" t="s"/>
      <c r="B153" s="923" t="s"/>
      <c r="C153" s="923" t="s"/>
      <c r="D153" s="923" t="s"/>
      <c r="E153" s="923" t="s"/>
      <c r="F153" s="923" t="s"/>
      <c r="G153" s="923" t="s"/>
      <c r="H153" s="923" t="s"/>
      <c r="I153" s="923" t="s"/>
      <c r="J153" s="923" t="s"/>
      <c r="K153" s="923" t="s"/>
      <c r="L153" s="923" t="s"/>
      <c r="M153" s="923" t="s"/>
      <c r="N153" s="923" t="s"/>
    </row>
    <row r="154" spans="1:14" customHeight="false">
      <c r="A154" s="923" t="s"/>
      <c r="B154" s="923" t="s"/>
      <c r="C154" s="923" t="s"/>
      <c r="D154" s="923" t="s"/>
      <c r="E154" s="923" t="s"/>
      <c r="F154" s="923" t="s"/>
      <c r="G154" s="923" t="s"/>
      <c r="H154" s="923" t="s"/>
      <c r="I154" s="923" t="s"/>
      <c r="J154" s="923" t="s"/>
      <c r="K154" s="923" t="s"/>
      <c r="L154" s="923" t="s"/>
      <c r="M154" s="923" t="s"/>
      <c r="N154" s="923" t="s"/>
    </row>
    <row r="155" spans="1:14" customHeight="false">
      <c r="A155" s="923" t="s"/>
      <c r="B155" s="923" t="s"/>
      <c r="C155" s="923" t="s"/>
      <c r="D155" s="923" t="s"/>
      <c r="E155" s="923" t="s"/>
      <c r="F155" s="923" t="s"/>
      <c r="G155" s="923" t="s"/>
      <c r="H155" s="923" t="s"/>
      <c r="I155" s="923" t="s"/>
      <c r="J155" s="923" t="s"/>
      <c r="K155" s="923" t="s"/>
      <c r="L155" s="923" t="s"/>
      <c r="M155" s="923" t="s"/>
      <c r="N155" s="923" t="s"/>
    </row>
    <row r="156" spans="1:14" customHeight="false">
      <c r="A156" s="923" t="s"/>
      <c r="B156" s="923" t="s"/>
      <c r="C156" s="923" t="s"/>
      <c r="D156" s="923" t="s"/>
      <c r="E156" s="923" t="s"/>
      <c r="F156" s="923" t="s"/>
      <c r="G156" s="923" t="s"/>
      <c r="H156" s="923" t="s"/>
      <c r="I156" s="923" t="s"/>
      <c r="J156" s="923" t="s"/>
      <c r="K156" s="923" t="s"/>
      <c r="L156" s="923" t="s"/>
      <c r="M156" s="923" t="s"/>
      <c r="N156" s="923" t="s"/>
    </row>
    <row r="157" spans="1:14" customHeight="false">
      <c r="A157" s="923" t="s"/>
      <c r="B157" s="923" t="s"/>
      <c r="C157" s="923" t="s"/>
      <c r="D157" s="923" t="s"/>
      <c r="E157" s="923" t="s"/>
      <c r="F157" s="923" t="s"/>
      <c r="G157" s="923" t="s"/>
      <c r="H157" s="923" t="s"/>
      <c r="I157" s="923" t="s"/>
      <c r="J157" s="923" t="s"/>
      <c r="K157" s="923" t="s"/>
      <c r="L157" s="923" t="s"/>
      <c r="M157" s="923" t="s"/>
      <c r="N157" s="923" t="s"/>
    </row>
    <row r="158" spans="1:14" customHeight="false">
      <c r="A158" s="923" t="s"/>
      <c r="B158" s="923" t="s"/>
      <c r="C158" s="923" t="s"/>
      <c r="D158" s="923" t="s"/>
      <c r="E158" s="923" t="s"/>
      <c r="F158" s="923" t="s"/>
      <c r="G158" s="923" t="s"/>
      <c r="H158" s="923" t="s"/>
      <c r="I158" s="923" t="s"/>
      <c r="J158" s="923" t="s"/>
      <c r="K158" s="923" t="s"/>
      <c r="L158" s="923" t="s"/>
      <c r="M158" s="923" t="s"/>
      <c r="N158" s="923" t="s"/>
    </row>
    <row r="159" spans="1:14" customHeight="false">
      <c r="A159" s="923" t="s"/>
      <c r="B159" s="923" t="s"/>
      <c r="C159" s="923" t="s"/>
      <c r="D159" s="923" t="s"/>
      <c r="E159" s="923" t="s"/>
      <c r="F159" s="923" t="s"/>
      <c r="G159" s="923" t="s"/>
      <c r="H159" s="923" t="s"/>
      <c r="I159" s="923" t="s"/>
      <c r="J159" s="923" t="s"/>
      <c r="K159" s="923" t="s"/>
      <c r="L159" s="923" t="s"/>
      <c r="M159" s="923" t="s"/>
      <c r="N159" s="923" t="s"/>
    </row>
    <row r="160" spans="1:14" customHeight="false">
      <c r="A160" s="923" t="s"/>
      <c r="B160" s="923" t="s"/>
      <c r="C160" s="923" t="s"/>
      <c r="D160" s="923" t="s"/>
      <c r="E160" s="923" t="s"/>
      <c r="F160" s="923" t="s"/>
      <c r="G160" s="923" t="s"/>
      <c r="H160" s="923" t="s"/>
      <c r="I160" s="923" t="s"/>
      <c r="J160" s="923" t="s"/>
      <c r="K160" s="923" t="s"/>
      <c r="L160" s="923" t="s"/>
      <c r="M160" s="923" t="s"/>
      <c r="N160" s="923" t="s"/>
    </row>
    <row r="161" spans="1:14" customHeight="false">
      <c r="A161" s="923" t="s"/>
      <c r="B161" s="923" t="s"/>
      <c r="C161" s="923" t="s"/>
      <c r="D161" s="923" t="s"/>
      <c r="E161" s="923" t="s"/>
      <c r="F161" s="923" t="s"/>
      <c r="G161" s="923" t="s"/>
      <c r="H161" s="923" t="s"/>
      <c r="I161" s="923" t="s"/>
      <c r="J161" s="923" t="s"/>
      <c r="K161" s="923" t="s"/>
      <c r="L161" s="923" t="s"/>
      <c r="M161" s="923" t="s"/>
      <c r="N161" s="923" t="s"/>
    </row>
    <row r="162" spans="1:14" customHeight="false">
      <c r="A162" s="923" t="s"/>
      <c r="B162" s="923" t="s"/>
      <c r="C162" s="923" t="s"/>
      <c r="D162" s="923" t="s"/>
      <c r="E162" s="923" t="s"/>
      <c r="F162" s="923" t="s"/>
      <c r="G162" s="923" t="s"/>
      <c r="H162" s="923" t="s"/>
      <c r="I162" s="923" t="s"/>
      <c r="J162" s="923" t="s"/>
      <c r="K162" s="923" t="s"/>
      <c r="L162" s="923" t="s"/>
      <c r="M162" s="923" t="s"/>
      <c r="N162" s="923" t="s"/>
    </row>
    <row r="163" spans="1:14" customHeight="false">
      <c r="A163" s="923" t="s"/>
      <c r="B163" s="923" t="s"/>
      <c r="C163" s="923" t="s"/>
      <c r="D163" s="923" t="s"/>
      <c r="E163" s="923" t="s"/>
      <c r="F163" s="923" t="s"/>
      <c r="G163" s="923" t="s"/>
      <c r="H163" s="923" t="s"/>
      <c r="I163" s="923" t="s"/>
      <c r="J163" s="923" t="s"/>
      <c r="K163" s="923" t="s"/>
      <c r="L163" s="923" t="s"/>
      <c r="M163" s="923" t="s"/>
      <c r="N163" s="923" t="s"/>
    </row>
    <row r="164" spans="1:14" customHeight="false">
      <c r="A164" s="923" t="s"/>
      <c r="B164" s="923" t="s"/>
      <c r="C164" s="923" t="s"/>
      <c r="D164" s="923" t="s"/>
      <c r="E164" s="923" t="s"/>
      <c r="F164" s="923" t="s"/>
      <c r="G164" s="923" t="s"/>
      <c r="H164" s="923" t="s"/>
      <c r="I164" s="923" t="s"/>
      <c r="J164" s="923" t="s"/>
      <c r="K164" s="923" t="s"/>
      <c r="L164" s="923" t="s"/>
      <c r="M164" s="923" t="s"/>
      <c r="N164" s="923" t="s"/>
    </row>
    <row r="165" spans="1:14" customHeight="false">
      <c r="A165" s="923" t="s"/>
      <c r="B165" s="923" t="s"/>
      <c r="C165" s="923" t="s"/>
      <c r="D165" s="923" t="s"/>
      <c r="E165" s="923" t="s"/>
      <c r="F165" s="923" t="s"/>
      <c r="G165" s="923" t="s"/>
      <c r="H165" s="923" t="s"/>
      <c r="I165" s="923" t="s"/>
      <c r="J165" s="923" t="s"/>
      <c r="K165" s="923" t="s"/>
      <c r="L165" s="923" t="s"/>
      <c r="M165" s="923" t="s"/>
      <c r="N165" s="923" t="s"/>
    </row>
    <row r="166" spans="1:14" customHeight="false">
      <c r="A166" s="923" t="s"/>
      <c r="B166" s="923" t="s"/>
      <c r="C166" s="923" t="s"/>
      <c r="D166" s="923" t="s"/>
      <c r="E166" s="923" t="s"/>
      <c r="F166" s="923" t="s"/>
      <c r="G166" s="923" t="s"/>
      <c r="H166" s="923" t="s"/>
      <c r="I166" s="923" t="s"/>
      <c r="J166" s="923" t="s"/>
      <c r="K166" s="923" t="s"/>
      <c r="L166" s="923" t="s"/>
      <c r="M166" s="923" t="s"/>
      <c r="N166" s="923" t="s"/>
    </row>
    <row r="167" spans="1:14" customHeight="false">
      <c r="A167" s="923" t="s"/>
      <c r="B167" s="923" t="s"/>
      <c r="C167" s="923" t="s"/>
      <c r="D167" s="923" t="s"/>
      <c r="E167" s="923" t="s"/>
      <c r="F167" s="923" t="s"/>
      <c r="G167" s="923" t="s"/>
      <c r="H167" s="923" t="s"/>
      <c r="I167" s="923" t="s"/>
      <c r="J167" s="923" t="s"/>
      <c r="K167" s="923" t="s"/>
      <c r="L167" s="923" t="s"/>
      <c r="M167" s="923" t="s"/>
      <c r="N167" s="923" t="s"/>
    </row>
    <row r="168" spans="1:14" customHeight="false">
      <c r="A168" s="923" t="s"/>
      <c r="B168" s="923" t="s"/>
      <c r="C168" s="923" t="s"/>
      <c r="D168" s="923" t="s"/>
      <c r="E168" s="923" t="s"/>
      <c r="F168" s="923" t="s"/>
      <c r="G168" s="923" t="s"/>
      <c r="H168" s="923" t="s"/>
      <c r="I168" s="923" t="s"/>
      <c r="J168" s="923" t="s"/>
      <c r="K168" s="923" t="s"/>
      <c r="L168" s="923" t="s"/>
      <c r="M168" s="923" t="s"/>
      <c r="N168" s="923" t="s"/>
    </row>
    <row r="169" spans="1:14" customHeight="false">
      <c r="A169" s="923" t="s"/>
      <c r="B169" s="923" t="s"/>
      <c r="C169" s="923" t="s"/>
      <c r="D169" s="923" t="s"/>
      <c r="E169" s="923" t="s"/>
      <c r="F169" s="923" t="s"/>
      <c r="G169" s="923" t="s"/>
      <c r="H169" s="923" t="s"/>
      <c r="I169" s="923" t="s"/>
      <c r="J169" s="923" t="s"/>
      <c r="K169" s="923" t="s"/>
      <c r="L169" s="923" t="s"/>
      <c r="M169" s="923" t="s"/>
      <c r="N169" s="923" t="s"/>
    </row>
    <row r="170" spans="1:14" customHeight="false">
      <c r="A170" s="923" t="s"/>
      <c r="B170" s="923" t="s"/>
      <c r="C170" s="923" t="s"/>
      <c r="D170" s="923" t="s"/>
      <c r="E170" s="923" t="s"/>
      <c r="F170" s="923" t="s"/>
      <c r="G170" s="923" t="s"/>
      <c r="H170" s="923" t="s"/>
      <c r="I170" s="923" t="s"/>
      <c r="J170" s="923" t="s"/>
      <c r="K170" s="923" t="s"/>
      <c r="L170" s="923" t="s"/>
      <c r="M170" s="923" t="s"/>
      <c r="N170" s="923" t="s"/>
    </row>
    <row r="171" spans="1:14" customHeight="false">
      <c r="A171" s="923" t="s"/>
      <c r="B171" s="923" t="s"/>
      <c r="C171" s="923" t="s"/>
      <c r="D171" s="923" t="s"/>
      <c r="E171" s="923" t="s"/>
      <c r="F171" s="923" t="s"/>
      <c r="G171" s="923" t="s"/>
      <c r="H171" s="923" t="s"/>
      <c r="I171" s="923" t="s"/>
      <c r="J171" s="923" t="s"/>
      <c r="K171" s="923" t="s"/>
      <c r="L171" s="923" t="s"/>
      <c r="M171" s="923" t="s"/>
      <c r="N171" s="923" t="s"/>
    </row>
    <row r="172" spans="1:14" customHeight="false">
      <c r="A172" s="923" t="s"/>
      <c r="B172" s="923" t="s"/>
      <c r="C172" s="923" t="s"/>
      <c r="D172" s="923" t="s"/>
      <c r="E172" s="923" t="s"/>
      <c r="F172" s="923" t="s"/>
      <c r="G172" s="923" t="s"/>
      <c r="H172" s="923" t="s"/>
      <c r="I172" s="923" t="s"/>
      <c r="J172" s="923" t="s"/>
      <c r="K172" s="923" t="s"/>
      <c r="L172" s="923" t="s"/>
      <c r="M172" s="923" t="s"/>
      <c r="N172" s="923" t="s"/>
    </row>
    <row r="173" spans="1:14" customHeight="false">
      <c r="A173" s="923" t="s"/>
      <c r="B173" s="923" t="s"/>
      <c r="C173" s="923" t="s"/>
      <c r="D173" s="923" t="s"/>
      <c r="E173" s="923" t="s"/>
      <c r="F173" s="923" t="s"/>
      <c r="G173" s="923" t="s"/>
      <c r="H173" s="923" t="s"/>
      <c r="I173" s="923" t="s"/>
      <c r="J173" s="923" t="s"/>
      <c r="K173" s="923" t="s"/>
      <c r="L173" s="923" t="s"/>
      <c r="M173" s="923" t="s"/>
      <c r="N173" s="923" t="s"/>
    </row>
    <row r="174" spans="1:14" customHeight="false">
      <c r="A174" s="923" t="s"/>
      <c r="B174" s="923" t="s"/>
      <c r="C174" s="923" t="s"/>
      <c r="D174" s="923" t="s"/>
      <c r="E174" s="923" t="s"/>
      <c r="F174" s="923" t="s"/>
      <c r="G174" s="923" t="s"/>
      <c r="H174" s="923" t="s"/>
      <c r="I174" s="923" t="s"/>
      <c r="J174" s="923" t="s"/>
      <c r="K174" s="923" t="s"/>
      <c r="L174" s="923" t="s"/>
      <c r="M174" s="923" t="s"/>
      <c r="N174" s="923" t="s"/>
    </row>
    <row r="175" spans="1:14" customHeight="false">
      <c r="A175" s="923" t="s"/>
      <c r="B175" s="923" t="s"/>
      <c r="C175" s="923" t="s"/>
      <c r="D175" s="923" t="s"/>
      <c r="E175" s="923" t="s"/>
      <c r="F175" s="923" t="s"/>
      <c r="G175" s="923" t="s"/>
      <c r="H175" s="923" t="s"/>
      <c r="I175" s="923" t="s"/>
      <c r="J175" s="923" t="s"/>
      <c r="K175" s="923" t="s"/>
      <c r="L175" s="923" t="s"/>
      <c r="M175" s="923" t="s"/>
      <c r="N175" s="923" t="s"/>
    </row>
    <row r="176" spans="1:14" customHeight="false">
      <c r="A176" s="923" t="s"/>
      <c r="B176" s="923" t="s"/>
      <c r="C176" s="923" t="s"/>
      <c r="D176" s="923" t="s"/>
      <c r="E176" s="923" t="s"/>
      <c r="F176" s="923" t="s"/>
      <c r="G176" s="923" t="s"/>
      <c r="H176" s="923" t="s"/>
      <c r="I176" s="923" t="s"/>
      <c r="J176" s="923" t="s"/>
      <c r="K176" s="923" t="s"/>
      <c r="L176" s="923" t="s"/>
      <c r="M176" s="923" t="s"/>
      <c r="N176" s="923" t="s"/>
    </row>
    <row r="177" spans="1:14" customHeight="false">
      <c r="A177" s="923" t="s"/>
      <c r="B177" s="923" t="s"/>
      <c r="C177" s="923" t="s"/>
      <c r="D177" s="923" t="s"/>
      <c r="E177" s="923" t="s"/>
      <c r="F177" s="923" t="s"/>
      <c r="G177" s="923" t="s"/>
      <c r="H177" s="923" t="s"/>
      <c r="I177" s="923" t="s"/>
      <c r="J177" s="923" t="s"/>
      <c r="K177" s="923" t="s"/>
      <c r="L177" s="923" t="s"/>
      <c r="M177" s="923" t="s"/>
      <c r="N177" s="923" t="s"/>
    </row>
    <row r="178" spans="1:14" customHeight="false">
      <c r="A178" s="923" t="s"/>
      <c r="B178" s="923" t="s"/>
      <c r="C178" s="923" t="s"/>
      <c r="D178" s="923" t="s"/>
      <c r="E178" s="923" t="s"/>
      <c r="F178" s="923" t="s"/>
      <c r="G178" s="923" t="s"/>
      <c r="H178" s="923" t="s"/>
      <c r="I178" s="923" t="s"/>
      <c r="J178" s="923" t="s"/>
      <c r="K178" s="923" t="s"/>
      <c r="L178" s="923" t="s"/>
      <c r="M178" s="923" t="s"/>
      <c r="N178" s="923" t="s"/>
    </row>
    <row r="179" spans="1:14" customHeight="false">
      <c r="A179" s="923" t="s"/>
      <c r="B179" s="923" t="s"/>
      <c r="C179" s="923" t="s"/>
      <c r="D179" s="923" t="s"/>
      <c r="E179" s="923" t="s"/>
      <c r="F179" s="923" t="s"/>
      <c r="G179" s="923" t="s"/>
      <c r="H179" s="923" t="s"/>
      <c r="I179" s="923" t="s"/>
      <c r="J179" s="923" t="s"/>
      <c r="K179" s="923" t="s"/>
      <c r="L179" s="923" t="s"/>
      <c r="M179" s="923" t="s"/>
      <c r="N179" s="923" t="s"/>
    </row>
    <row r="180" spans="1:14" customHeight="false">
      <c r="A180" s="923" t="s"/>
      <c r="B180" s="923" t="s"/>
      <c r="C180" s="923" t="s"/>
      <c r="D180" s="923" t="s"/>
      <c r="E180" s="923" t="s"/>
      <c r="F180" s="923" t="s"/>
      <c r="G180" s="923" t="s"/>
      <c r="H180" s="923" t="s"/>
      <c r="I180" s="923" t="s"/>
      <c r="J180" s="923" t="s"/>
      <c r="K180" s="923" t="s"/>
      <c r="L180" s="923" t="s"/>
      <c r="M180" s="923" t="s"/>
      <c r="N180" s="923" t="s"/>
    </row>
    <row r="181" spans="1:14" customHeight="false">
      <c r="A181" s="923" t="s"/>
      <c r="B181" s="923" t="s"/>
      <c r="C181" s="923" t="s"/>
      <c r="D181" s="923" t="s"/>
      <c r="E181" s="923" t="s"/>
      <c r="F181" s="923" t="s"/>
      <c r="G181" s="923" t="s"/>
      <c r="H181" s="923" t="s"/>
      <c r="I181" s="923" t="s"/>
      <c r="J181" s="923" t="s"/>
      <c r="K181" s="923" t="s"/>
      <c r="L181" s="923" t="s"/>
      <c r="M181" s="923" t="s"/>
      <c r="N181" s="923" t="s"/>
    </row>
    <row r="182" spans="1:14" customHeight="false">
      <c r="A182" s="923" t="s"/>
      <c r="B182" s="923" t="s"/>
      <c r="C182" s="923" t="s"/>
      <c r="D182" s="923" t="s"/>
      <c r="E182" s="923" t="s"/>
      <c r="F182" s="923" t="s"/>
      <c r="G182" s="923" t="s"/>
      <c r="H182" s="923" t="s"/>
      <c r="I182" s="923" t="s"/>
      <c r="J182" s="923" t="s"/>
      <c r="K182" s="923" t="s"/>
      <c r="L182" s="923" t="s"/>
      <c r="M182" s="923" t="s"/>
      <c r="N182" s="923" t="s"/>
    </row>
    <row r="183" spans="1:14" customHeight="false">
      <c r="A183" s="923" t="s"/>
      <c r="B183" s="923" t="s"/>
      <c r="C183" s="923" t="s"/>
      <c r="D183" s="923" t="s"/>
      <c r="E183" s="923" t="s"/>
      <c r="F183" s="923" t="s"/>
      <c r="G183" s="923" t="s"/>
      <c r="H183" s="923" t="s"/>
      <c r="I183" s="923" t="s"/>
      <c r="J183" s="923" t="s"/>
      <c r="K183" s="923" t="s"/>
      <c r="L183" s="923" t="s"/>
      <c r="M183" s="923" t="s"/>
      <c r="N183" s="923" t="s"/>
    </row>
    <row r="184" spans="1:14" customHeight="false">
      <c r="A184" s="923" t="s"/>
      <c r="B184" s="923" t="s"/>
      <c r="C184" s="923" t="s"/>
      <c r="D184" s="923" t="s"/>
      <c r="E184" s="923" t="s"/>
      <c r="F184" s="923" t="s"/>
      <c r="G184" s="923" t="s"/>
      <c r="H184" s="923" t="s"/>
      <c r="I184" s="923" t="s"/>
      <c r="J184" s="923" t="s"/>
      <c r="K184" s="923" t="s"/>
      <c r="L184" s="923" t="s"/>
      <c r="M184" s="923" t="s"/>
      <c r="N184" s="923" t="s"/>
    </row>
    <row r="185" spans="1:14" customHeight="false">
      <c r="A185" s="923" t="s"/>
      <c r="B185" s="923" t="s"/>
      <c r="C185" s="923" t="s"/>
      <c r="D185" s="923" t="s"/>
      <c r="E185" s="923" t="s"/>
      <c r="F185" s="923" t="s"/>
      <c r="G185" s="923" t="s"/>
      <c r="H185" s="923" t="s"/>
      <c r="I185" s="923" t="s"/>
      <c r="J185" s="923" t="s"/>
      <c r="K185" s="923" t="s"/>
      <c r="L185" s="923" t="s"/>
      <c r="M185" s="923" t="s"/>
      <c r="N185" s="923" t="s"/>
    </row>
    <row r="186" spans="1:14" customHeight="false">
      <c r="A186" s="923" t="s"/>
      <c r="B186" s="923" t="s"/>
      <c r="C186" s="923" t="s"/>
      <c r="D186" s="923" t="s"/>
      <c r="E186" s="923" t="s"/>
      <c r="F186" s="923" t="s"/>
      <c r="G186" s="923" t="s"/>
      <c r="H186" s="923" t="s"/>
      <c r="I186" s="923" t="s"/>
      <c r="J186" s="923" t="s"/>
      <c r="K186" s="923" t="s"/>
      <c r="L186" s="923" t="s"/>
      <c r="M186" s="923" t="s"/>
      <c r="N186" s="923" t="s"/>
    </row>
    <row r="187" spans="1:14" customHeight="false">
      <c r="A187" s="923" t="s"/>
      <c r="B187" s="923" t="s"/>
      <c r="C187" s="923" t="s"/>
      <c r="D187" s="923" t="s"/>
      <c r="E187" s="923" t="s"/>
      <c r="F187" s="923" t="s"/>
      <c r="G187" s="923" t="s"/>
      <c r="H187" s="923" t="s"/>
      <c r="I187" s="923" t="s"/>
      <c r="J187" s="923" t="s"/>
      <c r="K187" s="923" t="s"/>
      <c r="L187" s="923" t="s"/>
      <c r="M187" s="923" t="s"/>
      <c r="N187" s="923" t="s"/>
    </row>
    <row r="188" spans="1:14" customHeight="false">
      <c r="A188" s="923" t="s"/>
      <c r="B188" s="923" t="s"/>
      <c r="C188" s="923" t="s"/>
      <c r="D188" s="923" t="s"/>
      <c r="E188" s="923" t="s"/>
      <c r="F188" s="923" t="s"/>
      <c r="G188" s="923" t="s"/>
      <c r="H188" s="923" t="s"/>
      <c r="I188" s="923" t="s"/>
      <c r="J188" s="923" t="s"/>
      <c r="K188" s="923" t="s"/>
      <c r="L188" s="923" t="s"/>
      <c r="M188" s="923" t="s"/>
      <c r="N188" s="923" t="s"/>
    </row>
    <row r="189" spans="1:14" customHeight="false">
      <c r="A189" s="923" t="s"/>
      <c r="B189" s="923" t="s"/>
      <c r="C189" s="923" t="s"/>
      <c r="D189" s="923" t="s"/>
      <c r="E189" s="923" t="s"/>
      <c r="F189" s="923" t="s"/>
      <c r="G189" s="923" t="s"/>
      <c r="H189" s="923" t="s"/>
      <c r="I189" s="923" t="s"/>
      <c r="J189" s="923" t="s"/>
      <c r="K189" s="923" t="s"/>
      <c r="L189" s="923" t="s"/>
      <c r="M189" s="923" t="s"/>
      <c r="N189" s="923" t="s"/>
    </row>
    <row r="190" spans="1:14" customHeight="false">
      <c r="A190" s="923" t="s"/>
      <c r="B190" s="923" t="s"/>
      <c r="C190" s="923" t="s"/>
      <c r="D190" s="923" t="s"/>
      <c r="E190" s="923" t="s"/>
      <c r="F190" s="923" t="s"/>
      <c r="G190" s="923" t="s"/>
      <c r="H190" s="923" t="s"/>
      <c r="I190" s="923" t="s"/>
      <c r="J190" s="923" t="s"/>
      <c r="K190" s="923" t="s"/>
      <c r="L190" s="923" t="s"/>
      <c r="M190" s="923" t="s"/>
      <c r="N190" s="923" t="s"/>
    </row>
    <row r="191" spans="1:14" customHeight="false">
      <c r="A191" s="923" t="s"/>
      <c r="B191" s="923" t="s"/>
      <c r="C191" s="923" t="s"/>
      <c r="D191" s="923" t="s"/>
      <c r="E191" s="923" t="s"/>
      <c r="F191" s="923" t="s"/>
      <c r="G191" s="923" t="s"/>
      <c r="H191" s="923" t="s"/>
      <c r="I191" s="923" t="s"/>
      <c r="J191" s="923" t="s"/>
      <c r="K191" s="923" t="s"/>
      <c r="L191" s="923" t="s"/>
      <c r="M191" s="923" t="s"/>
      <c r="N191" s="923" t="s"/>
    </row>
    <row r="192" spans="1:14" customHeight="false">
      <c r="A192" s="923" t="s"/>
      <c r="B192" s="923" t="s"/>
      <c r="C192" s="923" t="s"/>
      <c r="D192" s="923" t="s"/>
      <c r="E192" s="923" t="s"/>
      <c r="F192" s="923" t="s"/>
      <c r="G192" s="923" t="s"/>
      <c r="H192" s="923" t="s"/>
      <c r="I192" s="923" t="s"/>
      <c r="J192" s="923" t="s"/>
      <c r="K192" s="923" t="s"/>
      <c r="L192" s="923" t="s"/>
      <c r="M192" s="923" t="s"/>
      <c r="N192" s="923" t="s"/>
    </row>
    <row r="193" spans="1:14" customHeight="false">
      <c r="A193" s="923" t="s"/>
      <c r="B193" s="923" t="s"/>
      <c r="C193" s="923" t="s"/>
      <c r="D193" s="923" t="s"/>
      <c r="E193" s="923" t="s"/>
      <c r="F193" s="923" t="s"/>
      <c r="G193" s="923" t="s"/>
      <c r="H193" s="923" t="s"/>
      <c r="I193" s="923" t="s"/>
      <c r="J193" s="923" t="s"/>
      <c r="K193" s="923" t="s"/>
      <c r="L193" s="923" t="s"/>
      <c r="M193" s="923" t="s"/>
      <c r="N193" s="923" t="s"/>
    </row>
    <row r="194" spans="1:14" customHeight="false">
      <c r="A194" s="923" t="s"/>
      <c r="B194" s="923" t="s"/>
      <c r="C194" s="923" t="s"/>
      <c r="D194" s="923" t="s"/>
      <c r="E194" s="923" t="s"/>
      <c r="F194" s="923" t="s"/>
      <c r="G194" s="923" t="s"/>
      <c r="H194" s="923" t="s"/>
      <c r="I194" s="923" t="s"/>
      <c r="J194" s="923" t="s"/>
      <c r="K194" s="923" t="s"/>
      <c r="L194" s="923" t="s"/>
      <c r="M194" s="923" t="s"/>
      <c r="N194" s="923" t="s"/>
    </row>
    <row r="195" spans="1:14" customHeight="false">
      <c r="A195" s="923" t="s"/>
      <c r="B195" s="923" t="s"/>
      <c r="C195" s="923" t="s"/>
      <c r="D195" s="923" t="s"/>
      <c r="E195" s="923" t="s"/>
      <c r="F195" s="923" t="s"/>
      <c r="G195" s="923" t="s"/>
      <c r="H195" s="923" t="s"/>
      <c r="I195" s="923" t="s"/>
      <c r="J195" s="923" t="s"/>
      <c r="K195" s="923" t="s"/>
      <c r="L195" s="923" t="s"/>
      <c r="M195" s="923" t="s"/>
      <c r="N195" s="923" t="s"/>
    </row>
    <row r="196" spans="1:14" customHeight="false">
      <c r="A196" s="923" t="s"/>
      <c r="B196" s="923" t="s"/>
      <c r="C196" s="923" t="s"/>
      <c r="D196" s="923" t="s"/>
      <c r="E196" s="923" t="s"/>
      <c r="F196" s="923" t="s"/>
      <c r="G196" s="923" t="s"/>
      <c r="H196" s="923" t="s"/>
      <c r="I196" s="923" t="s"/>
      <c r="J196" s="923" t="s"/>
      <c r="K196" s="923" t="s"/>
      <c r="L196" s="923" t="s"/>
      <c r="M196" s="923" t="s"/>
      <c r="N196" s="923" t="s"/>
    </row>
    <row r="197" spans="1:14" customHeight="false">
      <c r="A197" s="923" t="s"/>
      <c r="B197" s="923" t="s"/>
      <c r="C197" s="923" t="s"/>
      <c r="D197" s="923" t="s"/>
      <c r="E197" s="923" t="s"/>
      <c r="F197" s="923" t="s"/>
      <c r="G197" s="923" t="s"/>
      <c r="H197" s="923" t="s"/>
      <c r="I197" s="923" t="s"/>
      <c r="J197" s="923" t="s"/>
      <c r="K197" s="923" t="s"/>
      <c r="L197" s="923" t="s"/>
      <c r="M197" s="923" t="s"/>
      <c r="N197" s="923" t="s"/>
    </row>
    <row r="198" spans="1:14" customHeight="false">
      <c r="A198" s="923" t="s"/>
      <c r="B198" s="923" t="s"/>
      <c r="C198" s="923" t="s"/>
      <c r="D198" s="923" t="s"/>
      <c r="E198" s="923" t="s"/>
      <c r="F198" s="923" t="s"/>
      <c r="G198" s="923" t="s"/>
      <c r="H198" s="923" t="s"/>
      <c r="I198" s="923" t="s"/>
      <c r="J198" s="923" t="s"/>
      <c r="K198" s="923" t="s"/>
      <c r="L198" s="923" t="s"/>
      <c r="M198" s="923" t="s"/>
      <c r="N198" s="923" t="s"/>
    </row>
    <row r="199" spans="1:14" customHeight="false">
      <c r="A199" s="923" t="s"/>
      <c r="B199" s="923" t="s"/>
      <c r="C199" s="923" t="s"/>
      <c r="D199" s="923" t="s"/>
      <c r="E199" s="923" t="s"/>
      <c r="F199" s="923" t="s"/>
      <c r="G199" s="923" t="s"/>
      <c r="H199" s="923" t="s"/>
      <c r="I199" s="923" t="s"/>
      <c r="J199" s="923" t="s"/>
      <c r="K199" s="923" t="s"/>
      <c r="L199" s="923" t="s"/>
      <c r="M199" s="923" t="s"/>
      <c r="N199" s="923" t="s"/>
    </row>
    <row r="200" spans="1:14" customHeight="false">
      <c r="A200" s="923" t="s"/>
      <c r="B200" s="923" t="s"/>
      <c r="C200" s="923" t="s"/>
      <c r="D200" s="923" t="s"/>
      <c r="E200" s="923" t="s"/>
      <c r="F200" s="923" t="s"/>
      <c r="G200" s="923" t="s"/>
      <c r="H200" s="923" t="s"/>
      <c r="I200" s="923" t="s"/>
      <c r="J200" s="923" t="s"/>
      <c r="K200" s="923" t="s"/>
      <c r="L200" s="923" t="s"/>
      <c r="M200" s="923" t="s"/>
      <c r="N200" s="923" t="s"/>
    </row>
    <row r="201" spans="1:14" customHeight="false">
      <c r="A201" s="923" t="s"/>
      <c r="B201" s="923" t="s"/>
      <c r="C201" s="923" t="s"/>
      <c r="D201" s="923" t="s"/>
      <c r="E201" s="923" t="s"/>
      <c r="F201" s="923" t="s"/>
      <c r="G201" s="923" t="s"/>
      <c r="H201" s="923" t="s"/>
      <c r="I201" s="923" t="s"/>
      <c r="J201" s="923" t="s"/>
      <c r="K201" s="923" t="s"/>
      <c r="L201" s="923" t="s"/>
      <c r="M201" s="923" t="s"/>
      <c r="N201" s="923" t="s"/>
    </row>
  </sheetData>
</worksheet>
</file>

<file path=xl/worksheets/sheet18.xml><?xml version="1.0" encoding="utf-8"?>
<worksheet xmlns="http://schemas.openxmlformats.org/spreadsheetml/2006/main">
  <sheetPr>
    <tabColor rgb="FFFFFFFF"/>
  </sheetPr>
  <dimension ref="Y201"/>
  <sheetViews>
    <sheetView showGridLines="true" rightToLeft="false" workbookViewId="0"/>
  </sheetViews>
  <cols>
    <col min="1" max="5" width="10.293" customWidth="true"/>
    <col min="6" max="7" width="13.7227" customWidth="true"/>
    <col min="8" max="10" width="10.5742" customWidth="true"/>
    <col min="11" max="11" width="13.293" customWidth="true"/>
    <col min="12" max="12" width="15.0039" customWidth="true"/>
    <col min="13" max="13" width="10.293" customWidth="true"/>
    <col min="14" max="14" width="11.8633" customWidth="true"/>
    <col min="15" max="15" width="17.1523" customWidth="true"/>
    <col min="16" max="17" width="10.293" customWidth="true"/>
    <col min="18" max="18" width="13.293" customWidth="true"/>
    <col min="19" max="19" width="15.0039" customWidth="true"/>
    <col min="20" max="20" width="10.8633" customWidth="true"/>
    <col min="21" max="21" width="12.0039" customWidth="true"/>
    <col min="22" max="22" width="10.8633" customWidth="true"/>
    <col min="23" max="23" width="10.293" customWidth="true"/>
    <col min="24" max="25" width="11.8633" customWidth="true"/>
  </cols>
  <sheetData>
    <row r="1" spans="1:25" customHeight="false">
      <c r="A1" s="191" t="s">
        <v>294</v>
      </c>
      <c r="B1" s="191" t="s"/>
      <c r="C1" s="191" t="s"/>
      <c r="D1" s="191" t="s"/>
      <c r="E1" s="191" t="s"/>
      <c r="F1" s="191" t="s"/>
      <c r="G1" s="191" t="s"/>
      <c r="H1" s="191" t="s"/>
      <c r="I1" s="191" t="s"/>
      <c r="J1" s="191" t="s"/>
      <c r="K1" s="191" t="s"/>
      <c r="L1" s="191" t="s"/>
      <c r="M1" s="191" t="s"/>
      <c r="N1" s="191" t="s"/>
      <c r="O1" s="191" t="s"/>
      <c r="P1" s="191" t="s"/>
      <c r="Q1" s="191" t="s"/>
      <c r="R1" s="191" t="s"/>
      <c r="S1" s="191" t="s"/>
      <c r="T1" s="191" t="s"/>
      <c r="U1" s="191" t="s"/>
      <c r="V1" s="191" t="s"/>
      <c r="W1" s="191" t="s"/>
      <c r="X1" s="192" t="s">
        <v>258</v>
      </c>
      <c r="Y1" s="192" t="s">
        <v>259</v>
      </c>
    </row>
    <row r="2" spans="1:25" customHeight="false">
      <c r="A2" s="192" t="s">
        <v>295</v>
      </c>
      <c r="B2" s="192" t="s"/>
      <c r="C2" s="192" t="s"/>
      <c r="D2" s="192" t="s"/>
      <c r="E2" s="192" t="s"/>
      <c r="F2" s="192" t="s"/>
      <c r="G2" s="192" t="s"/>
      <c r="H2" s="192" t="s"/>
      <c r="I2" s="192" t="s"/>
      <c r="J2" s="192" t="s"/>
      <c r="K2" s="192" t="s"/>
      <c r="L2" s="192" t="s"/>
      <c r="M2" s="192" t="s"/>
      <c r="N2" s="195">
        <v>10.61</v>
      </c>
      <c r="O2" s="195">
        <v>152.9</v>
      </c>
      <c r="P2" s="195">
        <v>16.95</v>
      </c>
      <c r="Q2" s="195">
        <v>481.16</v>
      </c>
      <c r="R2" s="195">
        <v>446.51</v>
      </c>
      <c r="S2" s="195">
        <v>446.51</v>
      </c>
      <c r="T2" s="195">
        <v>3800</v>
      </c>
      <c r="U2" s="195">
        <v>23.7</v>
      </c>
      <c r="V2" s="195">
        <v>540</v>
      </c>
      <c r="W2" s="195" t="s"/>
      <c r="X2" s="192" t="s"/>
      <c r="Y2" s="192" t="s"/>
    </row>
    <row r="3" spans="1:25" customHeight="false">
      <c r="A3" s="192" t="s"/>
      <c r="B3" s="192" t="s"/>
      <c r="C3" s="192" t="s"/>
      <c r="D3" s="192" t="s"/>
      <c r="E3" s="192" t="s"/>
      <c r="F3" s="192" t="s"/>
      <c r="G3" s="192" t="s"/>
      <c r="H3" s="192" t="s"/>
      <c r="I3" s="192" t="s"/>
      <c r="J3" s="192" t="s"/>
      <c r="K3" s="192" t="s"/>
      <c r="L3" s="192" t="s"/>
      <c r="M3" s="192" t="s"/>
      <c r="N3" s="195">
        <v>9.71</v>
      </c>
      <c r="O3" s="195">
        <v>152.9</v>
      </c>
      <c r="P3" s="195">
        <v>16.95</v>
      </c>
      <c r="Q3" s="195">
        <v>481.16</v>
      </c>
      <c r="R3" s="195">
        <v>446.51</v>
      </c>
      <c r="S3" s="195">
        <v>446.51</v>
      </c>
      <c r="T3" s="195">
        <v>3800</v>
      </c>
      <c r="U3" s="195">
        <v>23.7</v>
      </c>
      <c r="V3" s="195">
        <v>540</v>
      </c>
      <c r="W3" s="195" t="s"/>
      <c r="X3" s="192" t="s"/>
      <c r="Y3" s="192" t="s"/>
    </row>
    <row r="4" spans="1:25" customHeight="false">
      <c r="A4" s="192" t="s"/>
      <c r="B4" s="192" t="s"/>
      <c r="C4" s="192" t="s"/>
      <c r="D4" s="192" t="s"/>
      <c r="E4" s="192" t="s"/>
      <c r="F4" s="192" t="s"/>
      <c r="G4" s="192" t="s"/>
      <c r="H4" s="192" t="s"/>
      <c r="I4" s="192" t="s"/>
      <c r="J4" s="192" t="s"/>
      <c r="K4" s="192" t="s"/>
      <c r="L4" s="192" t="s"/>
      <c r="M4" s="192" t="s"/>
      <c r="N4" s="195">
        <v>12.43</v>
      </c>
      <c r="O4" s="195">
        <v>255.64</v>
      </c>
      <c r="P4" s="195">
        <v>14.19</v>
      </c>
      <c r="Q4" s="195">
        <v>527.65</v>
      </c>
      <c r="R4" s="195">
        <v>710.39</v>
      </c>
      <c r="S4" s="195">
        <v>710.39</v>
      </c>
      <c r="T4" s="195">
        <v>4200</v>
      </c>
      <c r="U4" s="195">
        <v>47.53</v>
      </c>
      <c r="V4" s="195">
        <v>935.36</v>
      </c>
      <c r="W4" s="195" t="s"/>
      <c r="X4" s="192" t="s"/>
      <c r="Y4" s="192" t="s"/>
    </row>
    <row r="5" spans="1:25" customHeight="false">
      <c r="A5" s="194" t="s">
        <v>296</v>
      </c>
      <c r="B5" s="192" t="s">
        <v>297</v>
      </c>
      <c r="C5" s="192" t="s"/>
      <c r="D5" s="192" t="s"/>
      <c r="E5" s="192" t="s"/>
      <c r="F5" s="192" t="s"/>
      <c r="G5" s="192" t="s"/>
      <c r="H5" s="192" t="s"/>
      <c r="I5" s="192" t="s"/>
      <c r="J5" s="192" t="s"/>
      <c r="K5" s="192" t="s"/>
      <c r="L5" s="192" t="s"/>
      <c r="M5" s="192" t="s"/>
      <c r="N5" s="192" t="s">
        <v>265</v>
      </c>
      <c r="O5" s="192" t="s"/>
      <c r="P5" s="192" t="s"/>
      <c r="Q5" s="192" t="s"/>
      <c r="R5" s="192" t="s"/>
      <c r="S5" s="192" t="s"/>
      <c r="T5" s="192" t="s"/>
      <c r="U5" s="192" t="s"/>
      <c r="V5" s="192" t="s"/>
      <c r="W5" s="194" t="s"/>
      <c r="X5" s="192" t="s"/>
      <c r="Y5" s="192" t="s"/>
    </row>
    <row r="6" spans="1:25" customHeight="false">
      <c r="A6" s="194" t="s"/>
      <c r="B6" s="194" t="s">
        <v>298</v>
      </c>
      <c r="C6" s="194" t="s">
        <v>299</v>
      </c>
      <c r="D6" s="194" t="s">
        <v>300</v>
      </c>
      <c r="E6" s="194" t="s">
        <v>301</v>
      </c>
      <c r="F6" s="194" t="s">
        <v>302</v>
      </c>
      <c r="G6" s="194" t="s">
        <v>303</v>
      </c>
      <c r="H6" s="194" t="s">
        <v>304</v>
      </c>
      <c r="I6" s="194" t="s">
        <v>305</v>
      </c>
      <c r="J6" s="194" t="s">
        <v>306</v>
      </c>
      <c r="K6" s="194" t="s">
        <v>307</v>
      </c>
      <c r="L6" s="194" t="s">
        <v>308</v>
      </c>
      <c r="M6" s="194" t="s">
        <v>309</v>
      </c>
      <c r="N6" s="195" t="s">
        <v>310</v>
      </c>
      <c r="O6" s="194" t="s">
        <v>311</v>
      </c>
      <c r="P6" s="194" t="s">
        <v>312</v>
      </c>
      <c r="Q6" s="194" t="s">
        <v>313</v>
      </c>
      <c r="R6" s="194" t="s">
        <v>307</v>
      </c>
      <c r="S6" s="194" t="s">
        <v>308</v>
      </c>
      <c r="T6" s="194" t="s">
        <v>314</v>
      </c>
      <c r="U6" s="194" t="s">
        <v>315</v>
      </c>
      <c r="V6" s="194" t="s">
        <v>316</v>
      </c>
      <c r="W6" s="194" t="s">
        <v>317</v>
      </c>
      <c r="X6" s="192" t="s"/>
      <c r="Y6" s="192" t="s"/>
    </row>
    <row r="7" spans="1:25" customHeight="false">
      <c r="A7" s="194" t="s">
        <v>265</v>
      </c>
      <c r="B7" s="194">
        <v>0.315</v>
      </c>
      <c r="C7" s="194" t="s"/>
      <c r="D7" s="194">
        <v>2</v>
      </c>
      <c r="E7" s="194">
        <v>120.58</v>
      </c>
      <c r="F7" s="195">
        <v>0</v>
      </c>
      <c r="G7" s="194">
        <f>=0.4+0.1</f>
        <v>0.5</v>
      </c>
      <c r="H7" s="194">
        <f>=B7+(C7*2)+G7*2</f>
        <v>1.315</v>
      </c>
      <c r="I7" s="194">
        <f>=IF(X7="既有道路",D7+C7+K7-0.48,IF(X7="新建道路",D7+C7+K7,0))</f>
        <v>2.1</v>
      </c>
      <c r="J7" s="194">
        <f>=B7+C7*2+0.1*2+0.1*2</f>
        <v>0.715</v>
      </c>
      <c r="K7" s="194">
        <v>0.1</v>
      </c>
      <c r="L7" s="195">
        <f>=B7/2</f>
        <v>0.1575</v>
      </c>
      <c r="M7" s="194">
        <v>0.1</v>
      </c>
      <c r="N7" s="195">
        <f>=(H7+I7*0.67)*I7*1.05</f>
        <v>6.00201</v>
      </c>
      <c r="O7" s="195">
        <f>=N7-P7-R7-S7-3.14*B7^2*0.25</f>
        <v>1.99414625444494</v>
      </c>
      <c r="P7" s="194">
        <f>=IF(X7="新建道路",((D7-L7-3*B7/4-0.5)*0.67+H7+(K7+C7*2+B7+0.5)*0.67*2)*(D7-L7-3*B7/4-0.5)*1.05,0)</f>
        <v>3.81258207421875</v>
      </c>
      <c r="Q7" s="194" t="s"/>
      <c r="R7" s="194">
        <f>=K7*(J7-0.1*2)</f>
        <v>0.0515</v>
      </c>
      <c r="S7" s="195">
        <f>=L7*(J7-0.1*2)-(3.14*B7^2*0.25/3-SQRT((B7/2)^2-(B7/2/2)^2)*2*(B7/2/2)/2)</f>
        <v>0.0658900463363139</v>
      </c>
      <c r="T7" s="195">
        <f>=F7</f>
        <v>0</v>
      </c>
      <c r="U7" s="195">
        <f>=N7-P7</f>
        <v>2.18942792578125</v>
      </c>
      <c r="V7" s="194">
        <f>=IF(D7&gt;=3,6*1*2*150/1000,0)</f>
        <v>0</v>
      </c>
      <c r="W7" s="194">
        <f>=IF(D7&lt;=3,($N$7*$N$4+$O$7*$O$4+$P$7*$P$4+$Q$7*$Q$4+$R$7*$R$4+$S$7*$S$4+$T$7*$T$4+$U$7*$U$4+$V$7*$V$4+$E$7*1.2)*1.1*1.11*1.15,IF(3&lt;D7&lt;4,($N$7*$N$4+$O$7*$O$4+$P$7*$P$4+$Q$7*$Q$4+$R$7*$R$4+$S$7*$S$4+$T$7*$T$4+$U$7*$U$4+$V$7*$V$4+$E$7*1.2)*1.1*1.11*1.15,($N$7*$N$4+$O$7*$O$4+$P$7*$P$4+$Q$7*$Q$4+$R$7*$R$4+$S$7*$S$4+$T$7*$T$4+$U$7*$U$4+$V$7*$V$4+$E$7*1.2)*1.1*1.11*1.15))</f>
        <v>1362.92597682969</v>
      </c>
      <c r="X7" s="194" t="s">
        <v>275</v>
      </c>
      <c r="Y7" s="194">
        <v>0.48</v>
      </c>
    </row>
    <row r="8" spans="1:25" customHeight="false">
      <c r="A8" s="194" t="s"/>
      <c r="B8" s="194">
        <v>0.4</v>
      </c>
      <c r="C8" s="194" t="s"/>
      <c r="D8" s="194">
        <v>3.5</v>
      </c>
      <c r="E8" s="194">
        <v>214.24</v>
      </c>
      <c r="F8" s="195">
        <v>0</v>
      </c>
      <c r="G8" s="194">
        <f>=0.4+0.1</f>
        <v>0.5</v>
      </c>
      <c r="H8" s="194">
        <f>=B8+(C8*2)+G8*2</f>
        <v>1.4</v>
      </c>
      <c r="I8" s="194">
        <f>=IF(X8="既有道路",D8+C8+K8-0.48,IF(X8="新建道路",D8+C8+K8,0))</f>
        <v>3.6</v>
      </c>
      <c r="J8" s="194">
        <f>=B8+C8*2+0.1*2+0.1*2</f>
        <v>0.8</v>
      </c>
      <c r="K8" s="194">
        <v>0.1</v>
      </c>
      <c r="L8" s="195">
        <f>=B8/2</f>
        <v>0.2</v>
      </c>
      <c r="M8" s="194">
        <v>0.1</v>
      </c>
      <c r="N8" s="195">
        <f>=(H8+I8*0.67)*I8*1.05</f>
        <v>14.40936</v>
      </c>
      <c r="O8" s="195">
        <f>=N8-P8-R8-S8-3.14*B8^2*0.25</f>
        <v>2.53893115859098</v>
      </c>
      <c r="P8" s="194">
        <f>=IF(X8="新建道路",((D8-L8-3*B8/4-0.5)*0.67+H8+(K8+C8*2+B8+0.5)*0.67*2)*(D8-L8-3*B8/4-0.5)*1.05,0)</f>
        <v>11.589375</v>
      </c>
      <c r="Q8" s="194" t="s"/>
      <c r="R8" s="194">
        <f>=K8*(J8-0.1*2)</f>
        <v>0.06</v>
      </c>
      <c r="S8" s="195">
        <f>=L8*(J8-0.1*2)-(3.14*B8^2*0.25/3-SQRT((B8/2)^2-(B8/2/2)^2)*2*(B8/2/2)/2)</f>
        <v>0.0954538414090222</v>
      </c>
      <c r="T8" s="195">
        <f>=F8</f>
        <v>0</v>
      </c>
      <c r="U8" s="195">
        <f>=N8-P8</f>
        <v>2.819985</v>
      </c>
      <c r="V8" s="194">
        <f>=IF(D8&gt;=3,6*1*2*150/1000,0)</f>
        <v>1.8</v>
      </c>
      <c r="W8" s="194">
        <f>=IF(D8&lt;=3,($N$8*$N$4+$O$8*$O$4+$P$8*$P$4+$Q$8*$Q$4+$R$8*$R$4+$S$8*$S$4+$T$8*$T$4+$U$8*$U$4+$V$8*$V$4+$E$8*1.2)*1.1*1.11*1.15,IF(3&lt;D8&lt;4,($N$8*$N$3+$O$8*$O$3+$P$8*$P$3+$Q$8*$Q$3+$R$8*$R$3+$S$8*$S$3+$T$8*$T$3+$U$8*$U$3+$V$8*$V$3+$E$8*1.2)*1.1*1.11*1.15,($N$8*$N$2+$O$8*$O$2+$P$8*$P$2+$Q$8*$Q$2+$R$8*$R$2+$S$8*$S$2+$T$8*$T$2+$U$8*$U$2+$V$8*$V$2+$E$8*1.2)*1.1*1.11*1.15))</f>
        <v>2952.72964630283</v>
      </c>
      <c r="X8" s="194" t="s">
        <v>275</v>
      </c>
      <c r="Y8" s="194">
        <v>0</v>
      </c>
    </row>
    <row r="9" spans="1:25" customHeight="false">
      <c r="A9" s="194" t="s"/>
      <c r="B9" s="194">
        <v>0.5</v>
      </c>
      <c r="C9" s="194" t="s"/>
      <c r="D9" s="194">
        <v>4</v>
      </c>
      <c r="E9" s="194">
        <v>375.79</v>
      </c>
      <c r="F9" s="195">
        <v>0</v>
      </c>
      <c r="G9" s="194">
        <f>=0.4+0.1</f>
        <v>0.5</v>
      </c>
      <c r="H9" s="194">
        <f>=B9+(C9*2)+G9*2</f>
        <v>1.5</v>
      </c>
      <c r="I9" s="194">
        <f>=IF(X9="既有道路",D9+C9+K9-0.48,IF(X9="新建道路",D9+C9+K9,0))</f>
        <v>4.1</v>
      </c>
      <c r="J9" s="194">
        <f>=B9+C9*2+0.1*2+0.1*2</f>
        <v>0.9</v>
      </c>
      <c r="K9" s="194">
        <v>0.1</v>
      </c>
      <c r="L9" s="195">
        <f>=B9/2</f>
        <v>0.25</v>
      </c>
      <c r="M9" s="194">
        <v>0.1</v>
      </c>
      <c r="N9" s="195">
        <f>=(H9+I9*0.67)*I9*1.05</f>
        <v>18.283335</v>
      </c>
      <c r="O9" s="195">
        <f>=N9-P9-R9-S9-3.14*B9^2*0.25</f>
        <v>3.0878086852984</v>
      </c>
      <c r="P9" s="194">
        <f>=IF(X9="新建道路",((D9-L9-3*B9/4-0.5)*0.67+H9+(K9+C9*2+B9+0.5)*0.67*2)*(D9-L9-3*B9/4-0.5)*1.05,0)</f>
        <v>14.7926296875</v>
      </c>
      <c r="Q9" s="194" t="s"/>
      <c r="R9" s="194">
        <f>=K9*(J9-0.1*2)</f>
        <v>0.07</v>
      </c>
      <c r="S9" s="195">
        <f>=L9*(J9-0.1*2)-(3.14*B9^2*0.25/3-SQRT((B9/2)^2-(B9/2/2)^2)*2*(B9/2/2)/2)</f>
        <v>0.136646627201597</v>
      </c>
      <c r="T9" s="195">
        <f>=F9</f>
        <v>0</v>
      </c>
      <c r="U9" s="195">
        <f>=N9-P9</f>
        <v>3.4907053125</v>
      </c>
      <c r="V9" s="194">
        <f>=IF(D9&gt;=3,6*1*2*150/1000,0)</f>
        <v>1.8</v>
      </c>
      <c r="W9" s="194">
        <f>=(N9*$N$4+O9*$O$4+P9*$P$4+Q9*$Q$4+R9*$R$4+S9*$S$4+T9*$T$4+U9*$U$4+V9*$V$4+E9*1.2)*1.1*1.1*1.15</f>
        <v>5112.15615605433</v>
      </c>
      <c r="X9" s="194" t="s">
        <v>275</v>
      </c>
      <c r="Y9" s="194" t="s"/>
    </row>
    <row r="10" spans="1:25" customHeight="false">
      <c r="A10" s="194" t="s"/>
      <c r="B10" s="194" t="s"/>
      <c r="C10" s="194" t="s"/>
      <c r="D10" s="194" t="s"/>
      <c r="E10" s="194" t="s"/>
      <c r="F10" s="195">
        <v>0</v>
      </c>
      <c r="G10" s="194">
        <f>=0.4+0.1</f>
        <v>0.5</v>
      </c>
      <c r="H10" s="194">
        <f>=B10+(C10*2)+G10*2</f>
        <v>1</v>
      </c>
      <c r="I10" s="194">
        <f>=IF(X10="既有道路",D10+C10+K10-0.48,IF(X10="新建道路",D10+C10+K10,0))</f>
        <v>0.1</v>
      </c>
      <c r="J10" s="194">
        <f>=B10+C10*2+0.1*2+0.1*2</f>
        <v>0.4</v>
      </c>
      <c r="K10" s="194">
        <v>0.1</v>
      </c>
      <c r="L10" s="195">
        <f>=B10/2</f>
        <v>0</v>
      </c>
      <c r="M10" s="194">
        <v>0.1</v>
      </c>
      <c r="N10" s="195">
        <f>=(H10+I10*0.67)*I10*1.05</f>
        <v>0.112035</v>
      </c>
      <c r="O10" s="195">
        <f>=N10-P10-R10-S10-3.14*B10^2*0.25</f>
        <v>0.86326</v>
      </c>
      <c r="P10" s="194">
        <f>=IF(X10="新建道路",((D10-L10-3*B10/4-0.5)*0.67+H10+(K10+C10*2+B10+0.5)*0.67*2)*(D10-L10-3*B10/4-0.5)*1.05,0)</f>
        <v>-0.771225</v>
      </c>
      <c r="Q10" s="194" t="s"/>
      <c r="R10" s="194">
        <f>=K10*(J10-0.1*2)</f>
        <v>0.02</v>
      </c>
      <c r="S10" s="195">
        <f>=L10*(J10-0.1*2)-(3.14*B10^2*0.25/3-SQRT((B10/2)^2-(B10/2/2)^2)*2*(B10/2/2)/2)</f>
        <v>0</v>
      </c>
      <c r="T10" s="195">
        <f>=F10</f>
        <v>0</v>
      </c>
      <c r="U10" s="195">
        <f>=N10-P10</f>
        <v>0.88326</v>
      </c>
      <c r="V10" s="194">
        <f>=IF(D10&gt;=3,6*1*2*150/1000,0)</f>
        <v>0</v>
      </c>
      <c r="W10" s="194">
        <f>=(N10*$N$4+O10*$O$4+P10*$P$4+Q10*$Q$4+R10*$R$4+S10*$S$4+T10*$T$4+U10*$U$4+V10*$V$4+E10*1.2)*1.1*1.11*1.15</f>
        <v>375.359970762975</v>
      </c>
      <c r="X10" s="194" t="s">
        <v>275</v>
      </c>
      <c r="Y10" s="194" t="s"/>
    </row>
    <row r="11" spans="1:25" customHeight="false">
      <c r="A11" s="194" t="s"/>
      <c r="B11" s="194" t="s"/>
      <c r="C11" s="194" t="s"/>
      <c r="D11" s="194" t="s"/>
      <c r="E11" s="194" t="s"/>
      <c r="F11" s="195">
        <v>0</v>
      </c>
      <c r="G11" s="194">
        <f>=0.4+0.1</f>
        <v>0.5</v>
      </c>
      <c r="H11" s="194">
        <f>=B11+(C11*2)+G11*2</f>
        <v>1</v>
      </c>
      <c r="I11" s="194">
        <f>=IF(X11="既有道路",D11+C11+K11-0.48,IF(X11="新建道路",D11+C11+K11,0))</f>
        <v>0.1</v>
      </c>
      <c r="J11" s="194">
        <f>=B11+C11*2+0.1*2+0.1*2</f>
        <v>0.4</v>
      </c>
      <c r="K11" s="194">
        <v>0.1</v>
      </c>
      <c r="L11" s="195">
        <f>=B11/2</f>
        <v>0</v>
      </c>
      <c r="M11" s="194">
        <v>0.1</v>
      </c>
      <c r="N11" s="195">
        <f>=(H11+I11*0.67)*I11*1.05</f>
        <v>0.112035</v>
      </c>
      <c r="O11" s="195">
        <f>=N11-P11-R11-S11-3.14*B11^2*0.25</f>
        <v>0.86326</v>
      </c>
      <c r="P11" s="194">
        <f>=IF(X11="新建道路",((D11-L11-3*B11/4-0.5)*0.67+H11+(K11+C11*2+B11+0.5)*0.67*2)*(D11-L11-3*B11/4-0.5)*1.05,0)</f>
        <v>-0.771225</v>
      </c>
      <c r="Q11" s="194" t="s"/>
      <c r="R11" s="194">
        <f>=K11*(J11-0.1*2)</f>
        <v>0.02</v>
      </c>
      <c r="S11" s="195">
        <f>=L11*(J11-0.1*2)-(3.14*B11^2*0.25/3-SQRT((B11/2)^2-(B11/2/2)^2)*2*(B11/2/2)/2)</f>
        <v>0</v>
      </c>
      <c r="T11" s="195">
        <f>=F11</f>
        <v>0</v>
      </c>
      <c r="U11" s="195">
        <f>=N11-P11</f>
        <v>0.88326</v>
      </c>
      <c r="V11" s="194">
        <f>=IF(D11&gt;=3,6*1*2*150/1000,0)</f>
        <v>0</v>
      </c>
      <c r="W11" s="194">
        <f>=(N11*$N$4+O11*$O$4+P11*$P$4+Q11*$Q$4+R11*$R$4+S11*$S$4+T11*$T$4+U11*$U$4+V11*$V$4+E11*1.2)*1.1*1.11*1.15</f>
        <v>375.359970762975</v>
      </c>
      <c r="X11" s="194" t="s">
        <v>275</v>
      </c>
      <c r="Y11" s="194" t="s"/>
    </row>
    <row r="12" spans="1:25" customHeight="false">
      <c r="A12" s="194" t="s"/>
      <c r="B12" s="194" t="s"/>
      <c r="C12" s="194" t="s"/>
      <c r="D12" s="194" t="s"/>
      <c r="E12" s="194" t="s"/>
      <c r="F12" s="195">
        <v>0</v>
      </c>
      <c r="G12" s="194">
        <f>=0.4+0.1</f>
        <v>0.5</v>
      </c>
      <c r="H12" s="194">
        <f>=B12+(C12*2)+G12*2</f>
        <v>1</v>
      </c>
      <c r="I12" s="194">
        <f>=IF(X12="既有道路",D12+C12+K12-0.48,IF(X12="新建道路",D12+C12+K12,0))</f>
        <v>0.1</v>
      </c>
      <c r="J12" s="194">
        <f>=B12+C12*2+0.1*2+0.1*2</f>
        <v>0.4</v>
      </c>
      <c r="K12" s="194">
        <v>0.1</v>
      </c>
      <c r="L12" s="195">
        <f>=B12/2</f>
        <v>0</v>
      </c>
      <c r="M12" s="194">
        <v>0.1</v>
      </c>
      <c r="N12" s="195">
        <f>=(H12+I12*0.67)*I12*1.05</f>
        <v>0.112035</v>
      </c>
      <c r="O12" s="195">
        <f>=N12-P12-R12-S12-3.14*B12^2*0.25</f>
        <v>0.86326</v>
      </c>
      <c r="P12" s="194">
        <f>=IF(X12="新建道路",((D12-L12-3*B12/4-0.5)*0.67+H12+(K12+C12*2+B12+0.5)*0.67*2)*(D12-L12-3*B12/4-0.5)*1.05,0)</f>
        <v>-0.771225</v>
      </c>
      <c r="Q12" s="194" t="s"/>
      <c r="R12" s="194">
        <f>=K12*(J12-0.1*2)</f>
        <v>0.02</v>
      </c>
      <c r="S12" s="195">
        <f>=L12*(J12-0.1*2)-(3.14*B12^2*0.25/3-SQRT((B12/2)^2-(B12/2/2)^2)*2*(B12/2/2)/2)</f>
        <v>0</v>
      </c>
      <c r="T12" s="195">
        <f>=F12</f>
        <v>0</v>
      </c>
      <c r="U12" s="195">
        <f>=N12-P12</f>
        <v>0.88326</v>
      </c>
      <c r="V12" s="194">
        <f>=IF(D12&gt;=3,6*1*2*150/1000,0)</f>
        <v>0</v>
      </c>
      <c r="W12" s="194">
        <f>=(N12*$N$4+O12*$O$4+P12*$P$4+Q12*$Q$4+R12*$R$4+S12*$S$4+T12*$T$4+U12*$U$4+V12*$V$4+E12*1.2)*1.1*1.11*1.15</f>
        <v>375.359970762975</v>
      </c>
      <c r="X12" s="194" t="s">
        <v>275</v>
      </c>
      <c r="Y12" s="194" t="s"/>
    </row>
    <row r="13" spans="1:25" customHeight="false">
      <c r="A13" s="194" t="s"/>
      <c r="B13" s="194" t="s"/>
      <c r="C13" s="194" t="s"/>
      <c r="D13" s="194" t="s"/>
      <c r="E13" s="194" t="s"/>
      <c r="F13" s="195">
        <v>0</v>
      </c>
      <c r="G13" s="194">
        <f>=0.4+0.1</f>
        <v>0.5</v>
      </c>
      <c r="H13" s="194">
        <f>=B13+(C13*2)+G13*2</f>
        <v>1</v>
      </c>
      <c r="I13" s="194">
        <f>=IF(X13="既有道路",D13+C13+K13-0.48,IF(X13="新建道路",D13+C13+K13,0))</f>
        <v>0.1</v>
      </c>
      <c r="J13" s="194">
        <f>=B13+C13*2+0.1*2+0.1*2</f>
        <v>0.4</v>
      </c>
      <c r="K13" s="194">
        <v>0.1</v>
      </c>
      <c r="L13" s="195">
        <f>=B13/2</f>
        <v>0</v>
      </c>
      <c r="M13" s="194">
        <v>0.1</v>
      </c>
      <c r="N13" s="195">
        <f>=(H13+I13*0.67)*I13*1.05</f>
        <v>0.112035</v>
      </c>
      <c r="O13" s="195">
        <f>=N13-P13-R13-S13-3.14*B13^2*0.25</f>
        <v>0.86326</v>
      </c>
      <c r="P13" s="194">
        <f>=IF(X13="新建道路",((D13-L13-3*B13/4-0.5)*0.67+H13+(K13+C13*2+B13+0.5)*0.67*2)*(D13-L13-3*B13/4-0.5)*1.05,0)</f>
        <v>-0.771225</v>
      </c>
      <c r="Q13" s="194" t="s"/>
      <c r="R13" s="194">
        <f>=K13*(J13-0.1*2)</f>
        <v>0.02</v>
      </c>
      <c r="S13" s="195">
        <f>=L13*(J13-0.1*2)-(3.14*B13^2*0.25/3-SQRT((B13/2)^2-(B13/2/2)^2)*2*(B13/2/2)/2)</f>
        <v>0</v>
      </c>
      <c r="T13" s="195">
        <f>=F13</f>
        <v>0</v>
      </c>
      <c r="U13" s="195">
        <f>=N13-P13</f>
        <v>0.88326</v>
      </c>
      <c r="V13" s="194">
        <f>=IF(D13&gt;=3,6*1*2*150/1000,0)</f>
        <v>0</v>
      </c>
      <c r="W13" s="194">
        <f>=(N13*$N$4+O13*$O$4+P13*$P$4+Q13*$Q$4+R13*$R$4+S13*$S$4+T13*$T$4+U13*$U$4+V13*$V$4+E13*1.2)*1.1*1.11*1.15</f>
        <v>375.359970762975</v>
      </c>
      <c r="X13" s="194" t="s">
        <v>275</v>
      </c>
      <c r="Y13" s="194" t="s"/>
    </row>
    <row r="14" spans="1:25" customHeight="false">
      <c r="A14" s="194" t="s"/>
      <c r="B14" s="194" t="s"/>
      <c r="C14" s="194" t="s"/>
      <c r="D14" s="194" t="s"/>
      <c r="E14" s="194" t="s"/>
      <c r="F14" s="195">
        <v>0</v>
      </c>
      <c r="G14" s="194">
        <f>=0.4+0.1</f>
        <v>0.5</v>
      </c>
      <c r="H14" s="194">
        <f>=B14+(C14*2)+G14*2</f>
        <v>1</v>
      </c>
      <c r="I14" s="194">
        <f>=IF(X14="既有道路",D14+C14+K14-0.48,IF(X14="新建道路",D14+C14+K14,0))</f>
        <v>0.1</v>
      </c>
      <c r="J14" s="194">
        <f>=B14+C14*2+0.1*2+0.1*2</f>
        <v>0.4</v>
      </c>
      <c r="K14" s="194">
        <v>0.1</v>
      </c>
      <c r="L14" s="195">
        <f>=B14/2</f>
        <v>0</v>
      </c>
      <c r="M14" s="194">
        <v>0.1</v>
      </c>
      <c r="N14" s="195">
        <f>=(H14+I14*0.67)*I14*1.05</f>
        <v>0.112035</v>
      </c>
      <c r="O14" s="195">
        <f>=N14-P14-R14-S14-3.14*B14^2*0.25</f>
        <v>0.86326</v>
      </c>
      <c r="P14" s="194">
        <f>=IF(X14="新建道路",((D14-L14-3*B14/4-0.5)*0.67+H14+(K14+C14*2+B14+0.5)*0.67*2)*(D14-L14-3*B14/4-0.5)*1.05,0)</f>
        <v>-0.771225</v>
      </c>
      <c r="Q14" s="194" t="s"/>
      <c r="R14" s="194">
        <f>=K14*(J14-0.1*2)</f>
        <v>0.02</v>
      </c>
      <c r="S14" s="195">
        <f>=L14*(J14-0.1*2)-(3.14*B14^2*0.25/3-SQRT((B14/2)^2-(B14/2/2)^2)*2*(B14/2/2)/2)</f>
        <v>0</v>
      </c>
      <c r="T14" s="195">
        <f>=F14</f>
        <v>0</v>
      </c>
      <c r="U14" s="195">
        <f>=N14-P14</f>
        <v>0.88326</v>
      </c>
      <c r="V14" s="194">
        <f>=IF(D14&gt;=3,6*1*2*150/1000,0)</f>
        <v>0</v>
      </c>
      <c r="W14" s="194">
        <f>=(N14*$N$4+O14*$O$4+P14*$P$4+Q14*$Q$4+R14*$R$4+S14*$S$4+T14*$T$4+U14*$U$4+V14*$V$4+E14*1.2)*1.1*1.11*1.15</f>
        <v>375.359970762975</v>
      </c>
      <c r="X14" s="194" t="s">
        <v>275</v>
      </c>
      <c r="Y14" s="194" t="s"/>
    </row>
    <row r="15" spans="1:25" customHeight="false">
      <c r="A15" s="194" t="s"/>
      <c r="B15" s="194" t="s"/>
      <c r="C15" s="194" t="s"/>
      <c r="D15" s="194" t="s"/>
      <c r="E15" s="194" t="s"/>
      <c r="F15" s="195">
        <v>0</v>
      </c>
      <c r="G15" s="194">
        <f>=0.4+0.1</f>
        <v>0.5</v>
      </c>
      <c r="H15" s="194">
        <f>=B15+(C15*2)+G15*2</f>
        <v>1</v>
      </c>
      <c r="I15" s="194">
        <f>=IF(X15="既有道路",D15+C15+K15-0.48,IF(X15="新建道路",D15+C15+K15,0))</f>
        <v>0.1</v>
      </c>
      <c r="J15" s="194">
        <f>=B15+C15*2+0.1*2+0.1*2</f>
        <v>0.4</v>
      </c>
      <c r="K15" s="194">
        <v>0.1</v>
      </c>
      <c r="L15" s="195">
        <f>=B15/2</f>
        <v>0</v>
      </c>
      <c r="M15" s="194">
        <v>0.1</v>
      </c>
      <c r="N15" s="195">
        <f>=(H15+I15*0.67)*I15*1.05</f>
        <v>0.112035</v>
      </c>
      <c r="O15" s="195">
        <f>=N15-P15-R15-S15-3.14*B15^2*0.25</f>
        <v>0.86326</v>
      </c>
      <c r="P15" s="194">
        <f>=IF(X15="新建道路",((D15-L15-3*B15/4-0.5)*0.67+H15+(K15+C15*2+B15+0.5)*0.67*2)*(D15-L15-3*B15/4-0.5)*1.05,0)</f>
        <v>-0.771225</v>
      </c>
      <c r="Q15" s="194" t="s"/>
      <c r="R15" s="194">
        <f>=K15*(J15-0.1*2)</f>
        <v>0.02</v>
      </c>
      <c r="S15" s="195">
        <f>=L15*(J15-0.1*2)-(3.14*B15^2*0.25/3-SQRT((B15/2)^2-(B15/2/2)^2)*2*(B15/2/2)/2)</f>
        <v>0</v>
      </c>
      <c r="T15" s="195">
        <f>=F15</f>
        <v>0</v>
      </c>
      <c r="U15" s="195">
        <f>=N15-P15</f>
        <v>0.88326</v>
      </c>
      <c r="V15" s="194">
        <f>=IF(D15&gt;=3,6*1*2*150/1000,0)</f>
        <v>0</v>
      </c>
      <c r="W15" s="194">
        <f>=(N15*$N$4+O15*$O$4+P15*$P$4+Q15*$Q$4+R15*$R$4+S15*$S$4+T15*$T$4+U15*$U$4+V15*$V$4+E15*1.2)*1.1*1.11*1.15</f>
        <v>375.359970762975</v>
      </c>
      <c r="X15" s="194" t="s">
        <v>275</v>
      </c>
      <c r="Y15" s="194" t="s"/>
    </row>
    <row r="16" spans="1:25" customHeight="false">
      <c r="A16" s="194" t="s"/>
      <c r="B16" s="194" t="s"/>
      <c r="C16" s="194" t="s"/>
      <c r="D16" s="194" t="s"/>
      <c r="E16" s="194" t="s"/>
      <c r="F16" s="195">
        <v>0</v>
      </c>
      <c r="G16" s="194">
        <f>=0.4+0.1</f>
        <v>0.5</v>
      </c>
      <c r="H16" s="194">
        <f>=B16+(C16*2)+G16*2</f>
        <v>1</v>
      </c>
      <c r="I16" s="194">
        <f>=IF(X16="既有道路",D16+C16+K16-0.48,IF(X16="新建道路",D16+C16+K16,0))</f>
        <v>0.1</v>
      </c>
      <c r="J16" s="194">
        <f>=B16+C16*2+0.1*2+0.1*2</f>
        <v>0.4</v>
      </c>
      <c r="K16" s="194">
        <v>0.1</v>
      </c>
      <c r="L16" s="195">
        <f>=B16/2</f>
        <v>0</v>
      </c>
      <c r="M16" s="194">
        <v>0.1</v>
      </c>
      <c r="N16" s="195">
        <f>=(H16+I16*0.67)*I16*1.05</f>
        <v>0.112035</v>
      </c>
      <c r="O16" s="195">
        <f>=N16-P16-R16-S16-3.14*B16^2*0.25</f>
        <v>0.86326</v>
      </c>
      <c r="P16" s="194">
        <f>=IF(X16="新建道路",((D16-L16-3*B16/4-0.5)*0.67+H16+(K16+C16*2+B16+0.5)*0.67*2)*(D16-L16-3*B16/4-0.5)*1.05,0)</f>
        <v>-0.771225</v>
      </c>
      <c r="Q16" s="194" t="s"/>
      <c r="R16" s="194">
        <f>=K16*(J16-0.1*2)</f>
        <v>0.02</v>
      </c>
      <c r="S16" s="195">
        <f>=L16*(J16-0.1*2)-(3.14*B16^2*0.25/3-SQRT((B16/2)^2-(B16/2/2)^2)*2*(B16/2/2)/2)</f>
        <v>0</v>
      </c>
      <c r="T16" s="195">
        <f>=F16</f>
        <v>0</v>
      </c>
      <c r="U16" s="195">
        <f>=N16-P16</f>
        <v>0.88326</v>
      </c>
      <c r="V16" s="194">
        <f>=IF(D16&gt;=3,6*1*2*150/1000,0)</f>
        <v>0</v>
      </c>
      <c r="W16" s="194">
        <f>=(N16*$N$4+O16*$O$4+P16*$P$4+Q16*$Q$4+R16*$R$4+S16*$S$4+T16*$T$4+U16*$U$4+V16*$V$4+E16*1.2)*1.1*1.11*1.15</f>
        <v>375.359970762975</v>
      </c>
      <c r="X16" s="194" t="s">
        <v>275</v>
      </c>
      <c r="Y16" s="194" t="s"/>
    </row>
    <row r="17" spans="1:25" customHeight="false">
      <c r="A17" s="194" t="s"/>
      <c r="B17" s="194" t="s"/>
      <c r="C17" s="194" t="s"/>
      <c r="D17" s="194" t="s"/>
      <c r="E17" s="194" t="s"/>
      <c r="F17" s="195">
        <v>0</v>
      </c>
      <c r="G17" s="194">
        <f>=0.4+0.1</f>
        <v>0.5</v>
      </c>
      <c r="H17" s="194">
        <f>=B17+(C17*2)+G17*2</f>
        <v>1</v>
      </c>
      <c r="I17" s="194">
        <f>=IF(X17="既有道路",D17+C17+K17-0.48,IF(X17="新建道路",D17+C17+K17,0))</f>
        <v>0.1</v>
      </c>
      <c r="J17" s="194">
        <f>=B17+C17*2+0.1*2+0.1*2</f>
        <v>0.4</v>
      </c>
      <c r="K17" s="194">
        <v>0.1</v>
      </c>
      <c r="L17" s="195">
        <f>=B17/2</f>
        <v>0</v>
      </c>
      <c r="M17" s="194">
        <v>0.1</v>
      </c>
      <c r="N17" s="195">
        <f>=(H17+I17*0.67)*I17*1.05</f>
        <v>0.112035</v>
      </c>
      <c r="O17" s="195">
        <f>=N17-P17-R17-S17-3.14*B17^2*0.25</f>
        <v>0.86326</v>
      </c>
      <c r="P17" s="194">
        <f>=IF(X17="新建道路",((D17-L17-3*B17/4-0.5)*0.67+H17+(K17+C17*2+B17+0.5)*0.67*2)*(D17-L17-3*B17/4-0.5)*1.05,0)</f>
        <v>-0.771225</v>
      </c>
      <c r="Q17" s="194" t="s"/>
      <c r="R17" s="194">
        <f>=K17*(J17-0.1*2)</f>
        <v>0.02</v>
      </c>
      <c r="S17" s="195">
        <f>=L17*(J17-0.1*2)-(3.14*B17^2*0.25/3-SQRT((B17/2)^2-(B17/2/2)^2)*2*(B17/2/2)/2)</f>
        <v>0</v>
      </c>
      <c r="T17" s="195">
        <f>=F17</f>
        <v>0</v>
      </c>
      <c r="U17" s="195">
        <f>=N17-P17</f>
        <v>0.88326</v>
      </c>
      <c r="V17" s="194">
        <f>=IF(D17&gt;=3,6*1*2*150/1000,0)</f>
        <v>0</v>
      </c>
      <c r="W17" s="194">
        <f>=(N17*$N$4+O17*$O$4+P17*$P$4+Q17*$Q$4+R17*$R$4+S17*$S$4+T17*$T$4+U17*$U$4+V17*$V$4+E17*1.2)*1.1*1.11*1.15</f>
        <v>375.359970762975</v>
      </c>
      <c r="X17" s="194" t="s">
        <v>275</v>
      </c>
      <c r="Y17" s="194" t="s"/>
    </row>
    <row r="18" spans="1:25" customHeight="false">
      <c r="A18" s="194" t="s"/>
      <c r="B18" s="194" t="s"/>
      <c r="C18" s="194" t="s"/>
      <c r="D18" s="194" t="s"/>
      <c r="E18" s="194" t="s"/>
      <c r="F18" s="195">
        <v>0</v>
      </c>
      <c r="G18" s="194">
        <f>=0.4+0.1</f>
        <v>0.5</v>
      </c>
      <c r="H18" s="194">
        <f>=B18+(C18*2)+G18*2</f>
        <v>1</v>
      </c>
      <c r="I18" s="194">
        <f>=IF(X18="既有道路",D18+C18+K18-0.48,IF(X18="新建道路",D18+C18+K18,0))</f>
        <v>0.1</v>
      </c>
      <c r="J18" s="194">
        <f>=B18+C18*2+0.1*2+0.1*2</f>
        <v>0.4</v>
      </c>
      <c r="K18" s="194">
        <v>0.1</v>
      </c>
      <c r="L18" s="195">
        <f>=B18/2</f>
        <v>0</v>
      </c>
      <c r="M18" s="194">
        <v>0.1</v>
      </c>
      <c r="N18" s="195">
        <f>=(H18+I18*0.67)*I18*1.05</f>
        <v>0.112035</v>
      </c>
      <c r="O18" s="195">
        <f>=N18-P18-R18-S18-3.14*B18^2*0.25</f>
        <v>0.86326</v>
      </c>
      <c r="P18" s="194">
        <f>=IF(X18="新建道路",((D18-L18-3*B18/4-0.5)*0.67+H18+(K18+C18*2+B18+0.5)*0.67*2)*(D18-L18-3*B18/4-0.5)*1.05,0)</f>
        <v>-0.771225</v>
      </c>
      <c r="Q18" s="194" t="s"/>
      <c r="R18" s="194">
        <f>=K18*(J18-0.1*2)</f>
        <v>0.02</v>
      </c>
      <c r="S18" s="195">
        <f>=L18*(J18-0.1*2)-(3.14*B18^2*0.25/3-SQRT((B18/2)^2-(B18/2/2)^2)*2*(B18/2/2)/2)</f>
        <v>0</v>
      </c>
      <c r="T18" s="195">
        <f>=F18</f>
        <v>0</v>
      </c>
      <c r="U18" s="195">
        <f>=N18-P18</f>
        <v>0.88326</v>
      </c>
      <c r="V18" s="194">
        <f>=IF(D18&gt;=3,6*1*2*150/1000,0)</f>
        <v>0</v>
      </c>
      <c r="W18" s="194">
        <f>=(N18*$N$4+O18*$O$4+P18*$P$4+Q18*$Q$4+R18*$R$4+S18*$S$4+T18*$T$4+U18*$U$4+V18*$V$4+E18*1.2)*1.1*1.11*1.15</f>
        <v>375.359970762975</v>
      </c>
      <c r="X18" s="194" t="s">
        <v>275</v>
      </c>
      <c r="Y18" s="194" t="s"/>
    </row>
    <row r="19" spans="1:25" customHeight="false">
      <c r="A19" s="194" t="s"/>
      <c r="B19" s="194" t="s"/>
      <c r="C19" s="194" t="s"/>
      <c r="D19" s="194" t="s"/>
      <c r="E19" s="194" t="s"/>
      <c r="F19" s="195" t="s"/>
      <c r="G19" s="194" t="s"/>
      <c r="H19" s="194" t="s"/>
      <c r="I19" s="194" t="s"/>
      <c r="J19" s="194" t="s"/>
      <c r="K19" s="194" t="s"/>
      <c r="L19" s="194" t="s"/>
      <c r="M19" s="194" t="s"/>
      <c r="N19" s="194" t="s"/>
      <c r="O19" s="195" t="s"/>
      <c r="P19" s="194" t="s"/>
      <c r="Q19" s="194" t="s"/>
      <c r="R19" s="194" t="s"/>
      <c r="S19" s="195" t="s"/>
      <c r="T19" s="195" t="s"/>
      <c r="U19" s="195" t="s"/>
      <c r="V19" s="194" t="s"/>
      <c r="W19" s="194" t="s"/>
      <c r="X19" s="194" t="s">
        <v>275</v>
      </c>
      <c r="Y19" s="194" t="s"/>
    </row>
    <row r="20" spans="1:25" customHeight="false">
      <c r="A20" s="194" t="s">
        <v>318</v>
      </c>
      <c r="B20" s="194">
        <v>0.4</v>
      </c>
      <c r="C20" s="194" t="s"/>
      <c r="D20" s="194">
        <v>3.5</v>
      </c>
      <c r="E20" s="194">
        <v>214.24</v>
      </c>
      <c r="F20" s="195">
        <v>0</v>
      </c>
      <c r="G20" s="194">
        <f>=0.4+0.1</f>
        <v>0.5</v>
      </c>
      <c r="H20" s="194">
        <f>=B20+(C20*2)+G20*2</f>
        <v>1.4</v>
      </c>
      <c r="I20" s="194">
        <f>=IF(X20="既有道路",D20+C20+K20-0.48,IF(X20="新建道路",D20+C20+K20,0))</f>
        <v>3.6</v>
      </c>
      <c r="J20" s="194">
        <f>=B20+C20*2+0.1*2+0.1*2</f>
        <v>0.8</v>
      </c>
      <c r="K20" s="194">
        <v>0.1</v>
      </c>
      <c r="L20" s="195">
        <f>=B20/2</f>
        <v>0.2</v>
      </c>
      <c r="M20" s="194">
        <v>0.1</v>
      </c>
      <c r="N20" s="195">
        <f>=H20*I20*1.05</f>
        <v>5.292</v>
      </c>
      <c r="O20" s="195">
        <f>=IF(B20&lt;=0.5,N20-P20-R20-S20,N20-P20-R20-S20-3.14*B20^2*0.25)</f>
        <v>1.60854615859098</v>
      </c>
      <c r="P20" s="194">
        <f>=IF(X20="新建道路",(D20-L20-3*B20/4-0.48)*H20,0)</f>
        <v>3.528</v>
      </c>
      <c r="Q20" s="194" t="s"/>
      <c r="R20" s="194">
        <f>=K20*(J20-0.1*2)</f>
        <v>0.06</v>
      </c>
      <c r="S20" s="195">
        <f>=L20*(J20-0.1*2)-(3.14*B20^2*0.25/3-SQRT((B20/2)^2-(B20/2/2)^2)*2*(B20/2/2)/2)</f>
        <v>0.0954538414090222</v>
      </c>
      <c r="T20" s="195">
        <f>=F20</f>
        <v>0</v>
      </c>
      <c r="U20" s="195">
        <f>=N20-P20</f>
        <v>1.764</v>
      </c>
      <c r="V20" s="194">
        <f>=(6*2*150/1000)</f>
        <v>1.8</v>
      </c>
      <c r="W20" s="194">
        <f>=(N20*$N$4+O20*$O$4+P20*$P$4+Q20*$Q$4+R20*$R$4+S20*$S$4+T20*$T$4+U20*$U$4+V20*$V$4+E20*1.2)*1.1*1.1*1.15</f>
        <v>3704.25982178082</v>
      </c>
      <c r="X20" s="194" t="s">
        <v>275</v>
      </c>
      <c r="Y20" s="194" t="s"/>
    </row>
    <row r="21" spans="1:25" customHeight="false">
      <c r="A21" s="194" t="s"/>
      <c r="B21" s="194">
        <v>0.5</v>
      </c>
      <c r="C21" s="194" t="s"/>
      <c r="D21" s="194">
        <v>4</v>
      </c>
      <c r="E21" s="194">
        <v>375.39</v>
      </c>
      <c r="F21" s="195">
        <v>0</v>
      </c>
      <c r="G21" s="194">
        <f>=0.4+0.1</f>
        <v>0.5</v>
      </c>
      <c r="H21" s="194">
        <f>=B21+(C21*2)+G21*2</f>
        <v>1.5</v>
      </c>
      <c r="I21" s="194">
        <f>=IF(X21="既有道路",D21+C21+K21-0.48,IF(X21="新建道路",D21+C21+K21,0))</f>
        <v>4.1</v>
      </c>
      <c r="J21" s="194">
        <f>=B21+C21*2+0.1*2+0.1*2</f>
        <v>0.9</v>
      </c>
      <c r="K21" s="194">
        <v>0.1</v>
      </c>
      <c r="L21" s="195">
        <f>=B21/2</f>
        <v>0.25</v>
      </c>
      <c r="M21" s="194">
        <v>0.1</v>
      </c>
      <c r="N21" s="195">
        <f>=H21*I21*1.05</f>
        <v>6.4575</v>
      </c>
      <c r="O21" s="195">
        <f>=IF(B21&lt;=0.5,N21-P21-R21-S21,N21-P21-R21-S21-3.14*B21^2*0.25)</f>
        <v>1.9083533727984</v>
      </c>
      <c r="P21" s="194">
        <f>=IF(X21="新建道路",(D21-L21-3*B21/4-0.48)*H21,0)</f>
        <v>4.3425</v>
      </c>
      <c r="Q21" s="194" t="s"/>
      <c r="R21" s="194">
        <f>=K21*(J21-0.1*2)</f>
        <v>0.07</v>
      </c>
      <c r="S21" s="195">
        <f>=L21*(J21-0.1*2)-(3.14*B21^2*0.25/3-SQRT((B21/2)^2-(B21/2/2)^2)*2*(B21/2/2)/2)</f>
        <v>0.136646627201597</v>
      </c>
      <c r="T21" s="195">
        <f>=F21</f>
        <v>0</v>
      </c>
      <c r="U21" s="195">
        <f>=N21-P21</f>
        <v>2.115</v>
      </c>
      <c r="V21" s="194">
        <f>=(6*2*150/1000)</f>
        <v>1.8</v>
      </c>
      <c r="W21" s="194">
        <f>=(N21*$N$4+O21*$O$4+P21*$P$4+Q21*$Q$4+R21*$R$4+S21*$S$4+T21*$T$4+U21*$U$4+V21*$V$4+E21*1.2)*1.1*1.1*1.15</f>
        <v>4190.05683602628</v>
      </c>
      <c r="X21" s="194" t="s">
        <v>275</v>
      </c>
      <c r="Y21" s="194" t="s"/>
    </row>
    <row r="22" spans="1:25" customHeight="false">
      <c r="A22" s="194" t="s"/>
      <c r="B22" s="194" t="s"/>
      <c r="C22" s="194" t="s"/>
      <c r="D22" s="194" t="s"/>
      <c r="E22" s="194" t="s"/>
      <c r="F22" s="195" t="s"/>
      <c r="G22" s="194" t="s"/>
      <c r="H22" s="194" t="s"/>
      <c r="I22" s="194" t="s"/>
      <c r="J22" s="194" t="s"/>
      <c r="K22" s="194" t="s"/>
      <c r="L22" s="194" t="s"/>
      <c r="M22" s="194" t="s"/>
      <c r="N22" s="194" t="s"/>
      <c r="O22" s="195" t="s"/>
      <c r="P22" s="194" t="s"/>
      <c r="Q22" s="194" t="s"/>
      <c r="R22" s="194" t="s"/>
      <c r="S22" s="195" t="s"/>
      <c r="T22" s="195" t="s"/>
      <c r="U22" s="195" t="s"/>
      <c r="V22" s="194" t="s"/>
      <c r="W22" s="194" t="s"/>
      <c r="X22" s="194" t="s">
        <v>275</v>
      </c>
      <c r="Y22" s="194" t="s"/>
    </row>
    <row r="23" spans="1:25" customHeight="false">
      <c r="A23" s="194" t="s"/>
      <c r="B23" s="194" t="s"/>
      <c r="C23" s="194" t="s"/>
      <c r="D23" s="194" t="s"/>
      <c r="E23" s="194" t="s"/>
      <c r="F23" s="195" t="s"/>
      <c r="G23" s="194" t="s"/>
      <c r="H23" s="194" t="s"/>
      <c r="I23" s="194" t="s"/>
      <c r="J23" s="194" t="s"/>
      <c r="K23" s="194" t="s"/>
      <c r="L23" s="194" t="s"/>
      <c r="M23" s="194" t="s"/>
      <c r="N23" s="194" t="s"/>
      <c r="O23" s="195" t="s"/>
      <c r="P23" s="194" t="s"/>
      <c r="Q23" s="194" t="s"/>
      <c r="R23" s="194" t="s"/>
      <c r="S23" s="195" t="s"/>
      <c r="T23" s="195" t="s"/>
      <c r="U23" s="195" t="s"/>
      <c r="V23" s="194" t="s"/>
      <c r="W23" s="194" t="s"/>
      <c r="X23" s="194" t="s">
        <v>275</v>
      </c>
      <c r="Y23" s="194" t="s"/>
    </row>
    <row r="24" spans="1:25" customHeight="false">
      <c r="A24" s="194" t="s"/>
      <c r="B24" s="194" t="s"/>
      <c r="C24" s="194" t="s"/>
      <c r="D24" s="194" t="s"/>
      <c r="E24" s="194" t="s"/>
      <c r="F24" s="195" t="s"/>
      <c r="G24" s="194" t="s"/>
      <c r="H24" s="194" t="s"/>
      <c r="I24" s="194" t="s"/>
      <c r="J24" s="194" t="s"/>
      <c r="K24" s="194" t="s"/>
      <c r="L24" s="194" t="s"/>
      <c r="M24" s="194" t="s"/>
      <c r="N24" s="194" t="s"/>
      <c r="O24" s="195" t="s"/>
      <c r="P24" s="194" t="s"/>
      <c r="Q24" s="194" t="s"/>
      <c r="R24" s="194" t="s"/>
      <c r="S24" s="195" t="s"/>
      <c r="T24" s="195" t="s"/>
      <c r="U24" s="195" t="s"/>
      <c r="V24" s="194" t="s"/>
      <c r="W24" s="194" t="s"/>
      <c r="X24" s="194" t="s">
        <v>275</v>
      </c>
      <c r="Y24" s="194" t="s"/>
    </row>
    <row r="25" spans="1:25" customHeight="false">
      <c r="A25" s="194" t="s"/>
      <c r="B25" s="194" t="s"/>
      <c r="C25" s="194" t="s"/>
      <c r="D25" s="194" t="s"/>
      <c r="E25" s="194" t="s"/>
      <c r="F25" s="195" t="s"/>
      <c r="G25" s="194" t="s"/>
      <c r="H25" s="194" t="s"/>
      <c r="I25" s="194" t="s"/>
      <c r="J25" s="194" t="s"/>
      <c r="K25" s="194" t="s"/>
      <c r="L25" s="194" t="s"/>
      <c r="M25" s="194" t="s"/>
      <c r="N25" s="194" t="s"/>
      <c r="O25" s="195" t="s"/>
      <c r="P25" s="194" t="s"/>
      <c r="Q25" s="194" t="s"/>
      <c r="R25" s="194" t="s"/>
      <c r="S25" s="195" t="s"/>
      <c r="T25" s="195" t="s"/>
      <c r="U25" s="195" t="s"/>
      <c r="V25" s="194" t="s"/>
      <c r="W25" s="194" t="s"/>
      <c r="X25" s="194" t="s">
        <v>275</v>
      </c>
      <c r="Y25" s="194" t="s"/>
    </row>
    <row r="26" spans="1:25" customHeight="false">
      <c r="A26" s="194" t="s"/>
      <c r="B26" s="194" t="s"/>
      <c r="C26" s="194" t="s"/>
      <c r="D26" s="194" t="s"/>
      <c r="E26" s="194" t="s"/>
      <c r="F26" s="195" t="s"/>
      <c r="G26" s="194" t="s"/>
      <c r="H26" s="194" t="s"/>
      <c r="I26" s="194" t="s"/>
      <c r="J26" s="194" t="s"/>
      <c r="K26" s="194" t="s"/>
      <c r="L26" s="194" t="s"/>
      <c r="M26" s="194" t="s"/>
      <c r="N26" s="194" t="s"/>
      <c r="O26" s="195" t="s"/>
      <c r="P26" s="194" t="s"/>
      <c r="Q26" s="194" t="s"/>
      <c r="R26" s="194" t="s"/>
      <c r="S26" s="195" t="s"/>
      <c r="T26" s="195" t="s"/>
      <c r="U26" s="195" t="s"/>
      <c r="V26" s="194" t="s"/>
      <c r="W26" s="194" t="s"/>
      <c r="X26" s="194" t="s">
        <v>275</v>
      </c>
      <c r="Y26" s="194" t="s"/>
    </row>
    <row r="27" spans="1:25" customHeight="false">
      <c r="A27" s="194" t="s"/>
      <c r="B27" s="194" t="s"/>
      <c r="C27" s="194" t="s"/>
      <c r="D27" s="194" t="s"/>
      <c r="E27" s="194" t="s"/>
      <c r="F27" s="195" t="s"/>
      <c r="G27" s="194" t="s"/>
      <c r="H27" s="194" t="s"/>
      <c r="I27" s="194" t="s"/>
      <c r="J27" s="194" t="s"/>
      <c r="K27" s="194" t="s"/>
      <c r="L27" s="194" t="s"/>
      <c r="M27" s="194" t="s"/>
      <c r="N27" s="194" t="s"/>
      <c r="O27" s="195" t="s"/>
      <c r="P27" s="194" t="s"/>
      <c r="Q27" s="194" t="s"/>
      <c r="R27" s="194" t="s"/>
      <c r="S27" s="195" t="s"/>
      <c r="T27" s="195" t="s"/>
      <c r="U27" s="195" t="s"/>
      <c r="V27" s="194" t="s"/>
      <c r="W27" s="194" t="s"/>
      <c r="X27" s="194" t="s">
        <v>275</v>
      </c>
      <c r="Y27" s="194" t="s"/>
    </row>
    <row r="28" spans="1:25" customHeight="false">
      <c r="A28" s="194" t="s"/>
      <c r="B28" s="194" t="s"/>
      <c r="C28" s="194" t="s"/>
      <c r="D28" s="194" t="s"/>
      <c r="E28" s="194" t="s"/>
      <c r="F28" s="195" t="s"/>
      <c r="G28" s="194" t="s"/>
      <c r="H28" s="194" t="s"/>
      <c r="I28" s="194" t="s"/>
      <c r="J28" s="194" t="s"/>
      <c r="K28" s="194" t="s"/>
      <c r="L28" s="194" t="s"/>
      <c r="M28" s="194" t="s"/>
      <c r="N28" s="194" t="s"/>
      <c r="O28" s="194" t="s">
        <v>319</v>
      </c>
      <c r="P28" s="194" t="s"/>
      <c r="Q28" s="194" t="s"/>
      <c r="R28" s="194" t="s"/>
      <c r="S28" s="194" t="s"/>
      <c r="T28" s="194" t="s"/>
      <c r="U28" s="194" t="s"/>
      <c r="V28" s="194" t="s"/>
      <c r="W28" s="194" t="s"/>
      <c r="X28" s="194" t="s">
        <v>275</v>
      </c>
      <c r="Y28" s="194" t="s"/>
    </row>
    <row r="29" spans="1:25" customHeight="false">
      <c r="A29" s="194" t="s">
        <v>320</v>
      </c>
      <c r="B29" s="194">
        <v>0.6</v>
      </c>
      <c r="C29" s="194">
        <v>0.06</v>
      </c>
      <c r="D29" s="194">
        <v>2.5</v>
      </c>
      <c r="E29" s="194">
        <v>354</v>
      </c>
      <c r="F29" s="194" t="s"/>
      <c r="G29" s="194">
        <f>=0.3+0.1</f>
        <v>0.4</v>
      </c>
      <c r="H29" s="194">
        <f>=B29+(C29*2)+G29*2</f>
        <v>1.52</v>
      </c>
      <c r="I29" s="194">
        <f>=IF(X29="既有道路",D29+C29+K29+M29-0.48,IF(X29="新建道路",D29+C29+K29+M29,0))</f>
        <v>2.81</v>
      </c>
      <c r="J29" s="194">
        <f>=B29+(C29*2+0.1*2+0.1*2)</f>
        <v>1.12</v>
      </c>
      <c r="K29" s="194" t="s"/>
      <c r="L29" s="194" t="s"/>
      <c r="M29" s="194">
        <v>0.25</v>
      </c>
      <c r="N29" s="195">
        <f>=(H29+I29*0.67)*I29*1.05</f>
        <v>10.03966635</v>
      </c>
      <c r="O29" s="195">
        <f>=N29-P29-Q29</f>
        <v>5.31249435</v>
      </c>
      <c r="P29" s="194">
        <f>=(H29+(D29-B29-C29-0.5-0.31)*0.67+(M29+B29+C29*2+0.5)*0.67*2)*(D29-B29-C29-0.5-0.31)</f>
        <v>4.305297</v>
      </c>
      <c r="Q29" s="194">
        <f>=(H29+M29*0.67)*M29</f>
        <v>0.421875</v>
      </c>
      <c r="R29" s="194" t="s"/>
      <c r="S29" s="194" t="s"/>
      <c r="T29" s="194" t="s"/>
      <c r="U29" s="195">
        <f>=N29-P29</f>
        <v>5.73436935</v>
      </c>
      <c r="V29" s="194" t="s"/>
      <c r="W29" s="194">
        <f>=(N29*7.84+O29*256.14+P29*P4+Q29*357.32+U29*46.7+E29*1.5)*1.1*1.1*1.15</f>
        <v>3409.29310365712</v>
      </c>
      <c r="X29" s="194" t="s">
        <v>275</v>
      </c>
      <c r="Y29" s="194" t="s"/>
    </row>
    <row r="30" spans="1:25" customHeight="false">
      <c r="A30" s="194" t="s"/>
      <c r="B30" s="194" t="s"/>
      <c r="C30" s="194" t="s"/>
      <c r="D30" s="194" t="s"/>
      <c r="E30" s="194" t="s"/>
      <c r="F30" s="194" t="s"/>
      <c r="G30" s="194" t="s"/>
      <c r="H30" s="194" t="s"/>
      <c r="I30" s="194" t="s"/>
      <c r="J30" s="194" t="s"/>
      <c r="K30" s="194" t="s"/>
      <c r="L30" s="194" t="s"/>
      <c r="M30" s="194" t="s"/>
      <c r="N30" s="194" t="s"/>
      <c r="O30" s="194" t="s"/>
      <c r="P30" s="194" t="s"/>
      <c r="Q30" s="194" t="s"/>
      <c r="R30" s="194" t="s"/>
      <c r="S30" s="194" t="s"/>
      <c r="T30" s="194" t="s"/>
      <c r="U30" s="194" t="s"/>
      <c r="V30" s="194" t="s"/>
      <c r="W30" s="194" t="s"/>
      <c r="X30" s="194" t="s">
        <v>275</v>
      </c>
      <c r="Y30" s="194" t="s"/>
    </row>
    <row r="31" spans="1:25" customHeight="false">
      <c r="A31" s="194" t="s"/>
      <c r="B31" s="194" t="s"/>
      <c r="C31" s="194" t="s"/>
      <c r="D31" s="194" t="s"/>
      <c r="E31" s="194" t="s"/>
      <c r="F31" s="194" t="s"/>
      <c r="G31" s="194" t="s"/>
      <c r="H31" s="194" t="s"/>
      <c r="I31" s="194" t="s"/>
      <c r="J31" s="194" t="s"/>
      <c r="K31" s="194" t="s"/>
      <c r="L31" s="194" t="s"/>
      <c r="M31" s="194" t="s"/>
      <c r="N31" s="194" t="s"/>
      <c r="O31" s="194" t="s"/>
      <c r="P31" s="194" t="s"/>
      <c r="Q31" s="194" t="s"/>
      <c r="R31" s="194" t="s"/>
      <c r="S31" s="194" t="s"/>
      <c r="T31" s="194" t="s"/>
      <c r="U31" s="194" t="s"/>
      <c r="V31" s="194" t="s"/>
      <c r="W31" s="194" t="s"/>
      <c r="X31" s="194" t="s">
        <v>275</v>
      </c>
      <c r="Y31" s="194" t="s"/>
    </row>
    <row r="32" spans="1:25" customHeight="false">
      <c r="A32" s="194" t="s">
        <v>321</v>
      </c>
      <c r="B32" s="194">
        <v>0.3</v>
      </c>
      <c r="C32" s="194">
        <v>0.03</v>
      </c>
      <c r="D32" s="194">
        <v>3.5</v>
      </c>
      <c r="E32" s="194">
        <v>158.02</v>
      </c>
      <c r="F32" s="194" t="s"/>
      <c r="G32" s="194">
        <f>=0.3+0.1</f>
        <v>0.4</v>
      </c>
      <c r="H32" s="194">
        <f>=B32+(C32*2)+G32*2</f>
        <v>1.16</v>
      </c>
      <c r="I32" s="194">
        <f>=IF(X32="既有道路",D32+C32+K32+M32-0.48,IF(X32="新建道路",D32+C32+K32+M32,0))</f>
        <v>3.83</v>
      </c>
      <c r="J32" s="194">
        <f>=B32+(C32*2+0.1*2+0.1*2)</f>
        <v>0.76</v>
      </c>
      <c r="K32" s="194" t="s"/>
      <c r="L32" s="194" t="s"/>
      <c r="M32" s="194">
        <v>0.3</v>
      </c>
      <c r="N32" s="195">
        <f>=H32*I32*1.05</f>
        <v>4.66494</v>
      </c>
      <c r="O32" s="195">
        <f>=N32-P32-Q32</f>
        <v>1.44246</v>
      </c>
      <c r="P32" s="194">
        <f>=(I32-M32-B32-C32*2-0.5-0.31)*H32*1.05</f>
        <v>2.87448</v>
      </c>
      <c r="Q32" s="194">
        <f>=M32*H32</f>
        <v>0.348</v>
      </c>
      <c r="R32" s="194" t="s"/>
      <c r="S32" s="194" t="s"/>
      <c r="T32" s="194" t="s"/>
      <c r="U32" s="195">
        <f>=N32-P32</f>
        <v>1.79046</v>
      </c>
      <c r="V32" s="194">
        <f>=(5*2*150/1000)</f>
        <v>1.5</v>
      </c>
      <c r="W32" s="194">
        <f>=(N32*N4+O32*158.27+P32*P4+Q32*157.73+U32*U4+V32*V4+E32*1.5)*1.1*1.1*1.15</f>
        <v>2932.0753237611</v>
      </c>
      <c r="X32" s="194" t="s">
        <v>275</v>
      </c>
      <c r="Y32" s="194" t="s"/>
    </row>
    <row r="33" spans="1:25" customHeight="false">
      <c r="A33" s="194" t="s"/>
      <c r="B33" s="194" t="s"/>
      <c r="C33" s="194" t="s"/>
      <c r="D33" s="194" t="s"/>
      <c r="E33" s="194" t="s"/>
      <c r="F33" s="194" t="s"/>
      <c r="G33" s="194" t="s"/>
      <c r="H33" s="194" t="s"/>
      <c r="I33" s="194" t="s"/>
      <c r="J33" s="194" t="s"/>
      <c r="K33" s="194" t="s"/>
      <c r="L33" s="194" t="s"/>
      <c r="M33" s="194" t="s"/>
      <c r="N33" s="194" t="s"/>
      <c r="O33" s="194" t="s"/>
      <c r="P33" s="194" t="s"/>
      <c r="Q33" s="194" t="s"/>
      <c r="R33" s="194" t="s"/>
      <c r="S33" s="194" t="s"/>
      <c r="T33" s="194" t="s"/>
      <c r="U33" s="194" t="s"/>
      <c r="V33" s="194" t="s"/>
      <c r="W33" s="194" t="s"/>
      <c r="X33" s="194" t="s">
        <v>275</v>
      </c>
      <c r="Y33" s="194" t="s"/>
    </row>
    <row r="34" spans="1:25" customHeight="false">
      <c r="A34" s="194" t="s"/>
      <c r="B34" s="194" t="s"/>
      <c r="C34" s="194" t="s"/>
      <c r="D34" s="194" t="s"/>
      <c r="E34" s="194" t="s"/>
      <c r="F34" s="194" t="s"/>
      <c r="G34" s="194" t="s"/>
      <c r="H34" s="194" t="s"/>
      <c r="I34" s="194" t="s"/>
      <c r="J34" s="194" t="s"/>
      <c r="K34" s="194" t="s"/>
      <c r="L34" s="194" t="s"/>
      <c r="M34" s="194" t="s"/>
      <c r="N34" s="194" t="s"/>
      <c r="O34" s="194" t="s"/>
      <c r="P34" s="194" t="s"/>
      <c r="Q34" s="194" t="s"/>
      <c r="R34" s="194" t="s"/>
      <c r="S34" s="194" t="s"/>
      <c r="T34" s="194" t="s"/>
      <c r="U34" s="194" t="s"/>
      <c r="V34" s="194" t="s"/>
      <c r="W34" s="194" t="s"/>
      <c r="X34" s="194" t="s">
        <v>275</v>
      </c>
      <c r="Y34" s="194" t="s"/>
    </row>
    <row r="35" spans="1:25" customHeight="false">
      <c r="A35" s="194" t="s">
        <v>322</v>
      </c>
      <c r="B35" s="194">
        <v>0.8</v>
      </c>
      <c r="C35" s="194">
        <v>0.013</v>
      </c>
      <c r="D35" s="194">
        <v>1.5</v>
      </c>
      <c r="E35" s="194">
        <v>1345.22</v>
      </c>
      <c r="F35" s="194" t="s"/>
      <c r="G35" s="194">
        <v>0.5</v>
      </c>
      <c r="H35" s="194">
        <f>=B35+(C35*2)+G35*2</f>
        <v>1.826</v>
      </c>
      <c r="I35" s="194">
        <f>=IF(X35="既有道路",D35+C35+K35+M35-0.48,IF(X35="新建道路",D35+C35+K35+M35,0))</f>
        <v>1.813</v>
      </c>
      <c r="J35" s="194">
        <f>=B35+(C35*2+0.1*2+0.1*2)</f>
        <v>1.226</v>
      </c>
      <c r="K35" s="194" t="s"/>
      <c r="L35" s="194" t="s"/>
      <c r="M35" s="194">
        <v>0.3</v>
      </c>
      <c r="N35" s="195">
        <f>=(H35+I35*0.67)*I35*1.05</f>
        <v>5.7884475915</v>
      </c>
      <c r="O35" s="195">
        <f>=N35-P35-Q35</f>
        <v>4.4080132815</v>
      </c>
      <c r="P35" s="194">
        <f>=(H35+(D35-B35-C35-0.5)*0.67+(M35+B35+C35*2+0.5)*0.67*2)*(D35-B35-C35-0.5)</f>
        <v>0.77233431</v>
      </c>
      <c r="Q35" s="194">
        <f>=(H35+M35*0.67)*M35</f>
        <v>0.6081</v>
      </c>
      <c r="R35" s="194" t="s"/>
      <c r="S35" s="194" t="s"/>
      <c r="T35" s="194">
        <f>=1/80</f>
        <v>0.0125</v>
      </c>
      <c r="U35" s="195">
        <f>=N35-P35</f>
        <v>5.0161132815</v>
      </c>
      <c r="V35" s="194" t="s"/>
      <c r="W35" s="194">
        <f>=(N35*N4+O35*158.27+P35*P4+Q35*157.73+U35*U4+E35*1.5+T35*T4)*1.1*1.1*1.15</f>
        <v>4432.24415913812</v>
      </c>
      <c r="X35" s="194" t="s">
        <v>275</v>
      </c>
      <c r="Y35" s="194" t="s"/>
    </row>
    <row r="36" spans="1:25" customHeight="false">
      <c r="A36" s="194" t="s"/>
      <c r="B36" s="194" t="s"/>
      <c r="C36" s="194" t="s"/>
      <c r="D36" s="194" t="s"/>
      <c r="E36" s="194" t="s"/>
      <c r="F36" s="194" t="s"/>
      <c r="G36" s="194" t="s"/>
      <c r="H36" s="194" t="s"/>
      <c r="I36" s="194" t="s"/>
      <c r="J36" s="194" t="s"/>
      <c r="K36" s="194" t="s"/>
      <c r="L36" s="194" t="s"/>
      <c r="M36" s="194" t="s"/>
      <c r="N36" s="194" t="s"/>
      <c r="O36" s="194" t="s"/>
      <c r="P36" s="194" t="s"/>
      <c r="Q36" s="194" t="s"/>
      <c r="R36" s="194" t="s"/>
      <c r="S36" s="194" t="s"/>
      <c r="T36" s="194" t="s"/>
      <c r="U36" s="194" t="s"/>
      <c r="V36" s="194" t="s"/>
      <c r="W36" s="194" t="s"/>
      <c r="X36" s="194" t="s"/>
      <c r="Y36" s="194" t="s"/>
    </row>
    <row r="37" spans="1:25" customHeight="false">
      <c r="A37" s="194" t="s"/>
      <c r="B37" s="194" t="s"/>
      <c r="C37" s="194" t="s"/>
      <c r="D37" s="194" t="s"/>
      <c r="E37" s="194" t="s"/>
      <c r="F37" s="194" t="s"/>
      <c r="G37" s="194" t="s"/>
      <c r="H37" s="194" t="s"/>
      <c r="I37" s="194" t="s"/>
      <c r="J37" s="194" t="s"/>
      <c r="K37" s="194" t="s"/>
      <c r="L37" s="194" t="s"/>
      <c r="M37" s="194" t="s"/>
      <c r="N37" s="194" t="s"/>
      <c r="O37" s="194" t="s"/>
      <c r="P37" s="194" t="s"/>
      <c r="Q37" s="194" t="s"/>
      <c r="R37" s="194" t="s"/>
      <c r="S37" s="194" t="s"/>
      <c r="T37" s="194" t="s"/>
      <c r="U37" s="194" t="s"/>
      <c r="V37" s="194" t="s"/>
      <c r="W37" s="194" t="s"/>
      <c r="X37" s="194" t="s"/>
      <c r="Y37" s="194" t="s"/>
    </row>
    <row r="38" spans="1:25" customHeight="false">
      <c r="A38" s="194" t="s"/>
      <c r="B38" s="194" t="s"/>
      <c r="C38" s="194">
        <v>252.312</v>
      </c>
      <c r="D38" s="194" t="s"/>
      <c r="E38" s="194" t="s"/>
      <c r="F38" s="194" t="s"/>
      <c r="G38" s="194" t="s"/>
      <c r="H38" s="194" t="s"/>
      <c r="I38" s="194" t="s"/>
      <c r="J38" s="194" t="s"/>
      <c r="K38" s="194" t="s"/>
      <c r="L38" s="194" t="s"/>
      <c r="M38" s="194" t="s"/>
      <c r="N38" s="194" t="s"/>
      <c r="O38" s="194" t="s"/>
      <c r="P38" s="194" t="s"/>
      <c r="Q38" s="194" t="s"/>
      <c r="R38" s="194" t="s"/>
      <c r="S38" s="194" t="s"/>
      <c r="T38" s="194" t="s"/>
      <c r="U38" s="194" t="s"/>
      <c r="V38" s="194" t="s"/>
      <c r="W38" s="194" t="s"/>
      <c r="X38" s="194" t="s"/>
      <c r="Y38" s="194" t="s"/>
    </row>
    <row r="39" spans="1:25" customHeight="false">
      <c r="A39" s="194" t="s"/>
      <c r="B39" s="194" t="s"/>
      <c r="C39" s="194" t="s"/>
      <c r="D39" s="194">
        <f>=5130.15*C38/1000</f>
        <v>1294.3984068</v>
      </c>
      <c r="E39" s="194" t="s"/>
      <c r="F39" s="194" t="s"/>
      <c r="G39" s="194" t="s"/>
      <c r="H39" s="194" t="s"/>
      <c r="I39" s="194" t="s"/>
      <c r="J39" s="194" t="s"/>
      <c r="K39" s="194" t="s"/>
      <c r="L39" s="194" t="s"/>
      <c r="M39" s="194" t="s"/>
      <c r="N39" s="194" t="s"/>
      <c r="O39" s="194" t="s"/>
      <c r="P39" s="194" t="s"/>
      <c r="Q39" s="194" t="s"/>
      <c r="R39" s="194" t="s"/>
      <c r="S39" s="194" t="s"/>
      <c r="T39" s="194" t="s"/>
      <c r="U39" s="194" t="s"/>
      <c r="V39" s="194" t="s"/>
      <c r="W39" s="194" t="s"/>
      <c r="X39" s="194" t="s"/>
      <c r="Y39" s="194" t="s"/>
    </row>
    <row r="40" spans="1:25" customHeight="false">
      <c r="A40" s="194" t="s"/>
      <c r="B40" s="194" t="s"/>
      <c r="C40" s="194" t="s"/>
      <c r="D40" s="194" t="s"/>
      <c r="E40" s="194" t="s"/>
      <c r="F40" s="194" t="s"/>
      <c r="G40" s="194" t="s"/>
      <c r="H40" s="194" t="s"/>
      <c r="I40" s="194" t="s"/>
      <c r="J40" s="194" t="s"/>
      <c r="K40" s="194" t="s"/>
      <c r="L40" s="194" t="s"/>
      <c r="M40" s="194" t="s"/>
      <c r="N40" s="194" t="s"/>
      <c r="O40" s="194" t="s"/>
      <c r="P40" s="194" t="s"/>
      <c r="Q40" s="194" t="s"/>
      <c r="R40" s="194" t="s"/>
      <c r="S40" s="194" t="s"/>
      <c r="T40" s="194" t="s"/>
      <c r="U40" s="194" t="s"/>
      <c r="V40" s="194" t="s"/>
      <c r="W40" s="194" t="s"/>
      <c r="X40" s="194" t="s"/>
      <c r="Y40" s="194" t="s"/>
    </row>
    <row r="41" spans="1:25" customHeight="false">
      <c r="A41" s="194" t="s"/>
      <c r="B41" s="194" t="s"/>
      <c r="C41" s="194" t="s"/>
      <c r="D41" s="194" t="s"/>
      <c r="E41" s="194" t="s"/>
      <c r="F41" s="194" t="s"/>
      <c r="G41" s="194" t="s"/>
      <c r="H41" s="194" t="s"/>
      <c r="I41" s="194" t="s"/>
      <c r="J41" s="194" t="s"/>
      <c r="K41" s="194" t="s"/>
      <c r="L41" s="194" t="s"/>
      <c r="M41" s="194" t="s"/>
      <c r="N41" s="194" t="s"/>
      <c r="O41" s="194" t="s"/>
      <c r="P41" s="194" t="s"/>
      <c r="Q41" s="194" t="s"/>
      <c r="R41" s="194" t="s"/>
      <c r="S41" s="194" t="s"/>
      <c r="T41" s="194">
        <f>=(W35+3.75*420)</f>
        <v>6007.24415913812</v>
      </c>
      <c r="U41" s="194">
        <f>=T41*2250</f>
        <v>13516299.3580608</v>
      </c>
      <c r="V41" s="194">
        <f>=U41/0.85</f>
        <v>15901528.6565421</v>
      </c>
      <c r="W41" s="194" t="s"/>
      <c r="X41" s="194" t="s"/>
      <c r="Y41" s="194" t="s"/>
    </row>
    <row r="42" spans="1:25" customHeight="false">
      <c r="A42" s="194" t="s"/>
      <c r="B42" s="194" t="s"/>
      <c r="C42" s="194" t="s"/>
      <c r="D42" s="194" t="s"/>
      <c r="E42" s="194" t="s"/>
      <c r="F42" s="194" t="s"/>
      <c r="G42" s="194" t="s"/>
      <c r="H42" s="194" t="s"/>
      <c r="I42" s="194" t="s"/>
      <c r="J42" s="194" t="s"/>
      <c r="K42" s="194" t="s"/>
      <c r="L42" s="194" t="s"/>
      <c r="M42" s="194" t="s"/>
      <c r="N42" s="194" t="s"/>
      <c r="O42" s="194" t="s"/>
      <c r="P42" s="194" t="s"/>
      <c r="Q42" s="194" t="s"/>
      <c r="R42" s="194" t="s"/>
      <c r="S42" s="194" t="s"/>
      <c r="T42" s="194">
        <f>=T41*2250/0.78</f>
        <v>17328588.9205907</v>
      </c>
      <c r="U42" s="194" t="s"/>
      <c r="V42" s="194" t="s"/>
      <c r="W42" s="194" t="s"/>
      <c r="X42" s="194" t="s"/>
      <c r="Y42" s="194" t="s"/>
    </row>
    <row r="43" spans="1:25" customHeight="false">
      <c r="A43" s="194" t="s"/>
      <c r="B43" s="194" t="s"/>
      <c r="C43" s="194" t="s"/>
      <c r="D43" s="194" t="s"/>
      <c r="E43" s="194" t="s"/>
      <c r="F43" s="194" t="s"/>
      <c r="G43" s="194" t="s"/>
      <c r="H43" s="194" t="s"/>
      <c r="I43" s="194" t="s"/>
      <c r="J43" s="194" t="s"/>
      <c r="K43" s="194" t="s"/>
      <c r="L43" s="194" t="s"/>
      <c r="M43" s="194" t="s"/>
      <c r="N43" s="194" t="s"/>
      <c r="O43" s="194" t="s"/>
      <c r="P43" s="194" t="s"/>
      <c r="Q43" s="194" t="s"/>
      <c r="R43" s="194" t="s"/>
      <c r="S43" s="194" t="s"/>
      <c r="T43" s="194">
        <f>=T42/10000</f>
        <v>1732.85889205907</v>
      </c>
      <c r="U43" s="194" t="s"/>
      <c r="V43" s="194" t="s"/>
      <c r="W43" s="194" t="s"/>
      <c r="X43" s="194" t="s"/>
      <c r="Y43" s="194" t="s"/>
    </row>
    <row r="44" spans="1:25" customHeight="false">
      <c r="A44" s="194" t="s"/>
      <c r="B44" s="194" t="s"/>
      <c r="C44" s="194" t="s"/>
      <c r="D44" s="194" t="s"/>
      <c r="E44" s="194" t="s"/>
      <c r="F44" s="194" t="s"/>
      <c r="G44" s="194" t="s"/>
      <c r="H44" s="194" t="s"/>
      <c r="I44" s="194" t="s"/>
      <c r="J44" s="194" t="s"/>
      <c r="K44" s="194" t="s"/>
      <c r="L44" s="194" t="s"/>
      <c r="M44" s="194" t="s"/>
      <c r="N44" s="194" t="s"/>
      <c r="O44" s="194" t="s"/>
      <c r="P44" s="194" t="s"/>
      <c r="Q44" s="194" t="s"/>
      <c r="R44" s="194" t="s"/>
      <c r="S44" s="194" t="s"/>
      <c r="T44" s="194" t="s"/>
      <c r="U44" s="194" t="s"/>
      <c r="V44" s="194" t="s"/>
      <c r="W44" s="194" t="s"/>
      <c r="X44" s="194" t="s"/>
      <c r="Y44" s="194" t="s"/>
    </row>
    <row r="45" spans="1:25" customHeight="false">
      <c r="A45" s="194" t="s"/>
      <c r="B45" s="194" t="s"/>
      <c r="C45" s="194" t="s"/>
      <c r="D45" s="194" t="s"/>
      <c r="E45" s="194" t="s"/>
      <c r="F45" s="194" t="s"/>
      <c r="G45" s="194" t="s"/>
      <c r="H45" s="194" t="s"/>
      <c r="I45" s="194" t="s"/>
      <c r="J45" s="194" t="s"/>
      <c r="K45" s="194" t="s"/>
      <c r="L45" s="194" t="s"/>
      <c r="M45" s="194" t="s"/>
      <c r="N45" s="194" t="s"/>
      <c r="O45" s="194" t="s"/>
      <c r="P45" s="194" t="s"/>
      <c r="Q45" s="194" t="s"/>
      <c r="R45" s="194" t="s"/>
      <c r="S45" s="194" t="s"/>
      <c r="T45" s="194" t="s"/>
      <c r="U45" s="194" t="s"/>
      <c r="V45" s="194" t="s"/>
      <c r="W45" s="194" t="s"/>
      <c r="X45" s="194" t="s"/>
      <c r="Y45" s="194" t="s"/>
    </row>
    <row r="46" spans="1:25" customHeight="false">
      <c r="A46" s="194" t="s"/>
      <c r="B46" s="194" t="s"/>
      <c r="C46" s="194" t="s"/>
      <c r="D46" s="194" t="s"/>
      <c r="E46" s="194" t="s"/>
      <c r="F46" s="194" t="s"/>
      <c r="G46" s="194" t="s"/>
      <c r="H46" s="194" t="s"/>
      <c r="I46" s="194" t="s"/>
      <c r="J46" s="194" t="s"/>
      <c r="K46" s="194" t="s"/>
      <c r="L46" s="194" t="s"/>
      <c r="M46" s="194" t="s"/>
      <c r="N46" s="194" t="s"/>
      <c r="O46" s="194" t="s"/>
      <c r="P46" s="194" t="s"/>
      <c r="Q46" s="194" t="s"/>
      <c r="R46" s="194" t="s"/>
      <c r="S46" s="194" t="s"/>
      <c r="T46" s="194" t="s"/>
      <c r="U46" s="194" t="s"/>
      <c r="V46" s="194" t="s"/>
      <c r="W46" s="194" t="s"/>
      <c r="X46" s="194" t="s"/>
      <c r="Y46" s="194" t="s"/>
    </row>
    <row r="47" spans="1:25" customHeight="false">
      <c r="A47" s="194" t="s"/>
      <c r="B47" s="194" t="s"/>
      <c r="C47" s="194" t="s"/>
      <c r="D47" s="194" t="s"/>
      <c r="E47" s="194" t="s"/>
      <c r="F47" s="194" t="s"/>
      <c r="G47" s="194" t="s"/>
      <c r="H47" s="194" t="s"/>
      <c r="I47" s="194" t="s"/>
      <c r="J47" s="194" t="s"/>
      <c r="K47" s="194" t="s"/>
      <c r="L47" s="194" t="s"/>
      <c r="M47" s="194" t="s"/>
      <c r="N47" s="194" t="s"/>
      <c r="O47" s="194" t="s"/>
      <c r="P47" s="194" t="s"/>
      <c r="Q47" s="194" t="s"/>
      <c r="R47" s="194" t="s"/>
      <c r="S47" s="194" t="s"/>
      <c r="T47" s="194" t="s"/>
      <c r="U47" s="194" t="s"/>
      <c r="V47" s="194" t="s"/>
      <c r="W47" s="194" t="s"/>
      <c r="X47" s="194" t="s"/>
      <c r="Y47" s="194" t="s"/>
    </row>
    <row r="48" spans="1:25" customHeight="false">
      <c r="A48" s="194" t="s"/>
      <c r="B48" s="194" t="s"/>
      <c r="C48" s="194" t="s"/>
      <c r="D48" s="194" t="s"/>
      <c r="E48" s="194" t="s"/>
      <c r="F48" s="194" t="s"/>
      <c r="G48" s="194" t="s"/>
      <c r="H48" s="194" t="s"/>
      <c r="I48" s="194" t="s"/>
      <c r="J48" s="194" t="s"/>
      <c r="K48" s="194" t="s"/>
      <c r="L48" s="194" t="s"/>
      <c r="M48" s="194" t="s"/>
      <c r="N48" s="194" t="s"/>
      <c r="O48" s="194">
        <f>=167+20+28.8+30+130.4</f>
        <v>376.2</v>
      </c>
      <c r="P48" s="194" t="s"/>
      <c r="Q48" s="194" t="s"/>
      <c r="R48" s="194" t="s"/>
      <c r="S48" s="194" t="s"/>
      <c r="T48" s="194" t="s"/>
      <c r="U48" s="194" t="s"/>
      <c r="V48" s="194" t="s"/>
      <c r="W48" s="194" t="s"/>
      <c r="X48" s="194" t="s"/>
      <c r="Y48" s="194" t="s"/>
    </row>
    <row r="49" spans="1:25" customHeight="false">
      <c r="A49" s="194" t="s"/>
      <c r="B49" s="194" t="s"/>
      <c r="C49" s="194" t="s"/>
      <c r="D49" s="194" t="s"/>
      <c r="E49" s="194" t="s"/>
      <c r="F49" s="194" t="s"/>
      <c r="G49" s="194" t="s"/>
      <c r="H49" s="194" t="s"/>
      <c r="I49" s="194" t="s"/>
      <c r="J49" s="194" t="s"/>
      <c r="K49" s="194" t="s"/>
      <c r="L49" s="194" t="s"/>
      <c r="M49" s="194" t="s"/>
      <c r="N49" s="194" t="s"/>
      <c r="O49" s="194" t="s"/>
      <c r="P49" s="194" t="s"/>
      <c r="Q49" s="194" t="s"/>
      <c r="R49" s="194" t="s"/>
      <c r="S49" s="194" t="s"/>
      <c r="T49" s="194" t="s"/>
      <c r="U49" s="194" t="s"/>
      <c r="V49" s="194" t="s"/>
      <c r="W49" s="194" t="s"/>
      <c r="X49" s="194" t="s"/>
      <c r="Y49" s="194" t="s"/>
    </row>
    <row r="50" spans="1:25" customHeight="false">
      <c r="A50" s="194" t="s"/>
      <c r="B50" s="194" t="s"/>
      <c r="C50" s="194" t="s"/>
      <c r="D50" s="194" t="s"/>
      <c r="E50" s="194" t="s"/>
      <c r="F50" s="194" t="s"/>
      <c r="G50" s="194" t="s"/>
      <c r="H50" s="194" t="s"/>
      <c r="I50" s="194" t="s"/>
      <c r="J50" s="194" t="s"/>
      <c r="K50" s="194" t="s"/>
      <c r="L50" s="194" t="s"/>
      <c r="M50" s="194" t="s"/>
      <c r="N50" s="194" t="s"/>
      <c r="O50" s="194" t="s"/>
      <c r="P50" s="194" t="s"/>
      <c r="Q50" s="194" t="s"/>
      <c r="R50" s="194" t="s"/>
      <c r="S50" s="194" t="s"/>
      <c r="T50" s="194" t="s"/>
      <c r="U50" s="194" t="s"/>
      <c r="V50" s="194" t="s"/>
      <c r="W50" s="194" t="s"/>
      <c r="X50" s="194" t="s"/>
      <c r="Y50" s="194" t="s"/>
    </row>
    <row r="51" spans="1:25" customHeight="false">
      <c r="A51" s="194" t="s"/>
      <c r="B51" s="194" t="s"/>
      <c r="C51" s="194" t="s"/>
      <c r="D51" s="194" t="s"/>
      <c r="E51" s="194" t="s"/>
      <c r="F51" s="194" t="s"/>
      <c r="G51" s="194" t="s"/>
      <c r="H51" s="194" t="s"/>
      <c r="I51" s="194" t="s"/>
      <c r="J51" s="194" t="s"/>
      <c r="K51" s="194" t="s"/>
      <c r="L51" s="194" t="s"/>
      <c r="M51" s="194" t="s"/>
      <c r="N51" s="195">
        <f>=0.7+0.24*2</f>
        <v>1.18</v>
      </c>
      <c r="O51" s="195">
        <f>=(3.14*N51*N51*0.25-3.14*0.7*0.7*0.25)*0.15</f>
        <v>0.1062576</v>
      </c>
      <c r="P51" s="194" t="s"/>
      <c r="Q51" s="194" t="s"/>
      <c r="R51" s="194" t="s"/>
      <c r="S51" s="194" t="s"/>
      <c r="T51" s="194" t="s"/>
      <c r="U51" s="194" t="s"/>
      <c r="V51" s="194" t="s"/>
      <c r="W51" s="194" t="s"/>
      <c r="X51" s="194" t="s"/>
      <c r="Y51" s="194" t="s"/>
    </row>
    <row r="52" spans="1:25" customHeight="false">
      <c r="A52" s="194" t="s"/>
      <c r="B52" s="194" t="s"/>
      <c r="C52" s="194" t="s"/>
      <c r="D52" s="194" t="s"/>
      <c r="E52" s="194" t="s"/>
      <c r="F52" s="194" t="s"/>
      <c r="G52" s="194" t="s"/>
      <c r="H52" s="194" t="s"/>
      <c r="I52" s="194" t="s"/>
      <c r="J52" s="194" t="s"/>
      <c r="K52" s="194" t="s"/>
      <c r="L52" s="194" t="s"/>
      <c r="M52" s="194" t="s"/>
      <c r="N52" s="194" t="s"/>
      <c r="O52" s="194" t="s"/>
      <c r="P52" s="194" t="s"/>
      <c r="Q52" s="194" t="s"/>
      <c r="R52" s="194" t="s"/>
      <c r="S52" s="194" t="s"/>
      <c r="T52" s="194" t="s"/>
      <c r="U52" s="194" t="s"/>
      <c r="V52" s="194" t="s"/>
      <c r="W52" s="194" t="s"/>
      <c r="X52" s="194" t="s"/>
      <c r="Y52" s="194" t="s"/>
    </row>
    <row r="53" spans="1:25" customHeight="false">
      <c r="A53" s="194" t="s"/>
      <c r="B53" s="194" t="s"/>
      <c r="C53" s="194" t="s"/>
      <c r="D53" s="194" t="s"/>
      <c r="E53" s="194" t="s"/>
      <c r="F53" s="194" t="s"/>
      <c r="G53" s="194" t="s"/>
      <c r="H53" s="194" t="s"/>
      <c r="I53" s="194" t="s"/>
      <c r="J53" s="194" t="s"/>
      <c r="K53" s="194" t="s"/>
      <c r="L53" s="194" t="s"/>
      <c r="M53" s="194" t="s"/>
      <c r="N53" s="194" t="s"/>
      <c r="O53" s="194" t="s"/>
      <c r="P53" s="194" t="s"/>
      <c r="Q53" s="194" t="s"/>
      <c r="R53" s="194">
        <f>=167.1+19.8+28.8+30+130.43</f>
        <v>376.13</v>
      </c>
      <c r="S53" s="194" t="s"/>
      <c r="T53" s="194" t="s"/>
      <c r="U53" s="194" t="s"/>
      <c r="V53" s="194" t="s"/>
      <c r="W53" s="194" t="s"/>
      <c r="X53" s="194" t="s"/>
      <c r="Y53" s="194" t="s"/>
    </row>
    <row r="54" spans="1:25" customHeight="false">
      <c r="A54" s="194" t="s"/>
      <c r="B54" s="194" t="s"/>
      <c r="C54" s="194" t="s"/>
      <c r="D54" s="194" t="s"/>
      <c r="E54" s="194" t="s"/>
      <c r="F54" s="194" t="s"/>
      <c r="G54" s="194" t="s"/>
      <c r="H54" s="194" t="s"/>
      <c r="I54" s="194" t="s"/>
      <c r="J54" s="194" t="s"/>
      <c r="K54" s="194" t="s"/>
      <c r="L54" s="194" t="s"/>
      <c r="M54" s="194" t="s"/>
      <c r="N54" s="194" t="s"/>
      <c r="O54" s="194" t="s"/>
      <c r="P54" s="194" t="s"/>
      <c r="Q54" s="194" t="s"/>
      <c r="R54" s="194" t="s"/>
      <c r="S54" s="194" t="s"/>
      <c r="T54" s="194" t="s"/>
      <c r="U54" s="194" t="s"/>
      <c r="V54" s="194" t="s"/>
      <c r="W54" s="194" t="s"/>
      <c r="X54" s="194" t="s"/>
      <c r="Y54" s="194" t="s"/>
    </row>
    <row r="55" spans="1:25" customHeight="false">
      <c r="A55" s="194" t="s"/>
      <c r="B55" s="194" t="s"/>
      <c r="C55" s="194" t="s"/>
      <c r="D55" s="194" t="s"/>
      <c r="E55" s="194" t="s"/>
      <c r="F55" s="194" t="s"/>
      <c r="G55" s="194" t="s"/>
      <c r="H55" s="194" t="s"/>
      <c r="I55" s="194" t="s"/>
      <c r="J55" s="194" t="s"/>
      <c r="K55" s="194" t="s"/>
      <c r="L55" s="194" t="s"/>
      <c r="M55" s="194" t="s"/>
      <c r="N55" s="194" t="s"/>
      <c r="O55" s="194" t="s"/>
      <c r="P55" s="194" t="s"/>
      <c r="Q55" s="194" t="s"/>
      <c r="R55" s="194" t="s"/>
      <c r="S55" s="194" t="s"/>
      <c r="T55" s="194" t="s"/>
      <c r="U55" s="194" t="s"/>
      <c r="V55" s="194" t="s"/>
      <c r="W55" s="194" t="s"/>
      <c r="X55" s="194" t="s"/>
      <c r="Y55" s="194" t="s"/>
    </row>
    <row r="56" spans="1:25" customHeight="false">
      <c r="A56" s="194" t="s"/>
      <c r="B56" s="194" t="s"/>
      <c r="C56" s="194" t="s"/>
      <c r="D56" s="194" t="s"/>
      <c r="E56" s="194" t="s"/>
      <c r="F56" s="194" t="s"/>
      <c r="G56" s="194" t="s"/>
      <c r="H56" s="194" t="s"/>
      <c r="I56" s="194" t="s"/>
      <c r="J56" s="194" t="s"/>
      <c r="K56" s="194" t="s"/>
      <c r="L56" s="194" t="s"/>
      <c r="M56" s="194" t="s"/>
      <c r="N56" s="194" t="s"/>
      <c r="O56" s="194" t="s"/>
      <c r="P56" s="194" t="s"/>
      <c r="Q56" s="194" t="s"/>
      <c r="R56" s="194" t="s"/>
      <c r="S56" s="194" t="s"/>
      <c r="T56" s="194" t="s"/>
      <c r="U56" s="194" t="s"/>
      <c r="V56" s="194" t="s"/>
      <c r="W56" s="194" t="s"/>
      <c r="X56" s="194" t="s"/>
      <c r="Y56" s="194" t="s"/>
    </row>
    <row r="57" spans="1:25" customHeight="false">
      <c r="A57" s="194" t="s"/>
      <c r="B57" s="194" t="s"/>
      <c r="C57" s="194" t="s"/>
      <c r="D57" s="194" t="s"/>
      <c r="E57" s="194" t="s"/>
      <c r="F57" s="194" t="s"/>
      <c r="G57" s="194" t="s"/>
      <c r="H57" s="194" t="s"/>
      <c r="I57" s="194" t="s"/>
      <c r="J57" s="194" t="s"/>
      <c r="K57" s="194" t="s"/>
      <c r="L57" s="194" t="s"/>
      <c r="M57" s="194" t="s"/>
      <c r="N57" s="194" t="s"/>
      <c r="O57" s="194" t="s"/>
      <c r="P57" s="194" t="s"/>
      <c r="Q57" s="194" t="s"/>
      <c r="R57" s="194" t="s"/>
      <c r="S57" s="194" t="s"/>
      <c r="T57" s="194" t="s"/>
      <c r="U57" s="194" t="s"/>
      <c r="V57" s="194" t="s"/>
      <c r="W57" s="194" t="s"/>
      <c r="X57" s="194" t="s"/>
      <c r="Y57" s="194" t="s"/>
    </row>
    <row r="58" spans="1:25" customHeight="false">
      <c r="A58" s="194" t="s"/>
      <c r="B58" s="194" t="s"/>
      <c r="C58" s="194" t="s"/>
      <c r="D58" s="194" t="s"/>
      <c r="E58" s="194" t="s"/>
      <c r="F58" s="194" t="s"/>
      <c r="G58" s="194" t="s"/>
      <c r="H58" s="194" t="s"/>
      <c r="I58" s="194" t="s"/>
      <c r="J58" s="194" t="s"/>
      <c r="K58" s="194" t="s"/>
      <c r="L58" s="194" t="s"/>
      <c r="M58" s="194" t="s"/>
      <c r="N58" s="194" t="s"/>
      <c r="O58" s="194" t="s"/>
      <c r="P58" s="194" t="s"/>
      <c r="Q58" s="194" t="s"/>
      <c r="R58" s="194" t="s"/>
      <c r="S58" s="194" t="s"/>
      <c r="T58" s="194" t="s"/>
      <c r="U58" s="194" t="s"/>
      <c r="V58" s="194" t="s"/>
      <c r="W58" s="194" t="s"/>
      <c r="X58" s="194" t="s"/>
      <c r="Y58" s="194" t="s"/>
    </row>
    <row r="59" spans="1:25" customHeight="false">
      <c r="A59" s="194" t="s"/>
      <c r="B59" s="194" t="s"/>
      <c r="C59" s="194" t="s"/>
      <c r="D59" s="194" t="s"/>
      <c r="E59" s="194" t="s"/>
      <c r="F59" s="194" t="s"/>
      <c r="G59" s="194" t="s"/>
      <c r="H59" s="194" t="s"/>
      <c r="I59" s="194" t="s"/>
      <c r="J59" s="194" t="s"/>
      <c r="K59" s="194" t="s"/>
      <c r="L59" s="194" t="s"/>
      <c r="M59" s="194" t="s"/>
      <c r="N59" s="194" t="s"/>
      <c r="O59" s="194" t="s"/>
      <c r="P59" s="194" t="s"/>
      <c r="Q59" s="194" t="s"/>
      <c r="R59" s="194" t="s"/>
      <c r="S59" s="194" t="s"/>
      <c r="T59" s="194" t="s"/>
      <c r="U59" s="194" t="s"/>
      <c r="V59" s="194" t="s"/>
      <c r="W59" s="194" t="s"/>
      <c r="X59" s="194" t="s"/>
      <c r="Y59" s="194" t="s"/>
    </row>
    <row r="60" spans="1:25" customHeight="false">
      <c r="A60" s="194" t="s"/>
      <c r="B60" s="194" t="s"/>
      <c r="C60" s="194" t="s"/>
      <c r="D60" s="194" t="s"/>
      <c r="E60" s="194" t="s"/>
      <c r="F60" s="194" t="s"/>
      <c r="G60" s="194" t="s"/>
      <c r="H60" s="194" t="s"/>
      <c r="I60" s="194" t="s"/>
      <c r="J60" s="194" t="s"/>
      <c r="K60" s="194" t="s"/>
      <c r="L60" s="194" t="s"/>
      <c r="M60" s="194" t="s"/>
      <c r="N60" s="194" t="s"/>
      <c r="O60" s="194" t="s"/>
      <c r="P60" s="194" t="s"/>
      <c r="Q60" s="194" t="s"/>
      <c r="R60" s="194" t="s"/>
      <c r="S60" s="194" t="s"/>
      <c r="T60" s="194" t="s"/>
      <c r="U60" s="194" t="s"/>
      <c r="V60" s="194" t="s"/>
      <c r="W60" s="194" t="s"/>
      <c r="X60" s="194" t="s"/>
      <c r="Y60" s="194" t="s"/>
    </row>
    <row r="61" spans="1:25" customHeight="false">
      <c r="A61" s="194" t="s"/>
      <c r="B61" s="194" t="s"/>
      <c r="C61" s="194" t="s"/>
      <c r="D61" s="194" t="s"/>
      <c r="E61" s="194" t="s"/>
      <c r="F61" s="194" t="s"/>
      <c r="G61" s="194" t="s"/>
      <c r="H61" s="194" t="s"/>
      <c r="I61" s="194" t="s"/>
      <c r="J61" s="194" t="s"/>
      <c r="K61" s="194" t="s"/>
      <c r="L61" s="194" t="s"/>
      <c r="M61" s="194" t="s"/>
      <c r="N61" s="194" t="s"/>
      <c r="O61" s="194" t="s"/>
      <c r="P61" s="194" t="s"/>
      <c r="Q61" s="194" t="s"/>
      <c r="R61" s="194" t="s"/>
      <c r="S61" s="194" t="s"/>
      <c r="T61" s="194" t="s"/>
      <c r="U61" s="194" t="s"/>
      <c r="V61" s="194" t="s"/>
      <c r="W61" s="194" t="s"/>
      <c r="X61" s="194" t="s"/>
      <c r="Y61" s="194" t="s"/>
    </row>
    <row r="62" spans="1:25" customHeight="false">
      <c r="A62" s="194" t="s"/>
      <c r="B62" s="194" t="s"/>
      <c r="C62" s="194" t="s"/>
      <c r="D62" s="194" t="s"/>
      <c r="E62" s="194" t="s"/>
      <c r="F62" s="194" t="s"/>
      <c r="G62" s="194" t="s"/>
      <c r="H62" s="194" t="s"/>
      <c r="I62" s="194" t="s"/>
      <c r="J62" s="194" t="s"/>
      <c r="K62" s="194" t="s"/>
      <c r="L62" s="194" t="s"/>
      <c r="M62" s="194" t="s"/>
      <c r="N62" s="194" t="s"/>
      <c r="O62" s="194" t="s"/>
      <c r="P62" s="194" t="s"/>
      <c r="Q62" s="194" t="s"/>
      <c r="R62" s="194" t="s"/>
      <c r="S62" s="194" t="s"/>
      <c r="T62" s="194" t="s"/>
      <c r="U62" s="194" t="s"/>
      <c r="V62" s="194" t="s"/>
      <c r="W62" s="194" t="s"/>
      <c r="X62" s="194" t="s"/>
      <c r="Y62" s="194" t="s"/>
    </row>
    <row r="63" spans="1:25" customHeight="false">
      <c r="A63" s="194" t="s"/>
      <c r="B63" s="194" t="s"/>
      <c r="C63" s="194" t="s"/>
      <c r="D63" s="194" t="s"/>
      <c r="E63" s="194" t="s"/>
      <c r="F63" s="194" t="s"/>
      <c r="G63" s="194" t="s"/>
      <c r="H63" s="194" t="s"/>
      <c r="I63" s="194" t="s"/>
      <c r="J63" s="194" t="s"/>
      <c r="K63" s="194" t="s"/>
      <c r="L63" s="194" t="s"/>
      <c r="M63" s="194" t="s"/>
      <c r="N63" s="194" t="s"/>
      <c r="O63" s="194" t="s"/>
      <c r="P63" s="194" t="s"/>
      <c r="Q63" s="194" t="s"/>
      <c r="R63" s="194" t="s"/>
      <c r="S63" s="194" t="s"/>
      <c r="T63" s="194" t="s"/>
      <c r="U63" s="194" t="s"/>
      <c r="V63" s="194" t="s"/>
      <c r="W63" s="194" t="s"/>
      <c r="X63" s="194" t="s"/>
      <c r="Y63" s="194" t="s"/>
    </row>
    <row r="64" spans="1:25" customHeight="false">
      <c r="A64" s="194" t="s"/>
      <c r="B64" s="194" t="s"/>
      <c r="C64" s="194" t="s"/>
      <c r="D64" s="194" t="s"/>
      <c r="E64" s="194" t="s"/>
      <c r="F64" s="194" t="s"/>
      <c r="G64" s="194" t="s"/>
      <c r="H64" s="194" t="s"/>
      <c r="I64" s="194" t="s"/>
      <c r="J64" s="194" t="s"/>
      <c r="K64" s="194" t="s"/>
      <c r="L64" s="194" t="s"/>
      <c r="M64" s="194" t="s"/>
      <c r="N64" s="194" t="s"/>
      <c r="O64" s="194" t="s"/>
      <c r="P64" s="194" t="s"/>
      <c r="Q64" s="194" t="s"/>
      <c r="R64" s="194" t="s"/>
      <c r="S64" s="194" t="s"/>
      <c r="T64" s="194" t="s"/>
      <c r="U64" s="194" t="s"/>
      <c r="V64" s="194" t="s"/>
      <c r="W64" s="194" t="s"/>
      <c r="X64" s="194" t="s"/>
      <c r="Y64" s="194" t="s"/>
    </row>
    <row r="65" spans="1:25" customHeight="false">
      <c r="A65" s="194" t="s"/>
      <c r="B65" s="194" t="s"/>
      <c r="C65" s="194" t="s"/>
      <c r="D65" s="194" t="s"/>
      <c r="E65" s="194" t="s"/>
      <c r="F65" s="194" t="s"/>
      <c r="G65" s="194" t="s"/>
      <c r="H65" s="194" t="s"/>
      <c r="I65" s="194" t="s"/>
      <c r="J65" s="194" t="s"/>
      <c r="K65" s="194" t="s"/>
      <c r="L65" s="194" t="s"/>
      <c r="M65" s="194" t="s"/>
      <c r="N65" s="194" t="s"/>
      <c r="O65" s="194" t="s"/>
      <c r="P65" s="194" t="s"/>
      <c r="Q65" s="194" t="s"/>
      <c r="R65" s="194" t="s"/>
      <c r="S65" s="194" t="s"/>
      <c r="T65" s="194" t="s"/>
      <c r="U65" s="194" t="s"/>
      <c r="V65" s="194" t="s"/>
      <c r="W65" s="194" t="s"/>
      <c r="X65" s="194" t="s"/>
      <c r="Y65" s="194" t="s"/>
    </row>
    <row r="66" spans="1:25" customHeight="false">
      <c r="A66" s="194" t="s"/>
      <c r="B66" s="194" t="s"/>
      <c r="C66" s="194" t="s"/>
      <c r="D66" s="194" t="s"/>
      <c r="E66" s="194" t="s"/>
      <c r="F66" s="194" t="s"/>
      <c r="G66" s="194" t="s"/>
      <c r="H66" s="194" t="s"/>
      <c r="I66" s="194" t="s"/>
      <c r="J66" s="194" t="s"/>
      <c r="K66" s="194" t="s"/>
      <c r="L66" s="194" t="s"/>
      <c r="M66" s="194" t="s"/>
      <c r="N66" s="194" t="s"/>
      <c r="O66" s="194" t="s"/>
      <c r="P66" s="194" t="s"/>
      <c r="Q66" s="194" t="s"/>
      <c r="R66" s="194" t="s"/>
      <c r="S66" s="194" t="s"/>
      <c r="T66" s="194" t="s"/>
      <c r="U66" s="194" t="s"/>
      <c r="V66" s="194" t="s"/>
      <c r="W66" s="194" t="s"/>
      <c r="X66" s="194" t="s"/>
      <c r="Y66" s="194" t="s"/>
    </row>
    <row r="67" spans="1:25" customHeight="false">
      <c r="A67" s="194" t="s"/>
      <c r="B67" s="194" t="s"/>
      <c r="C67" s="194" t="s"/>
      <c r="D67" s="194" t="s"/>
      <c r="E67" s="194" t="s"/>
      <c r="F67" s="194" t="s"/>
      <c r="G67" s="194" t="s"/>
      <c r="H67" s="194" t="s"/>
      <c r="I67" s="194" t="s"/>
      <c r="J67" s="194" t="s"/>
      <c r="K67" s="194" t="s"/>
      <c r="L67" s="194" t="s"/>
      <c r="M67" s="194" t="s"/>
      <c r="N67" s="194" t="s"/>
      <c r="O67" s="194" t="s"/>
      <c r="P67" s="194" t="s"/>
      <c r="Q67" s="194" t="s"/>
      <c r="R67" s="194" t="s"/>
      <c r="S67" s="194" t="s"/>
      <c r="T67" s="194" t="s"/>
      <c r="U67" s="194" t="s"/>
      <c r="V67" s="194" t="s"/>
      <c r="W67" s="194" t="s"/>
      <c r="X67" s="194" t="s"/>
      <c r="Y67" s="194" t="s"/>
    </row>
    <row r="68" spans="1:25" customHeight="false">
      <c r="A68" s="194" t="s"/>
      <c r="B68" s="194" t="s"/>
      <c r="C68" s="194" t="s"/>
      <c r="D68" s="194" t="s"/>
      <c r="E68" s="194" t="s"/>
      <c r="F68" s="194" t="s"/>
      <c r="G68" s="194" t="s"/>
      <c r="H68" s="194" t="s"/>
      <c r="I68" s="194" t="s"/>
      <c r="J68" s="194" t="s"/>
      <c r="K68" s="194" t="s"/>
      <c r="L68" s="194" t="s"/>
      <c r="M68" s="194" t="s"/>
      <c r="N68" s="194" t="s"/>
      <c r="O68" s="194" t="s"/>
      <c r="P68" s="194" t="s"/>
      <c r="Q68" s="194" t="s"/>
      <c r="R68" s="194" t="s"/>
      <c r="S68" s="194" t="s"/>
      <c r="T68" s="194" t="s"/>
      <c r="U68" s="194" t="s"/>
      <c r="V68" s="194" t="s"/>
      <c r="W68" s="194" t="s"/>
      <c r="X68" s="194" t="s"/>
      <c r="Y68" s="194" t="s"/>
    </row>
    <row r="69" spans="1:25" customHeight="false">
      <c r="A69" s="194" t="s"/>
      <c r="B69" s="194" t="s"/>
      <c r="C69" s="194" t="s"/>
      <c r="D69" s="194" t="s"/>
      <c r="E69" s="194" t="s"/>
      <c r="F69" s="194" t="s"/>
      <c r="G69" s="194" t="s"/>
      <c r="H69" s="194" t="s"/>
      <c r="I69" s="194" t="s"/>
      <c r="J69" s="194" t="s"/>
      <c r="K69" s="194" t="s"/>
      <c r="L69" s="194" t="s"/>
      <c r="M69" s="194" t="s"/>
      <c r="N69" s="194" t="s"/>
      <c r="O69" s="194" t="s"/>
      <c r="P69" s="194" t="s"/>
      <c r="Q69" s="194" t="s"/>
      <c r="R69" s="194" t="s"/>
      <c r="S69" s="194" t="s"/>
      <c r="T69" s="194" t="s"/>
      <c r="U69" s="194" t="s"/>
      <c r="V69" s="194" t="s"/>
      <c r="W69" s="194" t="s"/>
      <c r="X69" s="194" t="s"/>
      <c r="Y69" s="194" t="s"/>
    </row>
    <row r="70" spans="1:25" customHeight="false">
      <c r="A70" s="194" t="s"/>
      <c r="B70" s="194" t="s"/>
      <c r="C70" s="194" t="s"/>
      <c r="D70" s="194" t="s"/>
      <c r="E70" s="194" t="s"/>
      <c r="F70" s="194" t="s"/>
      <c r="G70" s="194" t="s"/>
      <c r="H70" s="194" t="s"/>
      <c r="I70" s="194" t="s"/>
      <c r="J70" s="194" t="s"/>
      <c r="K70" s="194" t="s"/>
      <c r="L70" s="194" t="s"/>
      <c r="M70" s="194" t="s"/>
      <c r="N70" s="194" t="s"/>
      <c r="O70" s="194" t="s"/>
      <c r="P70" s="194" t="s"/>
      <c r="Q70" s="194" t="s"/>
      <c r="R70" s="194" t="s"/>
      <c r="S70" s="194" t="s"/>
      <c r="T70" s="194" t="s"/>
      <c r="U70" s="194" t="s"/>
      <c r="V70" s="194" t="s"/>
      <c r="W70" s="194" t="s"/>
      <c r="X70" s="194" t="s"/>
      <c r="Y70" s="194" t="s"/>
    </row>
    <row r="71" spans="1:25" customHeight="false">
      <c r="A71" s="194" t="s"/>
      <c r="B71" s="194" t="s"/>
      <c r="C71" s="194" t="s"/>
      <c r="D71" s="194" t="s"/>
      <c r="E71" s="194" t="s"/>
      <c r="F71" s="194" t="s"/>
      <c r="G71" s="194" t="s"/>
      <c r="H71" s="194" t="s"/>
      <c r="I71" s="194" t="s"/>
      <c r="J71" s="194" t="s"/>
      <c r="K71" s="194" t="s"/>
      <c r="L71" s="194" t="s"/>
      <c r="M71" s="194" t="s"/>
      <c r="N71" s="194" t="s"/>
      <c r="O71" s="194" t="s"/>
      <c r="P71" s="194" t="s"/>
      <c r="Q71" s="194" t="s"/>
      <c r="R71" s="194" t="s"/>
      <c r="S71" s="194" t="s"/>
      <c r="T71" s="194" t="s"/>
      <c r="U71" s="194" t="s"/>
      <c r="V71" s="194" t="s"/>
      <c r="W71" s="194" t="s"/>
      <c r="X71" s="194" t="s"/>
      <c r="Y71" s="194" t="s"/>
    </row>
    <row r="72" spans="1:25" customHeight="false">
      <c r="A72" s="194" t="s"/>
      <c r="B72" s="194" t="s"/>
      <c r="C72" s="194" t="s"/>
      <c r="D72" s="194" t="s"/>
      <c r="E72" s="194" t="s"/>
      <c r="F72" s="194" t="s"/>
      <c r="G72" s="194" t="s"/>
      <c r="H72" s="194" t="s"/>
      <c r="I72" s="194" t="s"/>
      <c r="J72" s="194" t="s"/>
      <c r="K72" s="194" t="s"/>
      <c r="L72" s="194" t="s"/>
      <c r="M72" s="194" t="s"/>
      <c r="N72" s="194" t="s"/>
      <c r="O72" s="194" t="s"/>
      <c r="P72" s="194" t="s"/>
      <c r="Q72" s="194" t="s"/>
      <c r="R72" s="194" t="s"/>
      <c r="S72" s="194" t="s"/>
      <c r="T72" s="194" t="s"/>
      <c r="U72" s="194" t="s"/>
      <c r="V72" s="194" t="s"/>
      <c r="W72" s="194" t="s"/>
      <c r="X72" s="194" t="s"/>
      <c r="Y72" s="194" t="s"/>
    </row>
    <row r="73" spans="1:25" customHeight="false">
      <c r="A73" s="194" t="s"/>
      <c r="B73" s="194" t="s"/>
      <c r="C73" s="194" t="s"/>
      <c r="D73" s="194" t="s"/>
      <c r="E73" s="194" t="s"/>
      <c r="F73" s="194" t="s"/>
      <c r="G73" s="194" t="s"/>
      <c r="H73" s="194" t="s"/>
      <c r="I73" s="194" t="s"/>
      <c r="J73" s="194" t="s"/>
      <c r="K73" s="194" t="s"/>
      <c r="L73" s="194" t="s"/>
      <c r="M73" s="194" t="s"/>
      <c r="N73" s="194" t="s"/>
      <c r="O73" s="194" t="s"/>
      <c r="P73" s="194" t="s"/>
      <c r="Q73" s="194" t="s"/>
      <c r="R73" s="194" t="s"/>
      <c r="S73" s="194" t="s"/>
      <c r="T73" s="194" t="s"/>
      <c r="U73" s="194" t="s"/>
      <c r="V73" s="194" t="s"/>
      <c r="W73" s="194" t="s"/>
      <c r="X73" s="194" t="s"/>
      <c r="Y73" s="194" t="s"/>
    </row>
    <row r="74" spans="1:25" customHeight="false">
      <c r="A74" s="194" t="s"/>
      <c r="B74" s="194" t="s"/>
      <c r="C74" s="194" t="s"/>
      <c r="D74" s="194" t="s"/>
      <c r="E74" s="194" t="s"/>
      <c r="F74" s="194" t="s"/>
      <c r="G74" s="194" t="s"/>
      <c r="H74" s="194" t="s"/>
      <c r="I74" s="194" t="s"/>
      <c r="J74" s="194" t="s"/>
      <c r="K74" s="194" t="s"/>
      <c r="L74" s="194" t="s"/>
      <c r="M74" s="194" t="s"/>
      <c r="N74" s="194" t="s"/>
      <c r="O74" s="194" t="s"/>
      <c r="P74" s="194" t="s"/>
      <c r="Q74" s="194" t="s"/>
      <c r="R74" s="194" t="s"/>
      <c r="S74" s="194" t="s"/>
      <c r="T74" s="194" t="s"/>
      <c r="U74" s="194" t="s"/>
      <c r="V74" s="194" t="s"/>
      <c r="W74" s="194" t="s"/>
      <c r="X74" s="194" t="s"/>
      <c r="Y74" s="194" t="s"/>
    </row>
    <row r="75" spans="1:25" customHeight="false">
      <c r="A75" s="194" t="s"/>
      <c r="B75" s="194" t="s"/>
      <c r="C75" s="194" t="s"/>
      <c r="D75" s="194" t="s"/>
      <c r="E75" s="194" t="s"/>
      <c r="F75" s="194" t="s"/>
      <c r="G75" s="194" t="s"/>
      <c r="H75" s="194" t="s"/>
      <c r="I75" s="194" t="s"/>
      <c r="J75" s="194" t="s"/>
      <c r="K75" s="194" t="s"/>
      <c r="L75" s="194" t="s"/>
      <c r="M75" s="194" t="s"/>
      <c r="N75" s="194" t="s"/>
      <c r="O75" s="194" t="s"/>
      <c r="P75" s="194" t="s"/>
      <c r="Q75" s="194" t="s"/>
      <c r="R75" s="194" t="s"/>
      <c r="S75" s="194" t="s"/>
      <c r="T75" s="194" t="s"/>
      <c r="U75" s="194" t="s"/>
      <c r="V75" s="194" t="s"/>
      <c r="W75" s="194" t="s"/>
      <c r="X75" s="194" t="s"/>
      <c r="Y75" s="194" t="s"/>
    </row>
    <row r="76" spans="1:25" customHeight="false">
      <c r="A76" s="194" t="s"/>
      <c r="B76" s="194" t="s"/>
      <c r="C76" s="194" t="s"/>
      <c r="D76" s="194" t="s"/>
      <c r="E76" s="194" t="s"/>
      <c r="F76" s="194" t="s"/>
      <c r="G76" s="194" t="s"/>
      <c r="H76" s="194" t="s"/>
      <c r="I76" s="194" t="s"/>
      <c r="J76" s="194" t="s"/>
      <c r="K76" s="194" t="s"/>
      <c r="L76" s="194" t="s"/>
      <c r="M76" s="194" t="s"/>
      <c r="N76" s="194" t="s"/>
      <c r="O76" s="194" t="s"/>
      <c r="P76" s="194" t="s"/>
      <c r="Q76" s="194" t="s"/>
      <c r="R76" s="194" t="s"/>
      <c r="S76" s="194" t="s"/>
      <c r="T76" s="194" t="s"/>
      <c r="U76" s="194" t="s"/>
      <c r="V76" s="194" t="s"/>
      <c r="W76" s="194" t="s"/>
      <c r="X76" s="194" t="s"/>
      <c r="Y76" s="194" t="s"/>
    </row>
    <row r="77" spans="1:25" customHeight="false">
      <c r="A77" s="194" t="s"/>
      <c r="B77" s="194" t="s"/>
      <c r="C77" s="194" t="s"/>
      <c r="D77" s="194" t="s"/>
      <c r="E77" s="194" t="s"/>
      <c r="F77" s="194" t="s"/>
      <c r="G77" s="194" t="s"/>
      <c r="H77" s="194" t="s"/>
      <c r="I77" s="194" t="s"/>
      <c r="J77" s="194" t="s"/>
      <c r="K77" s="194" t="s"/>
      <c r="L77" s="194" t="s"/>
      <c r="M77" s="194" t="s"/>
      <c r="N77" s="194" t="s"/>
      <c r="O77" s="194" t="s"/>
      <c r="P77" s="194" t="s"/>
      <c r="Q77" s="194" t="s"/>
      <c r="R77" s="194" t="s"/>
      <c r="S77" s="194" t="s"/>
      <c r="T77" s="194" t="s"/>
      <c r="U77" s="194" t="s"/>
      <c r="V77" s="194" t="s"/>
      <c r="W77" s="194" t="s"/>
      <c r="X77" s="194" t="s"/>
      <c r="Y77" s="194" t="s"/>
    </row>
    <row r="78" spans="1:25" customHeight="false">
      <c r="A78" s="194" t="s"/>
      <c r="B78" s="194" t="s"/>
      <c r="C78" s="194" t="s"/>
      <c r="D78" s="194" t="s"/>
      <c r="E78" s="194" t="s"/>
      <c r="F78" s="194" t="s"/>
      <c r="G78" s="194" t="s"/>
      <c r="H78" s="194" t="s"/>
      <c r="I78" s="194" t="s"/>
      <c r="J78" s="194" t="s"/>
      <c r="K78" s="194" t="s"/>
      <c r="L78" s="194" t="s"/>
      <c r="M78" s="194" t="s"/>
      <c r="N78" s="194" t="s"/>
      <c r="O78" s="194" t="s"/>
      <c r="P78" s="194" t="s"/>
      <c r="Q78" s="194" t="s"/>
      <c r="R78" s="194" t="s"/>
      <c r="S78" s="194" t="s"/>
      <c r="T78" s="194" t="s"/>
      <c r="U78" s="194" t="s"/>
      <c r="V78" s="194" t="s"/>
      <c r="W78" s="194" t="s"/>
      <c r="X78" s="194" t="s"/>
      <c r="Y78" s="194" t="s"/>
    </row>
    <row r="79" spans="1:25" customHeight="false">
      <c r="A79" s="194" t="s"/>
      <c r="B79" s="194" t="s"/>
      <c r="C79" s="194" t="s"/>
      <c r="D79" s="194" t="s"/>
      <c r="E79" s="194" t="s"/>
      <c r="F79" s="194" t="s"/>
      <c r="G79" s="194" t="s"/>
      <c r="H79" s="194" t="s"/>
      <c r="I79" s="194" t="s"/>
      <c r="J79" s="194" t="s"/>
      <c r="K79" s="194" t="s"/>
      <c r="L79" s="194" t="s"/>
      <c r="M79" s="194" t="s"/>
      <c r="N79" s="194" t="s"/>
      <c r="O79" s="194" t="s"/>
      <c r="P79" s="194" t="s"/>
      <c r="Q79" s="194" t="s"/>
      <c r="R79" s="194" t="s"/>
      <c r="S79" s="194" t="s"/>
      <c r="T79" s="194" t="s"/>
      <c r="U79" s="194" t="s"/>
      <c r="V79" s="194" t="s"/>
      <c r="W79" s="194" t="s"/>
      <c r="X79" s="194" t="s"/>
      <c r="Y79" s="194" t="s"/>
    </row>
    <row r="80" spans="1:25" customHeight="false">
      <c r="A80" s="194" t="s"/>
      <c r="B80" s="194" t="s"/>
      <c r="C80" s="194" t="s"/>
      <c r="D80" s="194" t="s"/>
      <c r="E80" s="194" t="s"/>
      <c r="F80" s="194" t="s"/>
      <c r="G80" s="194" t="s"/>
      <c r="H80" s="194" t="s"/>
      <c r="I80" s="194" t="s"/>
      <c r="J80" s="194" t="s"/>
      <c r="K80" s="194" t="s"/>
      <c r="L80" s="194" t="s"/>
      <c r="M80" s="194" t="s"/>
      <c r="N80" s="194" t="s"/>
      <c r="O80" s="194" t="s"/>
      <c r="P80" s="194" t="s"/>
      <c r="Q80" s="194" t="s"/>
      <c r="R80" s="194" t="s"/>
      <c r="S80" s="194" t="s"/>
      <c r="T80" s="194" t="s"/>
      <c r="U80" s="194" t="s"/>
      <c r="V80" s="194" t="s"/>
      <c r="W80" s="194" t="s"/>
      <c r="X80" s="194" t="s"/>
      <c r="Y80" s="194" t="s"/>
    </row>
    <row r="81" spans="1:25" customHeight="false">
      <c r="A81" s="194" t="s"/>
      <c r="B81" s="194" t="s"/>
      <c r="C81" s="194" t="s"/>
      <c r="D81" s="194" t="s"/>
      <c r="E81" s="194" t="s"/>
      <c r="F81" s="194" t="s"/>
      <c r="G81" s="194" t="s"/>
      <c r="H81" s="194" t="s"/>
      <c r="I81" s="194" t="s"/>
      <c r="J81" s="194" t="s"/>
      <c r="K81" s="194" t="s"/>
      <c r="L81" s="194" t="s"/>
      <c r="M81" s="194" t="s"/>
      <c r="N81" s="194" t="s"/>
      <c r="O81" s="194" t="s"/>
      <c r="P81" s="194" t="s"/>
      <c r="Q81" s="194" t="s"/>
      <c r="R81" s="194" t="s"/>
      <c r="S81" s="194" t="s"/>
      <c r="T81" s="194" t="s"/>
      <c r="U81" s="194" t="s"/>
      <c r="V81" s="194" t="s"/>
      <c r="W81" s="194" t="s"/>
      <c r="X81" s="194" t="s"/>
      <c r="Y81" s="194" t="s"/>
    </row>
    <row r="82" spans="1:25" customHeight="false">
      <c r="A82" s="194" t="s"/>
      <c r="B82" s="194" t="s"/>
      <c r="C82" s="194" t="s"/>
      <c r="D82" s="194" t="s"/>
      <c r="E82" s="194" t="s"/>
      <c r="F82" s="194" t="s"/>
      <c r="G82" s="194" t="s"/>
      <c r="H82" s="194" t="s"/>
      <c r="I82" s="194" t="s"/>
      <c r="J82" s="194" t="s"/>
      <c r="K82" s="194" t="s"/>
      <c r="L82" s="194" t="s"/>
      <c r="M82" s="194" t="s"/>
      <c r="N82" s="194" t="s"/>
      <c r="O82" s="194" t="s"/>
      <c r="P82" s="194" t="s"/>
      <c r="Q82" s="194" t="s"/>
      <c r="R82" s="194" t="s"/>
      <c r="S82" s="194" t="s"/>
      <c r="T82" s="194" t="s"/>
      <c r="U82" s="194" t="s"/>
      <c r="V82" s="194" t="s"/>
      <c r="W82" s="194" t="s"/>
      <c r="X82" s="194" t="s"/>
      <c r="Y82" s="194" t="s"/>
    </row>
    <row r="83" spans="1:25" customHeight="false">
      <c r="A83" s="194" t="s"/>
      <c r="B83" s="194" t="s"/>
      <c r="C83" s="194" t="s"/>
      <c r="D83" s="194" t="s"/>
      <c r="E83" s="194" t="s"/>
      <c r="F83" s="194" t="s"/>
      <c r="G83" s="194" t="s"/>
      <c r="H83" s="194" t="s"/>
      <c r="I83" s="194" t="s"/>
      <c r="J83" s="194" t="s"/>
      <c r="K83" s="194" t="s"/>
      <c r="L83" s="194" t="s"/>
      <c r="M83" s="194" t="s"/>
      <c r="N83" s="194" t="s"/>
      <c r="O83" s="194" t="s"/>
      <c r="P83" s="194" t="s"/>
      <c r="Q83" s="194" t="s"/>
      <c r="R83" s="194" t="s"/>
      <c r="S83" s="194" t="s"/>
      <c r="T83" s="194" t="s"/>
      <c r="U83" s="194" t="s"/>
      <c r="V83" s="194" t="s"/>
      <c r="W83" s="194" t="s"/>
      <c r="X83" s="194" t="s"/>
      <c r="Y83" s="194" t="s"/>
    </row>
    <row r="84" spans="1:25" customHeight="false">
      <c r="A84" s="194" t="s"/>
      <c r="B84" s="194" t="s"/>
      <c r="C84" s="194" t="s"/>
      <c r="D84" s="194" t="s"/>
      <c r="E84" s="194" t="s"/>
      <c r="F84" s="194" t="s"/>
      <c r="G84" s="194" t="s"/>
      <c r="H84" s="194" t="s"/>
      <c r="I84" s="194" t="s"/>
      <c r="J84" s="194" t="s"/>
      <c r="K84" s="194" t="s"/>
      <c r="L84" s="194" t="s"/>
      <c r="M84" s="194" t="s"/>
      <c r="N84" s="194" t="s"/>
      <c r="O84" s="194" t="s"/>
      <c r="P84" s="194" t="s"/>
      <c r="Q84" s="194" t="s"/>
      <c r="R84" s="194" t="s"/>
      <c r="S84" s="194" t="s"/>
      <c r="T84" s="194" t="s"/>
      <c r="U84" s="194" t="s"/>
      <c r="V84" s="194" t="s"/>
      <c r="W84" s="194" t="s"/>
      <c r="X84" s="194" t="s"/>
      <c r="Y84" s="194" t="s"/>
    </row>
    <row r="85" spans="1:25" customHeight="false">
      <c r="A85" s="194" t="s"/>
      <c r="B85" s="194" t="s"/>
      <c r="C85" s="194" t="s"/>
      <c r="D85" s="194" t="s"/>
      <c r="E85" s="194" t="s"/>
      <c r="F85" s="194" t="s"/>
      <c r="G85" s="194" t="s"/>
      <c r="H85" s="194" t="s"/>
      <c r="I85" s="194" t="s"/>
      <c r="J85" s="194" t="s"/>
      <c r="K85" s="194" t="s"/>
      <c r="L85" s="194" t="s"/>
      <c r="M85" s="194" t="s"/>
      <c r="N85" s="194" t="s"/>
      <c r="O85" s="194" t="s"/>
      <c r="P85" s="194" t="s"/>
      <c r="Q85" s="194" t="s"/>
      <c r="R85" s="194" t="s"/>
      <c r="S85" s="194" t="s"/>
      <c r="T85" s="194" t="s"/>
      <c r="U85" s="194" t="s"/>
      <c r="V85" s="194" t="s"/>
      <c r="W85" s="194" t="s"/>
      <c r="X85" s="194" t="s"/>
      <c r="Y85" s="194" t="s"/>
    </row>
    <row r="86" spans="1:25" customHeight="false">
      <c r="A86" s="194" t="s"/>
      <c r="B86" s="194" t="s"/>
      <c r="C86" s="194" t="s"/>
      <c r="D86" s="194" t="s"/>
      <c r="E86" s="194" t="s"/>
      <c r="F86" s="194" t="s"/>
      <c r="G86" s="194" t="s"/>
      <c r="H86" s="194" t="s"/>
      <c r="I86" s="194" t="s"/>
      <c r="J86" s="194" t="s"/>
      <c r="K86" s="194" t="s"/>
      <c r="L86" s="194" t="s"/>
      <c r="M86" s="194" t="s"/>
      <c r="N86" s="194" t="s"/>
      <c r="O86" s="194" t="s"/>
      <c r="P86" s="194" t="s"/>
      <c r="Q86" s="194" t="s"/>
      <c r="R86" s="194" t="s"/>
      <c r="S86" s="194" t="s"/>
      <c r="T86" s="194" t="s"/>
      <c r="U86" s="194" t="s"/>
      <c r="V86" s="194" t="s"/>
      <c r="W86" s="194" t="s"/>
      <c r="X86" s="194" t="s"/>
      <c r="Y86" s="194" t="s"/>
    </row>
    <row r="87" spans="1:25" customHeight="false">
      <c r="A87" s="194" t="s"/>
      <c r="B87" s="194" t="s"/>
      <c r="C87" s="194" t="s"/>
      <c r="D87" s="194" t="s"/>
      <c r="E87" s="194" t="s"/>
      <c r="F87" s="194" t="s"/>
      <c r="G87" s="194" t="s"/>
      <c r="H87" s="194" t="s"/>
      <c r="I87" s="194" t="s"/>
      <c r="J87" s="194" t="s"/>
      <c r="K87" s="194" t="s"/>
      <c r="L87" s="194" t="s"/>
      <c r="M87" s="194" t="s"/>
      <c r="N87" s="194" t="s"/>
      <c r="O87" s="194" t="s"/>
      <c r="P87" s="194" t="s"/>
      <c r="Q87" s="194" t="s"/>
      <c r="R87" s="194" t="s"/>
      <c r="S87" s="194" t="s"/>
      <c r="T87" s="194" t="s"/>
      <c r="U87" s="194" t="s"/>
      <c r="V87" s="194" t="s"/>
      <c r="W87" s="194" t="s"/>
      <c r="X87" s="194" t="s"/>
      <c r="Y87" s="194" t="s"/>
    </row>
    <row r="88" spans="1:25" customHeight="false">
      <c r="A88" s="194" t="s"/>
      <c r="B88" s="194" t="s"/>
      <c r="C88" s="194" t="s"/>
      <c r="D88" s="194" t="s"/>
      <c r="E88" s="194" t="s"/>
      <c r="F88" s="194" t="s"/>
      <c r="G88" s="194" t="s"/>
      <c r="H88" s="194" t="s"/>
      <c r="I88" s="194" t="s"/>
      <c r="J88" s="194" t="s"/>
      <c r="K88" s="194" t="s"/>
      <c r="L88" s="194" t="s"/>
      <c r="M88" s="194" t="s"/>
      <c r="N88" s="194" t="s"/>
      <c r="O88" s="194" t="s"/>
      <c r="P88" s="194" t="s"/>
      <c r="Q88" s="194" t="s"/>
      <c r="R88" s="194" t="s"/>
      <c r="S88" s="194" t="s"/>
      <c r="T88" s="194" t="s"/>
      <c r="U88" s="194" t="s"/>
      <c r="V88" s="194" t="s"/>
      <c r="W88" s="194" t="s"/>
      <c r="X88" s="194" t="s"/>
      <c r="Y88" s="194" t="s"/>
    </row>
    <row r="89" spans="1:25" customHeight="false">
      <c r="A89" s="194" t="s"/>
      <c r="B89" s="194" t="s"/>
      <c r="C89" s="194" t="s"/>
      <c r="D89" s="194" t="s"/>
      <c r="E89" s="194" t="s"/>
      <c r="F89" s="194" t="s"/>
      <c r="G89" s="194" t="s"/>
      <c r="H89" s="194" t="s"/>
      <c r="I89" s="194" t="s"/>
      <c r="J89" s="194" t="s"/>
      <c r="K89" s="194" t="s"/>
      <c r="L89" s="194" t="s"/>
      <c r="M89" s="194" t="s"/>
      <c r="N89" s="194" t="s"/>
      <c r="O89" s="194" t="s"/>
      <c r="P89" s="194" t="s"/>
      <c r="Q89" s="194" t="s"/>
      <c r="R89" s="194" t="s"/>
      <c r="S89" s="194" t="s"/>
      <c r="T89" s="194" t="s"/>
      <c r="U89" s="194" t="s"/>
      <c r="V89" s="194" t="s"/>
      <c r="W89" s="194" t="s"/>
      <c r="X89" s="194" t="s"/>
      <c r="Y89" s="194" t="s"/>
    </row>
    <row r="90" spans="1:25" customHeight="false">
      <c r="A90" s="194" t="s"/>
      <c r="B90" s="194" t="s"/>
      <c r="C90" s="194" t="s"/>
      <c r="D90" s="194" t="s"/>
      <c r="E90" s="194" t="s"/>
      <c r="F90" s="194" t="s"/>
      <c r="G90" s="194" t="s"/>
      <c r="H90" s="194" t="s"/>
      <c r="I90" s="194" t="s"/>
      <c r="J90" s="194" t="s"/>
      <c r="K90" s="194" t="s"/>
      <c r="L90" s="194" t="s"/>
      <c r="M90" s="194" t="s"/>
      <c r="N90" s="194" t="s"/>
      <c r="O90" s="194" t="s"/>
      <c r="P90" s="194" t="s"/>
      <c r="Q90" s="194" t="s"/>
      <c r="R90" s="194" t="s"/>
      <c r="S90" s="194" t="s"/>
      <c r="T90" s="194" t="s"/>
      <c r="U90" s="194" t="s"/>
      <c r="V90" s="194" t="s"/>
      <c r="W90" s="194" t="s"/>
      <c r="X90" s="194" t="s"/>
      <c r="Y90" s="194" t="s"/>
    </row>
    <row r="91" spans="1:25" customHeight="false">
      <c r="A91" s="194" t="s"/>
      <c r="B91" s="194" t="s"/>
      <c r="C91" s="194" t="s"/>
      <c r="D91" s="194" t="s"/>
      <c r="E91" s="194" t="s"/>
      <c r="F91" s="194" t="s"/>
      <c r="G91" s="194" t="s"/>
      <c r="H91" s="194" t="s"/>
      <c r="I91" s="194" t="s"/>
      <c r="J91" s="194" t="s"/>
      <c r="K91" s="194" t="s"/>
      <c r="L91" s="194" t="s"/>
      <c r="M91" s="194" t="s"/>
      <c r="N91" s="194" t="s"/>
      <c r="O91" s="194" t="s"/>
      <c r="P91" s="194" t="s"/>
      <c r="Q91" s="194" t="s"/>
      <c r="R91" s="194" t="s"/>
      <c r="S91" s="194" t="s"/>
      <c r="T91" s="194" t="s"/>
      <c r="U91" s="194" t="s"/>
      <c r="V91" s="194" t="s"/>
      <c r="W91" s="194" t="s"/>
      <c r="X91" s="194" t="s"/>
      <c r="Y91" s="194" t="s"/>
    </row>
    <row r="92" spans="1:25" customHeight="false">
      <c r="A92" s="194" t="s"/>
      <c r="B92" s="194" t="s"/>
      <c r="C92" s="194" t="s"/>
      <c r="D92" s="194" t="s"/>
      <c r="E92" s="194" t="s"/>
      <c r="F92" s="194" t="s"/>
      <c r="G92" s="194" t="s"/>
      <c r="H92" s="194" t="s"/>
      <c r="I92" s="194" t="s"/>
      <c r="J92" s="194" t="s"/>
      <c r="K92" s="194" t="s"/>
      <c r="L92" s="194" t="s"/>
      <c r="M92" s="194" t="s"/>
      <c r="N92" s="194" t="s"/>
      <c r="O92" s="194" t="s"/>
      <c r="P92" s="194" t="s"/>
      <c r="Q92" s="194" t="s"/>
      <c r="R92" s="194" t="s"/>
      <c r="S92" s="194" t="s"/>
      <c r="T92" s="194" t="s"/>
      <c r="U92" s="194" t="s"/>
      <c r="V92" s="194" t="s"/>
      <c r="W92" s="194" t="s"/>
      <c r="X92" s="194" t="s"/>
      <c r="Y92" s="194" t="s"/>
    </row>
    <row r="93" spans="1:25" customHeight="false">
      <c r="A93" s="194" t="s"/>
      <c r="B93" s="194" t="s"/>
      <c r="C93" s="194" t="s"/>
      <c r="D93" s="194" t="s"/>
      <c r="E93" s="194" t="s"/>
      <c r="F93" s="194" t="s"/>
      <c r="G93" s="194" t="s"/>
      <c r="H93" s="194" t="s"/>
      <c r="I93" s="194" t="s"/>
      <c r="J93" s="194" t="s"/>
      <c r="K93" s="194" t="s"/>
      <c r="L93" s="194" t="s"/>
      <c r="M93" s="194" t="s"/>
      <c r="N93" s="194" t="s"/>
      <c r="O93" s="194" t="s"/>
      <c r="P93" s="194" t="s"/>
      <c r="Q93" s="194" t="s"/>
      <c r="R93" s="194" t="s"/>
      <c r="S93" s="194" t="s"/>
      <c r="T93" s="194" t="s"/>
      <c r="U93" s="194" t="s"/>
      <c r="V93" s="194" t="s"/>
      <c r="W93" s="194" t="s"/>
      <c r="X93" s="194" t="s"/>
      <c r="Y93" s="194" t="s"/>
    </row>
    <row r="94" spans="1:25" customHeight="false">
      <c r="A94" s="194" t="s"/>
      <c r="B94" s="194" t="s"/>
      <c r="C94" s="194" t="s"/>
      <c r="D94" s="194" t="s"/>
      <c r="E94" s="194" t="s"/>
      <c r="F94" s="194" t="s"/>
      <c r="G94" s="194" t="s"/>
      <c r="H94" s="194" t="s"/>
      <c r="I94" s="194" t="s"/>
      <c r="J94" s="194" t="s"/>
      <c r="K94" s="194" t="s"/>
      <c r="L94" s="194" t="s"/>
      <c r="M94" s="194" t="s"/>
      <c r="N94" s="194" t="s"/>
      <c r="O94" s="194" t="s"/>
      <c r="P94" s="194" t="s"/>
      <c r="Q94" s="194" t="s"/>
      <c r="R94" s="194" t="s"/>
      <c r="S94" s="194" t="s"/>
      <c r="T94" s="194" t="s"/>
      <c r="U94" s="194" t="s"/>
      <c r="V94" s="194" t="s"/>
      <c r="W94" s="194" t="s"/>
      <c r="X94" s="194" t="s"/>
      <c r="Y94" s="194" t="s"/>
    </row>
    <row r="95" spans="1:25" customHeight="false">
      <c r="A95" s="194" t="s"/>
      <c r="B95" s="194" t="s"/>
      <c r="C95" s="194" t="s"/>
      <c r="D95" s="194" t="s"/>
      <c r="E95" s="194" t="s"/>
      <c r="F95" s="194" t="s"/>
      <c r="G95" s="194" t="s"/>
      <c r="H95" s="194" t="s"/>
      <c r="I95" s="194" t="s"/>
      <c r="J95" s="194" t="s"/>
      <c r="K95" s="194" t="s"/>
      <c r="L95" s="194" t="s"/>
      <c r="M95" s="194" t="s"/>
      <c r="N95" s="194" t="s"/>
      <c r="O95" s="194" t="s"/>
      <c r="P95" s="194" t="s"/>
      <c r="Q95" s="194" t="s"/>
      <c r="R95" s="194" t="s"/>
      <c r="S95" s="194" t="s"/>
      <c r="T95" s="194" t="s"/>
      <c r="U95" s="194" t="s"/>
      <c r="V95" s="194" t="s"/>
      <c r="W95" s="194" t="s"/>
      <c r="X95" s="194" t="s"/>
      <c r="Y95" s="194" t="s"/>
    </row>
    <row r="96" spans="1:25" customHeight="false">
      <c r="A96" s="194" t="s"/>
      <c r="B96" s="194" t="s"/>
      <c r="C96" s="194" t="s"/>
      <c r="D96" s="194" t="s"/>
      <c r="E96" s="194" t="s"/>
      <c r="F96" s="194" t="s"/>
      <c r="G96" s="194" t="s"/>
      <c r="H96" s="194" t="s"/>
      <c r="I96" s="194" t="s"/>
      <c r="J96" s="194" t="s"/>
      <c r="K96" s="194" t="s"/>
      <c r="L96" s="194" t="s"/>
      <c r="M96" s="194" t="s"/>
      <c r="N96" s="194" t="s"/>
      <c r="O96" s="194" t="s"/>
      <c r="P96" s="194" t="s"/>
      <c r="Q96" s="194" t="s"/>
      <c r="R96" s="194" t="s"/>
      <c r="S96" s="194" t="s"/>
      <c r="T96" s="194" t="s"/>
      <c r="U96" s="194" t="s"/>
      <c r="V96" s="194" t="s"/>
      <c r="W96" s="194" t="s"/>
      <c r="X96" s="194" t="s"/>
      <c r="Y96" s="194" t="s"/>
    </row>
    <row r="97" spans="1:25" customHeight="false">
      <c r="A97" s="194" t="s"/>
      <c r="B97" s="194" t="s"/>
      <c r="C97" s="194" t="s"/>
      <c r="D97" s="194" t="s"/>
      <c r="E97" s="194" t="s"/>
      <c r="F97" s="194" t="s"/>
      <c r="G97" s="194" t="s"/>
      <c r="H97" s="194" t="s"/>
      <c r="I97" s="194" t="s"/>
      <c r="J97" s="194" t="s"/>
      <c r="K97" s="194" t="s"/>
      <c r="L97" s="194" t="s"/>
      <c r="M97" s="194" t="s"/>
      <c r="N97" s="194" t="s"/>
      <c r="O97" s="194" t="s"/>
      <c r="P97" s="194" t="s"/>
      <c r="Q97" s="194" t="s"/>
      <c r="R97" s="194" t="s"/>
      <c r="S97" s="194" t="s"/>
      <c r="T97" s="194" t="s"/>
      <c r="U97" s="194" t="s"/>
      <c r="V97" s="194" t="s"/>
      <c r="W97" s="194" t="s"/>
      <c r="X97" s="194" t="s"/>
      <c r="Y97" s="194" t="s"/>
    </row>
    <row r="98" spans="1:25" customHeight="false">
      <c r="A98" s="194" t="s"/>
      <c r="B98" s="194" t="s"/>
      <c r="C98" s="194" t="s"/>
      <c r="D98" s="194" t="s"/>
      <c r="E98" s="194" t="s"/>
      <c r="F98" s="194" t="s"/>
      <c r="G98" s="194" t="s"/>
      <c r="H98" s="194" t="s"/>
      <c r="I98" s="194" t="s"/>
      <c r="J98" s="194" t="s"/>
      <c r="K98" s="194" t="s"/>
      <c r="L98" s="194" t="s"/>
      <c r="M98" s="194" t="s"/>
      <c r="N98" s="194" t="s"/>
      <c r="O98" s="194" t="s"/>
      <c r="P98" s="194" t="s"/>
      <c r="Q98" s="194" t="s"/>
      <c r="R98" s="194" t="s"/>
      <c r="S98" s="194" t="s"/>
      <c r="T98" s="194" t="s"/>
      <c r="U98" s="194" t="s"/>
      <c r="V98" s="194" t="s"/>
      <c r="W98" s="194" t="s"/>
      <c r="X98" s="194" t="s"/>
      <c r="Y98" s="194" t="s"/>
    </row>
    <row r="99" spans="1:25" customHeight="false">
      <c r="A99" s="194" t="s"/>
      <c r="B99" s="194" t="s"/>
      <c r="C99" s="194" t="s"/>
      <c r="D99" s="194" t="s"/>
      <c r="E99" s="194" t="s"/>
      <c r="F99" s="194" t="s"/>
      <c r="G99" s="194" t="s"/>
      <c r="H99" s="194" t="s"/>
      <c r="I99" s="194" t="s"/>
      <c r="J99" s="194" t="s"/>
      <c r="K99" s="194" t="s"/>
      <c r="L99" s="194" t="s"/>
      <c r="M99" s="194" t="s"/>
      <c r="N99" s="194" t="s"/>
      <c r="O99" s="194" t="s"/>
      <c r="P99" s="194" t="s"/>
      <c r="Q99" s="194" t="s"/>
      <c r="R99" s="194" t="s"/>
      <c r="S99" s="194" t="s"/>
      <c r="T99" s="194" t="s"/>
      <c r="U99" s="194" t="s"/>
      <c r="V99" s="194" t="s"/>
      <c r="W99" s="194" t="s"/>
      <c r="X99" s="194" t="s"/>
      <c r="Y99" s="194" t="s"/>
    </row>
    <row r="100" spans="1:25" customHeight="false">
      <c r="A100" s="194" t="s"/>
      <c r="B100" s="194" t="s"/>
      <c r="C100" s="194" t="s"/>
      <c r="D100" s="194" t="s"/>
      <c r="E100" s="194" t="s"/>
      <c r="F100" s="194" t="s"/>
      <c r="G100" s="194" t="s"/>
      <c r="H100" s="194" t="s"/>
      <c r="I100" s="194" t="s"/>
      <c r="J100" s="194" t="s"/>
      <c r="K100" s="194" t="s"/>
      <c r="L100" s="194" t="s"/>
      <c r="M100" s="194" t="s"/>
      <c r="N100" s="194" t="s"/>
      <c r="O100" s="194" t="s"/>
      <c r="P100" s="194" t="s"/>
      <c r="Q100" s="194" t="s"/>
      <c r="R100" s="194" t="s"/>
      <c r="S100" s="194" t="s"/>
      <c r="T100" s="194" t="s"/>
      <c r="U100" s="194" t="s"/>
      <c r="V100" s="194" t="s"/>
      <c r="W100" s="194" t="s"/>
      <c r="X100" s="194" t="s"/>
      <c r="Y100" s="194" t="s"/>
    </row>
    <row r="101" spans="1:25" customHeight="false">
      <c r="A101" s="194" t="s"/>
      <c r="B101" s="194" t="s"/>
      <c r="C101" s="194" t="s"/>
      <c r="D101" s="194" t="s"/>
      <c r="E101" s="194" t="s"/>
      <c r="F101" s="194" t="s"/>
      <c r="G101" s="194" t="s"/>
      <c r="H101" s="194" t="s"/>
      <c r="I101" s="194" t="s"/>
      <c r="J101" s="194" t="s"/>
      <c r="K101" s="194" t="s"/>
      <c r="L101" s="194" t="s"/>
      <c r="M101" s="194" t="s"/>
      <c r="N101" s="194" t="s"/>
      <c r="O101" s="194" t="s"/>
      <c r="P101" s="194" t="s"/>
      <c r="Q101" s="194" t="s"/>
      <c r="R101" s="194" t="s"/>
      <c r="S101" s="194" t="s"/>
      <c r="T101" s="194" t="s"/>
      <c r="U101" s="194" t="s"/>
      <c r="V101" s="194" t="s"/>
      <c r="W101" s="194" t="s"/>
      <c r="X101" s="194" t="s"/>
      <c r="Y101" s="194" t="s"/>
    </row>
    <row r="102" spans="1:25" customHeight="false">
      <c r="A102" s="194" t="s"/>
      <c r="B102" s="194" t="s"/>
      <c r="C102" s="194" t="s"/>
      <c r="D102" s="194" t="s"/>
      <c r="E102" s="194" t="s"/>
      <c r="F102" s="194" t="s"/>
      <c r="G102" s="194" t="s"/>
      <c r="H102" s="194" t="s"/>
      <c r="I102" s="194" t="s"/>
      <c r="J102" s="194" t="s"/>
      <c r="K102" s="194" t="s"/>
      <c r="L102" s="194" t="s"/>
      <c r="M102" s="194" t="s"/>
      <c r="N102" s="194" t="s"/>
      <c r="O102" s="194" t="s"/>
      <c r="P102" s="194" t="s"/>
      <c r="Q102" s="194" t="s"/>
      <c r="R102" s="194" t="s"/>
      <c r="S102" s="194" t="s"/>
      <c r="T102" s="194" t="s"/>
      <c r="U102" s="194" t="s"/>
      <c r="V102" s="194" t="s"/>
      <c r="W102" s="194" t="s"/>
      <c r="X102" s="194" t="s"/>
      <c r="Y102" s="194" t="s"/>
    </row>
    <row r="103" spans="1:25" customHeight="false">
      <c r="A103" s="194" t="s"/>
      <c r="B103" s="194" t="s"/>
      <c r="C103" s="194" t="s"/>
      <c r="D103" s="194" t="s"/>
      <c r="E103" s="194" t="s"/>
      <c r="F103" s="194" t="s"/>
      <c r="G103" s="194" t="s"/>
      <c r="H103" s="194" t="s"/>
      <c r="I103" s="194" t="s"/>
      <c r="J103" s="194" t="s"/>
      <c r="K103" s="194" t="s"/>
      <c r="L103" s="194" t="s"/>
      <c r="M103" s="194" t="s"/>
      <c r="N103" s="194" t="s"/>
      <c r="O103" s="194" t="s"/>
      <c r="P103" s="194" t="s"/>
      <c r="Q103" s="194" t="s"/>
      <c r="R103" s="194" t="s"/>
      <c r="S103" s="194" t="s"/>
      <c r="T103" s="194" t="s"/>
      <c r="U103" s="194" t="s"/>
      <c r="V103" s="194" t="s"/>
      <c r="W103" s="194" t="s"/>
      <c r="X103" s="194" t="s"/>
      <c r="Y103" s="194" t="s"/>
    </row>
    <row r="104" spans="1:25" customHeight="false">
      <c r="A104" s="194" t="s"/>
      <c r="B104" s="194" t="s"/>
      <c r="C104" s="194" t="s"/>
      <c r="D104" s="194" t="s"/>
      <c r="E104" s="194" t="s"/>
      <c r="F104" s="194" t="s"/>
      <c r="G104" s="194" t="s"/>
      <c r="H104" s="194" t="s"/>
      <c r="I104" s="194" t="s"/>
      <c r="J104" s="194" t="s"/>
      <c r="K104" s="194" t="s"/>
      <c r="L104" s="194" t="s"/>
      <c r="M104" s="194" t="s"/>
      <c r="N104" s="194" t="s"/>
      <c r="O104" s="194" t="s"/>
      <c r="P104" s="194" t="s"/>
      <c r="Q104" s="194" t="s"/>
      <c r="R104" s="194" t="s"/>
      <c r="S104" s="194" t="s"/>
      <c r="T104" s="194" t="s"/>
      <c r="U104" s="194" t="s"/>
      <c r="V104" s="194" t="s"/>
      <c r="W104" s="194" t="s"/>
      <c r="X104" s="194" t="s"/>
      <c r="Y104" s="194" t="s"/>
    </row>
    <row r="105" spans="1:25" customHeight="false">
      <c r="A105" s="194" t="s"/>
      <c r="B105" s="194" t="s"/>
      <c r="C105" s="194" t="s"/>
      <c r="D105" s="194" t="s"/>
      <c r="E105" s="194" t="s"/>
      <c r="F105" s="194" t="s"/>
      <c r="G105" s="194" t="s"/>
      <c r="H105" s="194" t="s"/>
      <c r="I105" s="194" t="s"/>
      <c r="J105" s="194" t="s"/>
      <c r="K105" s="194" t="s"/>
      <c r="L105" s="194" t="s"/>
      <c r="M105" s="194" t="s"/>
      <c r="N105" s="194" t="s"/>
      <c r="O105" s="194" t="s"/>
      <c r="P105" s="194" t="s"/>
      <c r="Q105" s="194" t="s"/>
      <c r="R105" s="194" t="s"/>
      <c r="S105" s="194" t="s"/>
      <c r="T105" s="194" t="s"/>
      <c r="U105" s="194" t="s"/>
      <c r="V105" s="194" t="s"/>
      <c r="W105" s="194" t="s"/>
      <c r="X105" s="194" t="s"/>
      <c r="Y105" s="194" t="s"/>
    </row>
    <row r="106" spans="1:25" customHeight="false">
      <c r="A106" s="194" t="s"/>
      <c r="B106" s="194" t="s"/>
      <c r="C106" s="194" t="s"/>
      <c r="D106" s="194" t="s"/>
      <c r="E106" s="194" t="s"/>
      <c r="F106" s="194" t="s"/>
      <c r="G106" s="194" t="s"/>
      <c r="H106" s="194" t="s"/>
      <c r="I106" s="194" t="s"/>
      <c r="J106" s="194" t="s"/>
      <c r="K106" s="194" t="s"/>
      <c r="L106" s="194" t="s"/>
      <c r="M106" s="194" t="s"/>
      <c r="N106" s="194" t="s"/>
      <c r="O106" s="194" t="s"/>
      <c r="P106" s="194" t="s"/>
      <c r="Q106" s="194" t="s"/>
      <c r="R106" s="194" t="s"/>
      <c r="S106" s="194" t="s"/>
      <c r="T106" s="194" t="s"/>
      <c r="U106" s="194" t="s"/>
      <c r="V106" s="194" t="s"/>
      <c r="W106" s="194" t="s"/>
      <c r="X106" s="194" t="s"/>
      <c r="Y106" s="194" t="s"/>
    </row>
    <row r="107" spans="1:25" customHeight="false">
      <c r="A107" s="194" t="s"/>
      <c r="B107" s="194" t="s"/>
      <c r="C107" s="194" t="s"/>
      <c r="D107" s="194" t="s"/>
      <c r="E107" s="194" t="s"/>
      <c r="F107" s="194" t="s"/>
      <c r="G107" s="194" t="s"/>
      <c r="H107" s="194" t="s"/>
      <c r="I107" s="194" t="s"/>
      <c r="J107" s="194" t="s"/>
      <c r="K107" s="194" t="s"/>
      <c r="L107" s="194" t="s"/>
      <c r="M107" s="194" t="s"/>
      <c r="N107" s="194" t="s"/>
      <c r="O107" s="194" t="s"/>
      <c r="P107" s="194" t="s"/>
      <c r="Q107" s="194" t="s"/>
      <c r="R107" s="194" t="s"/>
      <c r="S107" s="194" t="s"/>
      <c r="T107" s="194" t="s"/>
      <c r="U107" s="194" t="s"/>
      <c r="V107" s="194" t="s"/>
      <c r="W107" s="194" t="s"/>
      <c r="X107" s="194" t="s"/>
      <c r="Y107" s="194" t="s"/>
    </row>
    <row r="108" spans="1:25" customHeight="false">
      <c r="A108" s="194" t="s"/>
      <c r="B108" s="194" t="s"/>
      <c r="C108" s="194" t="s"/>
      <c r="D108" s="194" t="s"/>
      <c r="E108" s="194" t="s"/>
      <c r="F108" s="194" t="s"/>
      <c r="G108" s="194" t="s"/>
      <c r="H108" s="194" t="s"/>
      <c r="I108" s="194" t="s"/>
      <c r="J108" s="194" t="s"/>
      <c r="K108" s="194" t="s"/>
      <c r="L108" s="194" t="s"/>
      <c r="M108" s="194" t="s"/>
      <c r="N108" s="194" t="s"/>
      <c r="O108" s="194" t="s"/>
      <c r="P108" s="194" t="s"/>
      <c r="Q108" s="194" t="s"/>
      <c r="R108" s="194" t="s"/>
      <c r="S108" s="194" t="s"/>
      <c r="T108" s="194" t="s"/>
      <c r="U108" s="194" t="s"/>
      <c r="V108" s="194" t="s"/>
      <c r="W108" s="194" t="s"/>
      <c r="X108" s="194" t="s"/>
      <c r="Y108" s="194" t="s"/>
    </row>
    <row r="109" spans="1:25" customHeight="false">
      <c r="A109" s="194" t="s"/>
      <c r="B109" s="194" t="s"/>
      <c r="C109" s="194" t="s"/>
      <c r="D109" s="194" t="s"/>
      <c r="E109" s="194" t="s"/>
      <c r="F109" s="194" t="s"/>
      <c r="G109" s="194" t="s"/>
      <c r="H109" s="194" t="s"/>
      <c r="I109" s="194" t="s"/>
      <c r="J109" s="194" t="s"/>
      <c r="K109" s="194" t="s"/>
      <c r="L109" s="194" t="s"/>
      <c r="M109" s="194" t="s"/>
      <c r="N109" s="194" t="s"/>
      <c r="O109" s="194" t="s"/>
      <c r="P109" s="194" t="s"/>
      <c r="Q109" s="194" t="s"/>
      <c r="R109" s="194" t="s"/>
      <c r="S109" s="194" t="s"/>
      <c r="T109" s="194" t="s"/>
      <c r="U109" s="194" t="s"/>
      <c r="V109" s="194" t="s"/>
      <c r="W109" s="194" t="s"/>
      <c r="X109" s="194" t="s"/>
      <c r="Y109" s="194" t="s"/>
    </row>
    <row r="110" spans="1:25" customHeight="false">
      <c r="A110" s="194" t="s"/>
      <c r="B110" s="194" t="s"/>
      <c r="C110" s="194" t="s"/>
      <c r="D110" s="194" t="s"/>
      <c r="E110" s="194" t="s"/>
      <c r="F110" s="194" t="s"/>
      <c r="G110" s="194" t="s"/>
      <c r="H110" s="194" t="s"/>
      <c r="I110" s="194" t="s"/>
      <c r="J110" s="194" t="s"/>
      <c r="K110" s="194" t="s"/>
      <c r="L110" s="194" t="s"/>
      <c r="M110" s="194" t="s"/>
      <c r="N110" s="194" t="s"/>
      <c r="O110" s="194" t="s"/>
      <c r="P110" s="194" t="s"/>
      <c r="Q110" s="194" t="s"/>
      <c r="R110" s="194" t="s"/>
      <c r="S110" s="194" t="s"/>
      <c r="T110" s="194" t="s"/>
      <c r="U110" s="194" t="s"/>
      <c r="V110" s="194" t="s"/>
      <c r="W110" s="194" t="s"/>
      <c r="X110" s="194" t="s"/>
      <c r="Y110" s="194" t="s"/>
    </row>
    <row r="111" spans="1:25" customHeight="false">
      <c r="A111" s="194" t="s"/>
      <c r="B111" s="194" t="s"/>
      <c r="C111" s="194" t="s"/>
      <c r="D111" s="194" t="s"/>
      <c r="E111" s="194" t="s"/>
      <c r="F111" s="194" t="s"/>
      <c r="G111" s="194" t="s"/>
      <c r="H111" s="194" t="s"/>
      <c r="I111" s="194" t="s"/>
      <c r="J111" s="194" t="s"/>
      <c r="K111" s="194" t="s"/>
      <c r="L111" s="194" t="s"/>
      <c r="M111" s="194" t="s"/>
      <c r="N111" s="194" t="s"/>
      <c r="O111" s="194" t="s"/>
      <c r="P111" s="194" t="s"/>
      <c r="Q111" s="194" t="s"/>
      <c r="R111" s="194" t="s"/>
      <c r="S111" s="194" t="s"/>
      <c r="T111" s="194" t="s"/>
      <c r="U111" s="194" t="s"/>
      <c r="V111" s="194" t="s"/>
      <c r="W111" s="194" t="s"/>
      <c r="X111" s="194" t="s"/>
      <c r="Y111" s="194" t="s"/>
    </row>
    <row r="112" spans="1:25" customHeight="false">
      <c r="A112" s="194" t="s"/>
      <c r="B112" s="194" t="s"/>
      <c r="C112" s="194" t="s"/>
      <c r="D112" s="194" t="s"/>
      <c r="E112" s="194" t="s"/>
      <c r="F112" s="194" t="s"/>
      <c r="G112" s="194" t="s"/>
      <c r="H112" s="194" t="s"/>
      <c r="I112" s="194" t="s"/>
      <c r="J112" s="194" t="s"/>
      <c r="K112" s="194" t="s"/>
      <c r="L112" s="194" t="s"/>
      <c r="M112" s="194" t="s"/>
      <c r="N112" s="194" t="s"/>
      <c r="O112" s="194" t="s"/>
      <c r="P112" s="194" t="s"/>
      <c r="Q112" s="194" t="s"/>
      <c r="R112" s="194" t="s"/>
      <c r="S112" s="194" t="s"/>
      <c r="T112" s="194" t="s"/>
      <c r="U112" s="194" t="s"/>
      <c r="V112" s="194" t="s"/>
      <c r="W112" s="194" t="s"/>
      <c r="X112" s="194" t="s"/>
      <c r="Y112" s="194" t="s"/>
    </row>
    <row r="113" spans="1:25" customHeight="false">
      <c r="A113" s="194" t="s"/>
      <c r="B113" s="194" t="s"/>
      <c r="C113" s="194" t="s"/>
      <c r="D113" s="194" t="s"/>
      <c r="E113" s="194" t="s"/>
      <c r="F113" s="194" t="s"/>
      <c r="G113" s="194" t="s"/>
      <c r="H113" s="194" t="s"/>
      <c r="I113" s="194" t="s"/>
      <c r="J113" s="194" t="s"/>
      <c r="K113" s="194" t="s"/>
      <c r="L113" s="194" t="s"/>
      <c r="M113" s="194" t="s"/>
      <c r="N113" s="194" t="s"/>
      <c r="O113" s="194" t="s"/>
      <c r="P113" s="194" t="s"/>
      <c r="Q113" s="194" t="s"/>
      <c r="R113" s="194" t="s"/>
      <c r="S113" s="194" t="s"/>
      <c r="T113" s="194" t="s"/>
      <c r="U113" s="194" t="s"/>
      <c r="V113" s="194" t="s"/>
      <c r="W113" s="194" t="s"/>
      <c r="X113" s="194" t="s"/>
      <c r="Y113" s="194" t="s"/>
    </row>
    <row r="114" spans="1:25" customHeight="false">
      <c r="A114" s="194" t="s"/>
      <c r="B114" s="194" t="s"/>
      <c r="C114" s="194" t="s"/>
      <c r="D114" s="194" t="s"/>
      <c r="E114" s="194" t="s"/>
      <c r="F114" s="194" t="s"/>
      <c r="G114" s="194" t="s"/>
      <c r="H114" s="194" t="s"/>
      <c r="I114" s="194" t="s"/>
      <c r="J114" s="194" t="s"/>
      <c r="K114" s="194" t="s"/>
      <c r="L114" s="194" t="s"/>
      <c r="M114" s="194" t="s"/>
      <c r="N114" s="194" t="s"/>
      <c r="O114" s="194" t="s"/>
      <c r="P114" s="194" t="s"/>
      <c r="Q114" s="194" t="s"/>
      <c r="R114" s="194" t="s"/>
      <c r="S114" s="194" t="s"/>
      <c r="T114" s="194" t="s"/>
      <c r="U114" s="194" t="s"/>
      <c r="V114" s="194" t="s"/>
      <c r="W114" s="194" t="s"/>
      <c r="X114" s="194" t="s"/>
      <c r="Y114" s="194" t="s"/>
    </row>
    <row r="115" spans="1:25" customHeight="false">
      <c r="A115" s="194" t="s"/>
      <c r="B115" s="194" t="s"/>
      <c r="C115" s="194" t="s"/>
      <c r="D115" s="194" t="s"/>
      <c r="E115" s="194" t="s"/>
      <c r="F115" s="194" t="s"/>
      <c r="G115" s="194" t="s"/>
      <c r="H115" s="194" t="s"/>
      <c r="I115" s="194" t="s"/>
      <c r="J115" s="194" t="s"/>
      <c r="K115" s="194" t="s"/>
      <c r="L115" s="194" t="s"/>
      <c r="M115" s="194" t="s"/>
      <c r="N115" s="194" t="s"/>
      <c r="O115" s="194" t="s"/>
      <c r="P115" s="194" t="s"/>
      <c r="Q115" s="194" t="s"/>
      <c r="R115" s="194" t="s"/>
      <c r="S115" s="194" t="s"/>
      <c r="T115" s="194" t="s"/>
      <c r="U115" s="194" t="s"/>
      <c r="V115" s="194" t="s"/>
      <c r="W115" s="194" t="s"/>
      <c r="X115" s="194" t="s"/>
      <c r="Y115" s="194" t="s"/>
    </row>
    <row r="116" spans="1:25" customHeight="false">
      <c r="A116" s="194" t="s"/>
      <c r="B116" s="194" t="s"/>
      <c r="C116" s="194" t="s"/>
      <c r="D116" s="194" t="s"/>
      <c r="E116" s="194" t="s"/>
      <c r="F116" s="194" t="s"/>
      <c r="G116" s="194" t="s"/>
      <c r="H116" s="194" t="s"/>
      <c r="I116" s="194" t="s"/>
      <c r="J116" s="194" t="s"/>
      <c r="K116" s="194" t="s"/>
      <c r="L116" s="194" t="s"/>
      <c r="M116" s="194" t="s"/>
      <c r="N116" s="194" t="s"/>
      <c r="O116" s="194" t="s"/>
      <c r="P116" s="194" t="s"/>
      <c r="Q116" s="194" t="s"/>
      <c r="R116" s="194" t="s"/>
      <c r="S116" s="194" t="s"/>
      <c r="T116" s="194" t="s"/>
      <c r="U116" s="194" t="s"/>
      <c r="V116" s="194" t="s"/>
      <c r="W116" s="194" t="s"/>
      <c r="X116" s="194" t="s"/>
      <c r="Y116" s="194" t="s"/>
    </row>
    <row r="117" spans="1:25" customHeight="false">
      <c r="A117" s="194" t="s"/>
      <c r="B117" s="194" t="s"/>
      <c r="C117" s="194" t="s"/>
      <c r="D117" s="194" t="s"/>
      <c r="E117" s="194" t="s"/>
      <c r="F117" s="194" t="s"/>
      <c r="G117" s="194" t="s"/>
      <c r="H117" s="194" t="s"/>
      <c r="I117" s="194" t="s"/>
      <c r="J117" s="194" t="s"/>
      <c r="K117" s="194" t="s"/>
      <c r="L117" s="194" t="s"/>
      <c r="M117" s="194" t="s"/>
      <c r="N117" s="194" t="s"/>
      <c r="O117" s="194" t="s"/>
      <c r="P117" s="194" t="s"/>
      <c r="Q117" s="194" t="s"/>
      <c r="R117" s="194" t="s"/>
      <c r="S117" s="194" t="s"/>
      <c r="T117" s="194" t="s"/>
      <c r="U117" s="194" t="s"/>
      <c r="V117" s="194" t="s"/>
      <c r="W117" s="194" t="s"/>
      <c r="X117" s="194" t="s"/>
      <c r="Y117" s="194" t="s"/>
    </row>
    <row r="118" spans="1:25" customHeight="false">
      <c r="A118" s="194" t="s"/>
      <c r="B118" s="194" t="s"/>
      <c r="C118" s="194" t="s"/>
      <c r="D118" s="194" t="s"/>
      <c r="E118" s="194" t="s"/>
      <c r="F118" s="194" t="s"/>
      <c r="G118" s="194" t="s"/>
      <c r="H118" s="194" t="s"/>
      <c r="I118" s="194" t="s"/>
      <c r="J118" s="194" t="s"/>
      <c r="K118" s="194" t="s"/>
      <c r="L118" s="194" t="s"/>
      <c r="M118" s="194" t="s"/>
      <c r="N118" s="194" t="s"/>
      <c r="O118" s="194" t="s"/>
      <c r="P118" s="194" t="s"/>
      <c r="Q118" s="194" t="s"/>
      <c r="R118" s="194" t="s"/>
      <c r="S118" s="194" t="s"/>
      <c r="T118" s="194" t="s"/>
      <c r="U118" s="194" t="s"/>
      <c r="V118" s="194" t="s"/>
      <c r="W118" s="194" t="s"/>
      <c r="X118" s="194" t="s"/>
      <c r="Y118" s="194" t="s"/>
    </row>
    <row r="119" spans="1:25" customHeight="false">
      <c r="A119" s="194" t="s"/>
      <c r="B119" s="194" t="s"/>
      <c r="C119" s="194" t="s"/>
      <c r="D119" s="194" t="s"/>
      <c r="E119" s="194" t="s"/>
      <c r="F119" s="194" t="s"/>
      <c r="G119" s="194" t="s"/>
      <c r="H119" s="194" t="s"/>
      <c r="I119" s="194" t="s"/>
      <c r="J119" s="194" t="s"/>
      <c r="K119" s="194" t="s"/>
      <c r="L119" s="194" t="s"/>
      <c r="M119" s="194" t="s"/>
      <c r="N119" s="194" t="s"/>
      <c r="O119" s="194" t="s"/>
      <c r="P119" s="194" t="s"/>
      <c r="Q119" s="194" t="s"/>
      <c r="R119" s="194" t="s"/>
      <c r="S119" s="194" t="s"/>
      <c r="T119" s="194" t="s"/>
      <c r="U119" s="194" t="s"/>
      <c r="V119" s="194" t="s"/>
      <c r="W119" s="194" t="s"/>
      <c r="X119" s="194" t="s"/>
      <c r="Y119" s="194" t="s"/>
    </row>
    <row r="120" spans="1:25" customHeight="false">
      <c r="A120" s="194" t="s"/>
      <c r="B120" s="194" t="s"/>
      <c r="C120" s="194" t="s"/>
      <c r="D120" s="194" t="s"/>
      <c r="E120" s="194" t="s"/>
      <c r="F120" s="194" t="s"/>
      <c r="G120" s="194" t="s"/>
      <c r="H120" s="194" t="s"/>
      <c r="I120" s="194" t="s"/>
      <c r="J120" s="194" t="s"/>
      <c r="K120" s="194" t="s"/>
      <c r="L120" s="194" t="s"/>
      <c r="M120" s="194" t="s"/>
      <c r="N120" s="194" t="s"/>
      <c r="O120" s="194" t="s"/>
      <c r="P120" s="194" t="s"/>
      <c r="Q120" s="194" t="s"/>
      <c r="R120" s="194" t="s"/>
      <c r="S120" s="194" t="s"/>
      <c r="T120" s="194" t="s"/>
      <c r="U120" s="194" t="s"/>
      <c r="V120" s="194" t="s"/>
      <c r="W120" s="194" t="s"/>
      <c r="X120" s="194" t="s"/>
      <c r="Y120" s="194" t="s"/>
    </row>
    <row r="121" spans="1:25" customHeight="false">
      <c r="A121" s="194" t="s"/>
      <c r="B121" s="194" t="s"/>
      <c r="C121" s="194" t="s"/>
      <c r="D121" s="194" t="s"/>
      <c r="E121" s="194" t="s"/>
      <c r="F121" s="194" t="s"/>
      <c r="G121" s="194" t="s"/>
      <c r="H121" s="194" t="s"/>
      <c r="I121" s="194" t="s"/>
      <c r="J121" s="194" t="s"/>
      <c r="K121" s="194" t="s"/>
      <c r="L121" s="194" t="s"/>
      <c r="M121" s="194" t="s"/>
      <c r="N121" s="194" t="s"/>
      <c r="O121" s="194" t="s"/>
      <c r="P121" s="194" t="s"/>
      <c r="Q121" s="194" t="s"/>
      <c r="R121" s="194" t="s"/>
      <c r="S121" s="194" t="s"/>
      <c r="T121" s="194" t="s"/>
      <c r="U121" s="194" t="s"/>
      <c r="V121" s="194" t="s"/>
      <c r="W121" s="194" t="s"/>
      <c r="X121" s="194" t="s"/>
      <c r="Y121" s="194" t="s"/>
    </row>
    <row r="122" spans="1:25" customHeight="false">
      <c r="A122" s="194" t="s"/>
      <c r="B122" s="194" t="s"/>
      <c r="C122" s="194" t="s"/>
      <c r="D122" s="194" t="s"/>
      <c r="E122" s="194" t="s"/>
      <c r="F122" s="194" t="s"/>
      <c r="G122" s="194" t="s"/>
      <c r="H122" s="194" t="s"/>
      <c r="I122" s="194" t="s"/>
      <c r="J122" s="194" t="s"/>
      <c r="K122" s="194" t="s"/>
      <c r="L122" s="194" t="s"/>
      <c r="M122" s="194" t="s"/>
      <c r="N122" s="194" t="s"/>
      <c r="O122" s="194" t="s"/>
      <c r="P122" s="194" t="s"/>
      <c r="Q122" s="194" t="s"/>
      <c r="R122" s="194" t="s"/>
      <c r="S122" s="194" t="s"/>
      <c r="T122" s="194" t="s"/>
      <c r="U122" s="194" t="s"/>
      <c r="V122" s="194" t="s"/>
      <c r="W122" s="194" t="s"/>
      <c r="X122" s="194" t="s"/>
      <c r="Y122" s="194" t="s"/>
    </row>
    <row r="123" spans="1:25" customHeight="false">
      <c r="A123" s="194" t="s"/>
      <c r="B123" s="194" t="s"/>
      <c r="C123" s="194" t="s"/>
      <c r="D123" s="194" t="s"/>
      <c r="E123" s="194" t="s"/>
      <c r="F123" s="194" t="s"/>
      <c r="G123" s="194" t="s"/>
      <c r="H123" s="194" t="s"/>
      <c r="I123" s="194" t="s"/>
      <c r="J123" s="194" t="s"/>
      <c r="K123" s="194" t="s"/>
      <c r="L123" s="194" t="s"/>
      <c r="M123" s="194" t="s"/>
      <c r="N123" s="194" t="s"/>
      <c r="O123" s="194" t="s"/>
      <c r="P123" s="194" t="s"/>
      <c r="Q123" s="194" t="s"/>
      <c r="R123" s="194" t="s"/>
      <c r="S123" s="194" t="s"/>
      <c r="T123" s="194" t="s"/>
      <c r="U123" s="194" t="s"/>
      <c r="V123" s="194" t="s"/>
      <c r="W123" s="194" t="s"/>
      <c r="X123" s="194" t="s"/>
      <c r="Y123" s="194" t="s"/>
    </row>
    <row r="124" spans="1:25" customHeight="false">
      <c r="A124" s="194" t="s"/>
      <c r="B124" s="194" t="s"/>
      <c r="C124" s="194" t="s"/>
      <c r="D124" s="194" t="s"/>
      <c r="E124" s="194" t="s"/>
      <c r="F124" s="194" t="s"/>
      <c r="G124" s="194" t="s"/>
      <c r="H124" s="194" t="s"/>
      <c r="I124" s="194" t="s"/>
      <c r="J124" s="194" t="s"/>
      <c r="K124" s="194" t="s"/>
      <c r="L124" s="194" t="s"/>
      <c r="M124" s="194" t="s"/>
      <c r="N124" s="194" t="s"/>
      <c r="O124" s="194" t="s"/>
      <c r="P124" s="194" t="s"/>
      <c r="Q124" s="194" t="s"/>
      <c r="R124" s="194" t="s"/>
      <c r="S124" s="194" t="s"/>
      <c r="T124" s="194" t="s"/>
      <c r="U124" s="194" t="s"/>
      <c r="V124" s="194" t="s"/>
      <c r="W124" s="194" t="s"/>
      <c r="X124" s="194" t="s"/>
      <c r="Y124" s="194" t="s"/>
    </row>
    <row r="125" spans="1:25" customHeight="false">
      <c r="A125" s="194" t="s"/>
      <c r="B125" s="194" t="s"/>
      <c r="C125" s="194" t="s"/>
      <c r="D125" s="194" t="s"/>
      <c r="E125" s="194" t="s"/>
      <c r="F125" s="194" t="s"/>
      <c r="G125" s="194" t="s"/>
      <c r="H125" s="194" t="s"/>
      <c r="I125" s="194" t="s"/>
      <c r="J125" s="194" t="s"/>
      <c r="K125" s="194" t="s"/>
      <c r="L125" s="194" t="s"/>
      <c r="M125" s="194" t="s"/>
      <c r="N125" s="194" t="s"/>
      <c r="O125" s="194" t="s"/>
      <c r="P125" s="194" t="s"/>
      <c r="Q125" s="194" t="s"/>
      <c r="R125" s="194" t="s"/>
      <c r="S125" s="194" t="s"/>
      <c r="T125" s="194" t="s"/>
      <c r="U125" s="194" t="s"/>
      <c r="V125" s="194" t="s"/>
      <c r="W125" s="194" t="s"/>
      <c r="X125" s="194" t="s"/>
      <c r="Y125" s="194" t="s"/>
    </row>
    <row r="126" spans="1:25" customHeight="false">
      <c r="A126" s="194" t="s"/>
      <c r="B126" s="194" t="s"/>
      <c r="C126" s="194" t="s"/>
      <c r="D126" s="194" t="s"/>
      <c r="E126" s="194" t="s"/>
      <c r="F126" s="194" t="s"/>
      <c r="G126" s="194" t="s"/>
      <c r="H126" s="194" t="s"/>
      <c r="I126" s="194" t="s"/>
      <c r="J126" s="194" t="s"/>
      <c r="K126" s="194" t="s"/>
      <c r="L126" s="194" t="s"/>
      <c r="M126" s="194" t="s"/>
      <c r="N126" s="194" t="s"/>
      <c r="O126" s="194" t="s"/>
      <c r="P126" s="194" t="s"/>
      <c r="Q126" s="194" t="s"/>
      <c r="R126" s="194" t="s"/>
      <c r="S126" s="194" t="s"/>
      <c r="T126" s="194" t="s"/>
      <c r="U126" s="194" t="s"/>
      <c r="V126" s="194" t="s"/>
      <c r="W126" s="194" t="s"/>
      <c r="X126" s="194" t="s"/>
      <c r="Y126" s="194" t="s"/>
    </row>
    <row r="127" spans="1:25" customHeight="false">
      <c r="A127" s="194" t="s"/>
      <c r="B127" s="194" t="s"/>
      <c r="C127" s="194" t="s"/>
      <c r="D127" s="194" t="s"/>
      <c r="E127" s="194" t="s"/>
      <c r="F127" s="194" t="s"/>
      <c r="G127" s="194" t="s"/>
      <c r="H127" s="194" t="s"/>
      <c r="I127" s="194" t="s"/>
      <c r="J127" s="194" t="s"/>
      <c r="K127" s="194" t="s"/>
      <c r="L127" s="194" t="s"/>
      <c r="M127" s="194" t="s"/>
      <c r="N127" s="194" t="s"/>
      <c r="O127" s="194" t="s"/>
      <c r="P127" s="194" t="s"/>
      <c r="Q127" s="194" t="s"/>
      <c r="R127" s="194" t="s"/>
      <c r="S127" s="194" t="s"/>
      <c r="T127" s="194" t="s"/>
      <c r="U127" s="194" t="s"/>
      <c r="V127" s="194" t="s"/>
      <c r="W127" s="194" t="s"/>
      <c r="X127" s="194" t="s"/>
      <c r="Y127" s="194" t="s"/>
    </row>
    <row r="128" spans="1:25" customHeight="false">
      <c r="A128" s="194" t="s"/>
      <c r="B128" s="194" t="s"/>
      <c r="C128" s="194" t="s"/>
      <c r="D128" s="194" t="s"/>
      <c r="E128" s="194" t="s"/>
      <c r="F128" s="194" t="s"/>
      <c r="G128" s="194" t="s"/>
      <c r="H128" s="194" t="s"/>
      <c r="I128" s="194" t="s"/>
      <c r="J128" s="194" t="s"/>
      <c r="K128" s="194" t="s"/>
      <c r="L128" s="194" t="s"/>
      <c r="M128" s="194" t="s"/>
      <c r="N128" s="194" t="s"/>
      <c r="O128" s="194" t="s"/>
      <c r="P128" s="194" t="s"/>
      <c r="Q128" s="194" t="s"/>
      <c r="R128" s="194" t="s"/>
      <c r="S128" s="194" t="s"/>
      <c r="T128" s="194" t="s"/>
      <c r="U128" s="194" t="s"/>
      <c r="V128" s="194" t="s"/>
      <c r="W128" s="194" t="s"/>
      <c r="X128" s="194" t="s"/>
      <c r="Y128" s="194" t="s"/>
    </row>
    <row r="129" spans="1:25" customHeight="false">
      <c r="A129" s="194" t="s"/>
      <c r="B129" s="194" t="s"/>
      <c r="C129" s="194" t="s"/>
      <c r="D129" s="194" t="s"/>
      <c r="E129" s="194" t="s"/>
      <c r="F129" s="194" t="s"/>
      <c r="G129" s="194" t="s"/>
      <c r="H129" s="194" t="s"/>
      <c r="I129" s="194" t="s"/>
      <c r="J129" s="194" t="s"/>
      <c r="K129" s="194" t="s"/>
      <c r="L129" s="194" t="s"/>
      <c r="M129" s="194" t="s"/>
      <c r="N129" s="194" t="s"/>
      <c r="O129" s="194" t="s"/>
      <c r="P129" s="194" t="s"/>
      <c r="Q129" s="194" t="s"/>
      <c r="R129" s="194" t="s"/>
      <c r="S129" s="194" t="s"/>
      <c r="T129" s="194" t="s"/>
      <c r="U129" s="194" t="s"/>
      <c r="V129" s="194" t="s"/>
      <c r="W129" s="194" t="s"/>
      <c r="X129" s="194" t="s"/>
      <c r="Y129" s="194" t="s"/>
    </row>
    <row r="130" spans="1:25" customHeight="false">
      <c r="A130" s="194" t="s"/>
      <c r="B130" s="194" t="s"/>
      <c r="C130" s="194" t="s"/>
      <c r="D130" s="194" t="s"/>
      <c r="E130" s="194" t="s"/>
      <c r="F130" s="194" t="s"/>
      <c r="G130" s="194" t="s"/>
      <c r="H130" s="194" t="s"/>
      <c r="I130" s="194" t="s"/>
      <c r="J130" s="194" t="s"/>
      <c r="K130" s="194" t="s"/>
      <c r="L130" s="194" t="s"/>
      <c r="M130" s="194" t="s"/>
      <c r="N130" s="194" t="s"/>
      <c r="O130" s="194" t="s"/>
      <c r="P130" s="194" t="s"/>
      <c r="Q130" s="194" t="s"/>
      <c r="R130" s="194" t="s"/>
      <c r="S130" s="194" t="s"/>
      <c r="T130" s="194" t="s"/>
      <c r="U130" s="194" t="s"/>
      <c r="V130" s="194" t="s"/>
      <c r="W130" s="194" t="s"/>
      <c r="X130" s="194" t="s"/>
      <c r="Y130" s="194" t="s"/>
    </row>
    <row r="131" spans="1:25" customHeight="false">
      <c r="A131" s="194" t="s"/>
      <c r="B131" s="194" t="s"/>
      <c r="C131" s="194" t="s"/>
      <c r="D131" s="194" t="s"/>
      <c r="E131" s="194" t="s"/>
      <c r="F131" s="194" t="s"/>
      <c r="G131" s="194" t="s"/>
      <c r="H131" s="194" t="s"/>
      <c r="I131" s="194" t="s"/>
      <c r="J131" s="194" t="s"/>
      <c r="K131" s="194" t="s"/>
      <c r="L131" s="194" t="s"/>
      <c r="M131" s="194" t="s"/>
      <c r="N131" s="194" t="s"/>
      <c r="O131" s="194" t="s"/>
      <c r="P131" s="194" t="s"/>
      <c r="Q131" s="194" t="s"/>
      <c r="R131" s="194" t="s"/>
      <c r="S131" s="194" t="s"/>
      <c r="T131" s="194" t="s"/>
      <c r="U131" s="194" t="s"/>
      <c r="V131" s="194" t="s"/>
      <c r="W131" s="194" t="s"/>
      <c r="X131" s="194" t="s"/>
      <c r="Y131" s="194" t="s"/>
    </row>
    <row r="132" spans="1:25" customHeight="false">
      <c r="A132" s="194" t="s"/>
      <c r="B132" s="194" t="s"/>
      <c r="C132" s="194" t="s"/>
      <c r="D132" s="194" t="s"/>
      <c r="E132" s="194" t="s"/>
      <c r="F132" s="194" t="s"/>
      <c r="G132" s="194" t="s"/>
      <c r="H132" s="194" t="s"/>
      <c r="I132" s="194" t="s"/>
      <c r="J132" s="194" t="s"/>
      <c r="K132" s="194" t="s"/>
      <c r="L132" s="194" t="s"/>
      <c r="M132" s="194" t="s"/>
      <c r="N132" s="194" t="s"/>
      <c r="O132" s="194" t="s"/>
      <c r="P132" s="194" t="s"/>
      <c r="Q132" s="194" t="s"/>
      <c r="R132" s="194" t="s"/>
      <c r="S132" s="194" t="s"/>
      <c r="T132" s="194" t="s"/>
      <c r="U132" s="194" t="s"/>
      <c r="V132" s="194" t="s"/>
      <c r="W132" s="194" t="s"/>
      <c r="X132" s="194" t="s"/>
      <c r="Y132" s="194" t="s"/>
    </row>
    <row r="133" spans="1:25" customHeight="false">
      <c r="A133" s="194" t="s"/>
      <c r="B133" s="194" t="s"/>
      <c r="C133" s="194" t="s"/>
      <c r="D133" s="194" t="s"/>
      <c r="E133" s="194" t="s"/>
      <c r="F133" s="194" t="s"/>
      <c r="G133" s="194" t="s"/>
      <c r="H133" s="194" t="s"/>
      <c r="I133" s="194" t="s"/>
      <c r="J133" s="194" t="s"/>
      <c r="K133" s="194" t="s"/>
      <c r="L133" s="194" t="s"/>
      <c r="M133" s="194" t="s"/>
      <c r="N133" s="194" t="s"/>
      <c r="O133" s="194" t="s"/>
      <c r="P133" s="194" t="s"/>
      <c r="Q133" s="194" t="s"/>
      <c r="R133" s="194" t="s"/>
      <c r="S133" s="194" t="s"/>
      <c r="T133" s="194" t="s"/>
      <c r="U133" s="194" t="s"/>
      <c r="V133" s="194" t="s"/>
      <c r="W133" s="194" t="s"/>
      <c r="X133" s="194" t="s"/>
      <c r="Y133" s="194" t="s"/>
    </row>
    <row r="134" spans="1:25" customHeight="false">
      <c r="A134" s="194" t="s"/>
      <c r="B134" s="194" t="s"/>
      <c r="C134" s="194" t="s"/>
      <c r="D134" s="194" t="s"/>
      <c r="E134" s="194" t="s"/>
      <c r="F134" s="194" t="s"/>
      <c r="G134" s="194" t="s"/>
      <c r="H134" s="194" t="s"/>
      <c r="I134" s="194" t="s"/>
      <c r="J134" s="194" t="s"/>
      <c r="K134" s="194" t="s"/>
      <c r="L134" s="194" t="s"/>
      <c r="M134" s="194" t="s"/>
      <c r="N134" s="194" t="s"/>
      <c r="O134" s="194" t="s"/>
      <c r="P134" s="194" t="s"/>
      <c r="Q134" s="194" t="s"/>
      <c r="R134" s="194" t="s"/>
      <c r="S134" s="194" t="s"/>
      <c r="T134" s="194" t="s"/>
      <c r="U134" s="194" t="s"/>
      <c r="V134" s="194" t="s"/>
      <c r="W134" s="194" t="s"/>
      <c r="X134" s="194" t="s"/>
      <c r="Y134" s="194" t="s"/>
    </row>
    <row r="135" spans="1:25" customHeight="false">
      <c r="A135" s="194" t="s"/>
      <c r="B135" s="194" t="s"/>
      <c r="C135" s="194" t="s"/>
      <c r="D135" s="194" t="s"/>
      <c r="E135" s="194" t="s"/>
      <c r="F135" s="194" t="s"/>
      <c r="G135" s="194" t="s"/>
      <c r="H135" s="194" t="s"/>
      <c r="I135" s="194" t="s"/>
      <c r="J135" s="194" t="s"/>
      <c r="K135" s="194" t="s"/>
      <c r="L135" s="194" t="s"/>
      <c r="M135" s="194" t="s"/>
      <c r="N135" s="194" t="s"/>
      <c r="O135" s="194" t="s"/>
      <c r="P135" s="194" t="s"/>
      <c r="Q135" s="194" t="s"/>
      <c r="R135" s="194" t="s"/>
      <c r="S135" s="194" t="s"/>
      <c r="T135" s="194" t="s"/>
      <c r="U135" s="194" t="s"/>
      <c r="V135" s="194" t="s"/>
      <c r="W135" s="194" t="s"/>
      <c r="X135" s="194" t="s"/>
      <c r="Y135" s="194" t="s"/>
    </row>
    <row r="136" spans="1:25" customHeight="false">
      <c r="A136" s="194" t="s"/>
      <c r="B136" s="194" t="s"/>
      <c r="C136" s="194" t="s"/>
      <c r="D136" s="194" t="s"/>
      <c r="E136" s="194" t="s"/>
      <c r="F136" s="194" t="s"/>
      <c r="G136" s="194" t="s"/>
      <c r="H136" s="194" t="s"/>
      <c r="I136" s="194" t="s"/>
      <c r="J136" s="194" t="s"/>
      <c r="K136" s="194" t="s"/>
      <c r="L136" s="194" t="s"/>
      <c r="M136" s="194" t="s"/>
      <c r="N136" s="194" t="s"/>
      <c r="O136" s="194" t="s"/>
      <c r="P136" s="194" t="s"/>
      <c r="Q136" s="194" t="s"/>
      <c r="R136" s="194" t="s"/>
      <c r="S136" s="194" t="s"/>
      <c r="T136" s="194" t="s"/>
      <c r="U136" s="194" t="s"/>
      <c r="V136" s="194" t="s"/>
      <c r="W136" s="194" t="s"/>
      <c r="X136" s="194" t="s"/>
      <c r="Y136" s="194" t="s"/>
    </row>
    <row r="137" spans="1:25" customHeight="false">
      <c r="A137" s="194" t="s"/>
      <c r="B137" s="194" t="s"/>
      <c r="C137" s="194" t="s"/>
      <c r="D137" s="194" t="s"/>
      <c r="E137" s="194" t="s"/>
      <c r="F137" s="194" t="s"/>
      <c r="G137" s="194" t="s"/>
      <c r="H137" s="194" t="s"/>
      <c r="I137" s="194" t="s"/>
      <c r="J137" s="194" t="s"/>
      <c r="K137" s="194" t="s"/>
      <c r="L137" s="194" t="s"/>
      <c r="M137" s="194" t="s"/>
      <c r="N137" s="194" t="s"/>
      <c r="O137" s="194" t="s"/>
      <c r="P137" s="194" t="s"/>
      <c r="Q137" s="194" t="s"/>
      <c r="R137" s="194" t="s"/>
      <c r="S137" s="194" t="s"/>
      <c r="T137" s="194" t="s"/>
      <c r="U137" s="194" t="s"/>
      <c r="V137" s="194" t="s"/>
      <c r="W137" s="194" t="s"/>
      <c r="X137" s="194" t="s"/>
      <c r="Y137" s="194" t="s"/>
    </row>
    <row r="138" spans="1:25" customHeight="false">
      <c r="A138" s="194" t="s"/>
      <c r="B138" s="194" t="s"/>
      <c r="C138" s="194" t="s"/>
      <c r="D138" s="194" t="s"/>
      <c r="E138" s="194" t="s"/>
      <c r="F138" s="194" t="s"/>
      <c r="G138" s="194" t="s"/>
      <c r="H138" s="194" t="s"/>
      <c r="I138" s="194" t="s"/>
      <c r="J138" s="194" t="s"/>
      <c r="K138" s="194" t="s"/>
      <c r="L138" s="194" t="s"/>
      <c r="M138" s="194" t="s"/>
      <c r="N138" s="194" t="s"/>
      <c r="O138" s="194" t="s"/>
      <c r="P138" s="194" t="s"/>
      <c r="Q138" s="194" t="s"/>
      <c r="R138" s="194" t="s"/>
      <c r="S138" s="194" t="s"/>
      <c r="T138" s="194" t="s"/>
      <c r="U138" s="194" t="s"/>
      <c r="V138" s="194" t="s"/>
      <c r="W138" s="194" t="s"/>
      <c r="X138" s="194" t="s"/>
      <c r="Y138" s="194" t="s"/>
    </row>
    <row r="139" spans="1:25" customHeight="false">
      <c r="A139" s="194" t="s"/>
      <c r="B139" s="194" t="s"/>
      <c r="C139" s="194" t="s"/>
      <c r="D139" s="194" t="s"/>
      <c r="E139" s="194" t="s"/>
      <c r="F139" s="194" t="s"/>
      <c r="G139" s="194" t="s"/>
      <c r="H139" s="194" t="s"/>
      <c r="I139" s="194" t="s"/>
      <c r="J139" s="194" t="s"/>
      <c r="K139" s="194" t="s"/>
      <c r="L139" s="194" t="s"/>
      <c r="M139" s="194" t="s"/>
      <c r="N139" s="194" t="s"/>
      <c r="O139" s="194" t="s"/>
      <c r="P139" s="194" t="s"/>
      <c r="Q139" s="194" t="s"/>
      <c r="R139" s="194" t="s"/>
      <c r="S139" s="194" t="s"/>
      <c r="T139" s="194" t="s"/>
      <c r="U139" s="194" t="s"/>
      <c r="V139" s="194" t="s"/>
      <c r="W139" s="194" t="s"/>
      <c r="X139" s="194" t="s"/>
      <c r="Y139" s="194" t="s"/>
    </row>
    <row r="140" spans="1:25" customHeight="false">
      <c r="A140" s="194" t="s"/>
      <c r="B140" s="194" t="s"/>
      <c r="C140" s="194" t="s"/>
      <c r="D140" s="194" t="s"/>
      <c r="E140" s="194" t="s"/>
      <c r="F140" s="194" t="s"/>
      <c r="G140" s="194" t="s"/>
      <c r="H140" s="194" t="s"/>
      <c r="I140" s="194" t="s"/>
      <c r="J140" s="194" t="s"/>
      <c r="K140" s="194" t="s"/>
      <c r="L140" s="194" t="s"/>
      <c r="M140" s="194" t="s"/>
      <c r="N140" s="194" t="s"/>
      <c r="O140" s="194" t="s"/>
      <c r="P140" s="194" t="s"/>
      <c r="Q140" s="194" t="s"/>
      <c r="R140" s="194" t="s"/>
      <c r="S140" s="194" t="s"/>
      <c r="T140" s="194" t="s"/>
      <c r="U140" s="194" t="s"/>
      <c r="V140" s="194" t="s"/>
      <c r="W140" s="194" t="s"/>
      <c r="X140" s="194" t="s"/>
      <c r="Y140" s="194" t="s"/>
    </row>
    <row r="141" spans="1:25" customHeight="false">
      <c r="A141" s="194" t="s"/>
      <c r="B141" s="194" t="s"/>
      <c r="C141" s="194" t="s"/>
      <c r="D141" s="194" t="s"/>
      <c r="E141" s="194" t="s"/>
      <c r="F141" s="194" t="s"/>
      <c r="G141" s="194" t="s"/>
      <c r="H141" s="194" t="s"/>
      <c r="I141" s="194" t="s"/>
      <c r="J141" s="194" t="s"/>
      <c r="K141" s="194" t="s"/>
      <c r="L141" s="194" t="s"/>
      <c r="M141" s="194" t="s"/>
      <c r="N141" s="194" t="s"/>
      <c r="O141" s="194" t="s"/>
      <c r="P141" s="194" t="s"/>
      <c r="Q141" s="194" t="s"/>
      <c r="R141" s="194" t="s"/>
      <c r="S141" s="194" t="s"/>
      <c r="T141" s="194" t="s"/>
      <c r="U141" s="194" t="s"/>
      <c r="V141" s="194" t="s"/>
      <c r="W141" s="194" t="s"/>
      <c r="X141" s="194" t="s"/>
      <c r="Y141" s="194" t="s"/>
    </row>
    <row r="142" spans="1:25" customHeight="false">
      <c r="A142" s="194" t="s"/>
      <c r="B142" s="194" t="s"/>
      <c r="C142" s="194" t="s"/>
      <c r="D142" s="194" t="s"/>
      <c r="E142" s="194" t="s"/>
      <c r="F142" s="194" t="s"/>
      <c r="G142" s="194" t="s"/>
      <c r="H142" s="194" t="s"/>
      <c r="I142" s="194" t="s"/>
      <c r="J142" s="194" t="s"/>
      <c r="K142" s="194" t="s"/>
      <c r="L142" s="194" t="s"/>
      <c r="M142" s="194" t="s"/>
      <c r="N142" s="194" t="s"/>
      <c r="O142" s="194" t="s"/>
      <c r="P142" s="194" t="s"/>
      <c r="Q142" s="194" t="s"/>
      <c r="R142" s="194" t="s"/>
      <c r="S142" s="194" t="s"/>
      <c r="T142" s="194" t="s"/>
      <c r="U142" s="194" t="s"/>
      <c r="V142" s="194" t="s"/>
      <c r="W142" s="194" t="s"/>
      <c r="X142" s="194" t="s"/>
      <c r="Y142" s="194" t="s"/>
    </row>
    <row r="143" spans="1:25" customHeight="false">
      <c r="A143" s="194" t="s"/>
      <c r="B143" s="194" t="s"/>
      <c r="C143" s="194" t="s"/>
      <c r="D143" s="194" t="s"/>
      <c r="E143" s="194" t="s"/>
      <c r="F143" s="194" t="s"/>
      <c r="G143" s="194" t="s"/>
      <c r="H143" s="194" t="s"/>
      <c r="I143" s="194" t="s"/>
      <c r="J143" s="194" t="s"/>
      <c r="K143" s="194" t="s"/>
      <c r="L143" s="194" t="s"/>
      <c r="M143" s="194" t="s"/>
      <c r="N143" s="194" t="s"/>
      <c r="O143" s="194" t="s"/>
      <c r="P143" s="194" t="s"/>
      <c r="Q143" s="194" t="s"/>
      <c r="R143" s="194" t="s"/>
      <c r="S143" s="194" t="s"/>
      <c r="T143" s="194" t="s"/>
      <c r="U143" s="194" t="s"/>
      <c r="V143" s="194" t="s"/>
      <c r="W143" s="194" t="s"/>
      <c r="X143" s="194" t="s"/>
      <c r="Y143" s="194" t="s"/>
    </row>
    <row r="144" spans="1:25" customHeight="false">
      <c r="A144" s="194" t="s"/>
      <c r="B144" s="194" t="s"/>
      <c r="C144" s="194" t="s"/>
      <c r="D144" s="194" t="s"/>
      <c r="E144" s="194" t="s"/>
      <c r="F144" s="194" t="s"/>
      <c r="G144" s="194" t="s"/>
      <c r="H144" s="194" t="s"/>
      <c r="I144" s="194" t="s"/>
      <c r="J144" s="194" t="s"/>
      <c r="K144" s="194" t="s"/>
      <c r="L144" s="194" t="s"/>
      <c r="M144" s="194" t="s"/>
      <c r="N144" s="194" t="s"/>
      <c r="O144" s="194" t="s"/>
      <c r="P144" s="194" t="s"/>
      <c r="Q144" s="194" t="s"/>
      <c r="R144" s="194" t="s"/>
      <c r="S144" s="194" t="s"/>
      <c r="T144" s="194" t="s"/>
      <c r="U144" s="194" t="s"/>
      <c r="V144" s="194" t="s"/>
      <c r="W144" s="194" t="s"/>
      <c r="X144" s="194" t="s"/>
      <c r="Y144" s="194" t="s"/>
    </row>
    <row r="145" spans="1:25" customHeight="false">
      <c r="A145" s="194" t="s"/>
      <c r="B145" s="194" t="s"/>
      <c r="C145" s="194" t="s"/>
      <c r="D145" s="194" t="s"/>
      <c r="E145" s="194" t="s"/>
      <c r="F145" s="194" t="s"/>
      <c r="G145" s="194" t="s"/>
      <c r="H145" s="194" t="s"/>
      <c r="I145" s="194" t="s"/>
      <c r="J145" s="194" t="s"/>
      <c r="K145" s="194" t="s"/>
      <c r="L145" s="194" t="s"/>
      <c r="M145" s="194" t="s"/>
      <c r="N145" s="194" t="s"/>
      <c r="O145" s="194" t="s"/>
      <c r="P145" s="194" t="s"/>
      <c r="Q145" s="194" t="s"/>
      <c r="R145" s="194" t="s"/>
      <c r="S145" s="194" t="s"/>
      <c r="T145" s="194" t="s"/>
      <c r="U145" s="194" t="s"/>
      <c r="V145" s="194" t="s"/>
      <c r="W145" s="194" t="s"/>
      <c r="X145" s="194" t="s"/>
      <c r="Y145" s="194" t="s"/>
    </row>
    <row r="146" spans="1:25" customHeight="false">
      <c r="A146" s="194" t="s"/>
      <c r="B146" s="194" t="s"/>
      <c r="C146" s="194" t="s"/>
      <c r="D146" s="194" t="s"/>
      <c r="E146" s="194" t="s"/>
      <c r="F146" s="194" t="s"/>
      <c r="G146" s="194" t="s"/>
      <c r="H146" s="194" t="s"/>
      <c r="I146" s="194" t="s"/>
      <c r="J146" s="194" t="s"/>
      <c r="K146" s="194" t="s"/>
      <c r="L146" s="194" t="s"/>
      <c r="M146" s="194" t="s"/>
      <c r="N146" s="194" t="s"/>
      <c r="O146" s="194" t="s"/>
      <c r="P146" s="194" t="s"/>
      <c r="Q146" s="194" t="s"/>
      <c r="R146" s="194" t="s"/>
      <c r="S146" s="194" t="s"/>
      <c r="T146" s="194" t="s"/>
      <c r="U146" s="194" t="s"/>
      <c r="V146" s="194" t="s"/>
      <c r="W146" s="194" t="s"/>
      <c r="X146" s="194" t="s"/>
      <c r="Y146" s="194" t="s"/>
    </row>
    <row r="147" spans="1:25" customHeight="false">
      <c r="A147" s="194" t="s"/>
      <c r="B147" s="194" t="s"/>
      <c r="C147" s="194" t="s"/>
      <c r="D147" s="194" t="s"/>
      <c r="E147" s="194" t="s"/>
      <c r="F147" s="194" t="s"/>
      <c r="G147" s="194" t="s"/>
      <c r="H147" s="194" t="s"/>
      <c r="I147" s="194" t="s"/>
      <c r="J147" s="194" t="s"/>
      <c r="K147" s="194" t="s"/>
      <c r="L147" s="194" t="s"/>
      <c r="M147" s="194" t="s"/>
      <c r="N147" s="194" t="s"/>
      <c r="O147" s="194" t="s"/>
      <c r="P147" s="194" t="s"/>
      <c r="Q147" s="194" t="s"/>
      <c r="R147" s="194" t="s"/>
      <c r="S147" s="194" t="s"/>
      <c r="T147" s="194" t="s"/>
      <c r="U147" s="194" t="s"/>
      <c r="V147" s="194" t="s"/>
      <c r="W147" s="194" t="s"/>
      <c r="X147" s="194" t="s"/>
      <c r="Y147" s="194" t="s"/>
    </row>
    <row r="148" spans="1:25" customHeight="false">
      <c r="A148" s="194" t="s"/>
      <c r="B148" s="194" t="s"/>
      <c r="C148" s="194" t="s"/>
      <c r="D148" s="194" t="s"/>
      <c r="E148" s="194" t="s"/>
      <c r="F148" s="194" t="s"/>
      <c r="G148" s="194" t="s"/>
      <c r="H148" s="194" t="s"/>
      <c r="I148" s="194" t="s"/>
      <c r="J148" s="194" t="s"/>
      <c r="K148" s="194" t="s"/>
      <c r="L148" s="194" t="s"/>
      <c r="M148" s="194" t="s"/>
      <c r="N148" s="194" t="s"/>
      <c r="O148" s="194" t="s"/>
      <c r="P148" s="194" t="s"/>
      <c r="Q148" s="194" t="s"/>
      <c r="R148" s="194" t="s"/>
      <c r="S148" s="194" t="s"/>
      <c r="T148" s="194" t="s"/>
      <c r="U148" s="194" t="s"/>
      <c r="V148" s="194" t="s"/>
      <c r="W148" s="194" t="s"/>
      <c r="X148" s="194" t="s"/>
      <c r="Y148" s="194" t="s"/>
    </row>
    <row r="149" spans="1:25" customHeight="false">
      <c r="A149" s="194" t="s"/>
      <c r="B149" s="194" t="s"/>
      <c r="C149" s="194" t="s"/>
      <c r="D149" s="194" t="s"/>
      <c r="E149" s="194" t="s"/>
      <c r="F149" s="194" t="s"/>
      <c r="G149" s="194" t="s"/>
      <c r="H149" s="194" t="s"/>
      <c r="I149" s="194" t="s"/>
      <c r="J149" s="194" t="s"/>
      <c r="K149" s="194" t="s"/>
      <c r="L149" s="194" t="s"/>
      <c r="M149" s="194" t="s"/>
      <c r="N149" s="194" t="s"/>
      <c r="O149" s="194" t="s"/>
      <c r="P149" s="194" t="s"/>
      <c r="Q149" s="194" t="s"/>
      <c r="R149" s="194" t="s"/>
      <c r="S149" s="194" t="s"/>
      <c r="T149" s="194" t="s"/>
      <c r="U149" s="194" t="s"/>
      <c r="V149" s="194" t="s"/>
      <c r="W149" s="194" t="s"/>
      <c r="X149" s="194" t="s"/>
      <c r="Y149" s="194" t="s"/>
    </row>
    <row r="150" spans="1:25" customHeight="false">
      <c r="A150" s="194" t="s"/>
      <c r="B150" s="194" t="s"/>
      <c r="C150" s="194" t="s"/>
      <c r="D150" s="194" t="s"/>
      <c r="E150" s="194" t="s"/>
      <c r="F150" s="194" t="s"/>
      <c r="G150" s="194" t="s"/>
      <c r="H150" s="194" t="s"/>
      <c r="I150" s="194" t="s"/>
      <c r="J150" s="194" t="s"/>
      <c r="K150" s="194" t="s"/>
      <c r="L150" s="194" t="s"/>
      <c r="M150" s="194" t="s"/>
      <c r="N150" s="194" t="s"/>
      <c r="O150" s="194" t="s"/>
      <c r="P150" s="194" t="s"/>
      <c r="Q150" s="194" t="s"/>
      <c r="R150" s="194" t="s"/>
      <c r="S150" s="194" t="s"/>
      <c r="T150" s="194" t="s"/>
      <c r="U150" s="194" t="s"/>
      <c r="V150" s="194" t="s"/>
      <c r="W150" s="194" t="s"/>
      <c r="X150" s="194" t="s"/>
      <c r="Y150" s="194" t="s"/>
    </row>
    <row r="151" spans="1:25" customHeight="false">
      <c r="A151" s="194" t="s"/>
      <c r="B151" s="194" t="s"/>
      <c r="C151" s="194" t="s"/>
      <c r="D151" s="194" t="s"/>
      <c r="E151" s="194" t="s"/>
      <c r="F151" s="194" t="s"/>
      <c r="G151" s="194" t="s"/>
      <c r="H151" s="194" t="s"/>
      <c r="I151" s="194" t="s"/>
      <c r="J151" s="194" t="s"/>
      <c r="K151" s="194" t="s"/>
      <c r="L151" s="194" t="s"/>
      <c r="M151" s="194" t="s"/>
      <c r="N151" s="194" t="s"/>
      <c r="O151" s="194" t="s"/>
      <c r="P151" s="194" t="s"/>
      <c r="Q151" s="194" t="s"/>
      <c r="R151" s="194" t="s"/>
      <c r="S151" s="194" t="s"/>
      <c r="T151" s="194" t="s"/>
      <c r="U151" s="194" t="s"/>
      <c r="V151" s="194" t="s"/>
      <c r="W151" s="194" t="s"/>
      <c r="X151" s="194" t="s"/>
      <c r="Y151" s="194" t="s"/>
    </row>
    <row r="152" spans="1:25" customHeight="false">
      <c r="A152" s="194" t="s"/>
      <c r="B152" s="194" t="s"/>
      <c r="C152" s="194" t="s"/>
      <c r="D152" s="194" t="s"/>
      <c r="E152" s="194" t="s"/>
      <c r="F152" s="194" t="s"/>
      <c r="G152" s="194" t="s"/>
      <c r="H152" s="194" t="s"/>
      <c r="I152" s="194" t="s"/>
      <c r="J152" s="194" t="s"/>
      <c r="K152" s="194" t="s"/>
      <c r="L152" s="194" t="s"/>
      <c r="M152" s="194" t="s"/>
      <c r="N152" s="194" t="s"/>
      <c r="O152" s="194" t="s"/>
      <c r="P152" s="194" t="s"/>
      <c r="Q152" s="194" t="s"/>
      <c r="R152" s="194" t="s"/>
      <c r="S152" s="194" t="s"/>
      <c r="T152" s="194" t="s"/>
      <c r="U152" s="194" t="s"/>
      <c r="V152" s="194" t="s"/>
      <c r="W152" s="194" t="s"/>
      <c r="X152" s="194" t="s"/>
      <c r="Y152" s="194" t="s"/>
    </row>
    <row r="153" spans="1:25" customHeight="false">
      <c r="A153" s="194" t="s"/>
      <c r="B153" s="194" t="s"/>
      <c r="C153" s="194" t="s"/>
      <c r="D153" s="194" t="s"/>
      <c r="E153" s="194" t="s"/>
      <c r="F153" s="194" t="s"/>
      <c r="G153" s="194" t="s"/>
      <c r="H153" s="194" t="s"/>
      <c r="I153" s="194" t="s"/>
      <c r="J153" s="194" t="s"/>
      <c r="K153" s="194" t="s"/>
      <c r="L153" s="194" t="s"/>
      <c r="M153" s="194" t="s"/>
      <c r="N153" s="194" t="s"/>
      <c r="O153" s="194" t="s"/>
      <c r="P153" s="194" t="s"/>
      <c r="Q153" s="194" t="s"/>
      <c r="R153" s="194" t="s"/>
      <c r="S153" s="194" t="s"/>
      <c r="T153" s="194" t="s"/>
      <c r="U153" s="194" t="s"/>
      <c r="V153" s="194" t="s"/>
      <c r="W153" s="194" t="s"/>
      <c r="X153" s="194" t="s"/>
      <c r="Y153" s="194" t="s"/>
    </row>
    <row r="154" spans="1:25" customHeight="false">
      <c r="A154" s="194" t="s"/>
      <c r="B154" s="194" t="s"/>
      <c r="C154" s="194" t="s"/>
      <c r="D154" s="194" t="s"/>
      <c r="E154" s="194" t="s"/>
      <c r="F154" s="194" t="s"/>
      <c r="G154" s="194" t="s"/>
      <c r="H154" s="194" t="s"/>
      <c r="I154" s="194" t="s"/>
      <c r="J154" s="194" t="s"/>
      <c r="K154" s="194" t="s"/>
      <c r="L154" s="194" t="s"/>
      <c r="M154" s="194" t="s"/>
      <c r="N154" s="194" t="s"/>
      <c r="O154" s="194" t="s"/>
      <c r="P154" s="194" t="s"/>
      <c r="Q154" s="194" t="s"/>
      <c r="R154" s="194" t="s"/>
      <c r="S154" s="194" t="s"/>
      <c r="T154" s="194" t="s"/>
      <c r="U154" s="194" t="s"/>
      <c r="V154" s="194" t="s"/>
      <c r="W154" s="194" t="s"/>
      <c r="X154" s="194" t="s"/>
      <c r="Y154" s="194" t="s"/>
    </row>
    <row r="155" spans="1:25" customHeight="false">
      <c r="A155" s="194" t="s"/>
      <c r="B155" s="194" t="s"/>
      <c r="C155" s="194" t="s"/>
      <c r="D155" s="194" t="s"/>
      <c r="E155" s="194" t="s"/>
      <c r="F155" s="194" t="s"/>
      <c r="G155" s="194" t="s"/>
      <c r="H155" s="194" t="s"/>
      <c r="I155" s="194" t="s"/>
      <c r="J155" s="194" t="s"/>
      <c r="K155" s="194" t="s"/>
      <c r="L155" s="194" t="s"/>
      <c r="M155" s="194" t="s"/>
      <c r="N155" s="194" t="s"/>
      <c r="O155" s="194" t="s"/>
      <c r="P155" s="194" t="s"/>
      <c r="Q155" s="194" t="s"/>
      <c r="R155" s="194" t="s"/>
      <c r="S155" s="194" t="s"/>
      <c r="T155" s="194" t="s"/>
      <c r="U155" s="194" t="s"/>
      <c r="V155" s="194" t="s"/>
      <c r="W155" s="194" t="s"/>
      <c r="X155" s="194" t="s"/>
      <c r="Y155" s="194" t="s"/>
    </row>
    <row r="156" spans="1:25" customHeight="false">
      <c r="A156" s="194" t="s"/>
      <c r="B156" s="194" t="s"/>
      <c r="C156" s="194" t="s"/>
      <c r="D156" s="194" t="s"/>
      <c r="E156" s="194" t="s"/>
      <c r="F156" s="194" t="s"/>
      <c r="G156" s="194" t="s"/>
      <c r="H156" s="194" t="s"/>
      <c r="I156" s="194" t="s"/>
      <c r="J156" s="194" t="s"/>
      <c r="K156" s="194" t="s"/>
      <c r="L156" s="194" t="s"/>
      <c r="M156" s="194" t="s"/>
      <c r="N156" s="194" t="s"/>
      <c r="O156" s="194" t="s"/>
      <c r="P156" s="194" t="s"/>
      <c r="Q156" s="194" t="s"/>
      <c r="R156" s="194" t="s"/>
      <c r="S156" s="194" t="s"/>
      <c r="T156" s="194" t="s"/>
      <c r="U156" s="194" t="s"/>
      <c r="V156" s="194" t="s"/>
      <c r="W156" s="194" t="s"/>
      <c r="X156" s="194" t="s"/>
      <c r="Y156" s="194" t="s"/>
    </row>
    <row r="157" spans="1:25" customHeight="false">
      <c r="A157" s="194" t="s"/>
      <c r="B157" s="194" t="s"/>
      <c r="C157" s="194" t="s"/>
      <c r="D157" s="194" t="s"/>
      <c r="E157" s="194" t="s"/>
      <c r="F157" s="194" t="s"/>
      <c r="G157" s="194" t="s"/>
      <c r="H157" s="194" t="s"/>
      <c r="I157" s="194" t="s"/>
      <c r="J157" s="194" t="s"/>
      <c r="K157" s="194" t="s"/>
      <c r="L157" s="194" t="s"/>
      <c r="M157" s="194" t="s"/>
      <c r="N157" s="194" t="s"/>
      <c r="O157" s="194" t="s"/>
      <c r="P157" s="194" t="s"/>
      <c r="Q157" s="194" t="s"/>
      <c r="R157" s="194" t="s"/>
      <c r="S157" s="194" t="s"/>
      <c r="T157" s="194" t="s"/>
      <c r="U157" s="194" t="s"/>
      <c r="V157" s="194" t="s"/>
      <c r="W157" s="194" t="s"/>
      <c r="X157" s="194" t="s"/>
      <c r="Y157" s="194" t="s"/>
    </row>
    <row r="158" spans="1:25" customHeight="false">
      <c r="A158" s="194" t="s"/>
      <c r="B158" s="194" t="s"/>
      <c r="C158" s="194" t="s"/>
      <c r="D158" s="194" t="s"/>
      <c r="E158" s="194" t="s"/>
      <c r="F158" s="194" t="s"/>
      <c r="G158" s="194" t="s"/>
      <c r="H158" s="194" t="s"/>
      <c r="I158" s="194" t="s"/>
      <c r="J158" s="194" t="s"/>
      <c r="K158" s="194" t="s"/>
      <c r="L158" s="194" t="s"/>
      <c r="M158" s="194" t="s"/>
      <c r="N158" s="194" t="s"/>
      <c r="O158" s="194" t="s"/>
      <c r="P158" s="194" t="s"/>
      <c r="Q158" s="194" t="s"/>
      <c r="R158" s="194" t="s"/>
      <c r="S158" s="194" t="s"/>
      <c r="T158" s="194" t="s"/>
      <c r="U158" s="194" t="s"/>
      <c r="V158" s="194" t="s"/>
      <c r="W158" s="194" t="s"/>
      <c r="X158" s="194" t="s"/>
      <c r="Y158" s="194" t="s"/>
    </row>
    <row r="159" spans="1:25" customHeight="false">
      <c r="A159" s="194" t="s"/>
      <c r="B159" s="194" t="s"/>
      <c r="C159" s="194" t="s"/>
      <c r="D159" s="194" t="s"/>
      <c r="E159" s="194" t="s"/>
      <c r="F159" s="194" t="s"/>
      <c r="G159" s="194" t="s"/>
      <c r="H159" s="194" t="s"/>
      <c r="I159" s="194" t="s"/>
      <c r="J159" s="194" t="s"/>
      <c r="K159" s="194" t="s"/>
      <c r="L159" s="194" t="s"/>
      <c r="M159" s="194" t="s"/>
      <c r="N159" s="194" t="s"/>
      <c r="O159" s="194" t="s"/>
      <c r="P159" s="194" t="s"/>
      <c r="Q159" s="194" t="s"/>
      <c r="R159" s="194" t="s"/>
      <c r="S159" s="194" t="s"/>
      <c r="T159" s="194" t="s"/>
      <c r="U159" s="194" t="s"/>
      <c r="V159" s="194" t="s"/>
      <c r="W159" s="194" t="s"/>
      <c r="X159" s="194" t="s"/>
      <c r="Y159" s="194" t="s"/>
    </row>
    <row r="160" spans="1:25" customHeight="false">
      <c r="A160" s="194" t="s"/>
      <c r="B160" s="194" t="s"/>
      <c r="C160" s="194" t="s"/>
      <c r="D160" s="194" t="s"/>
      <c r="E160" s="194" t="s"/>
      <c r="F160" s="194" t="s"/>
      <c r="G160" s="194" t="s"/>
      <c r="H160" s="194" t="s"/>
      <c r="I160" s="194" t="s"/>
      <c r="J160" s="194" t="s"/>
      <c r="K160" s="194" t="s"/>
      <c r="L160" s="194" t="s"/>
      <c r="M160" s="194" t="s"/>
      <c r="N160" s="194" t="s"/>
      <c r="O160" s="194" t="s"/>
      <c r="P160" s="194" t="s"/>
      <c r="Q160" s="194" t="s"/>
      <c r="R160" s="194" t="s"/>
      <c r="S160" s="194" t="s"/>
      <c r="T160" s="194" t="s"/>
      <c r="U160" s="194" t="s"/>
      <c r="V160" s="194" t="s"/>
      <c r="W160" s="194" t="s"/>
      <c r="X160" s="194" t="s"/>
      <c r="Y160" s="194" t="s"/>
    </row>
    <row r="161" spans="1:25" customHeight="false">
      <c r="A161" s="194" t="s"/>
      <c r="B161" s="194" t="s"/>
      <c r="C161" s="194" t="s"/>
      <c r="D161" s="194" t="s"/>
      <c r="E161" s="194" t="s"/>
      <c r="F161" s="194" t="s"/>
      <c r="G161" s="194" t="s"/>
      <c r="H161" s="194" t="s"/>
      <c r="I161" s="194" t="s"/>
      <c r="J161" s="194" t="s"/>
      <c r="K161" s="194" t="s"/>
      <c r="L161" s="194" t="s"/>
      <c r="M161" s="194" t="s"/>
      <c r="N161" s="194" t="s"/>
      <c r="O161" s="194" t="s"/>
      <c r="P161" s="194" t="s"/>
      <c r="Q161" s="194" t="s"/>
      <c r="R161" s="194" t="s"/>
      <c r="S161" s="194" t="s"/>
      <c r="T161" s="194" t="s"/>
      <c r="U161" s="194" t="s"/>
      <c r="V161" s="194" t="s"/>
      <c r="W161" s="194" t="s"/>
      <c r="X161" s="194" t="s"/>
      <c r="Y161" s="194" t="s"/>
    </row>
    <row r="162" spans="1:25" customHeight="false">
      <c r="A162" s="194" t="s"/>
      <c r="B162" s="194" t="s"/>
      <c r="C162" s="194" t="s"/>
      <c r="D162" s="194" t="s"/>
      <c r="E162" s="194" t="s"/>
      <c r="F162" s="194" t="s"/>
      <c r="G162" s="194" t="s"/>
      <c r="H162" s="194" t="s"/>
      <c r="I162" s="194" t="s"/>
      <c r="J162" s="194" t="s"/>
      <c r="K162" s="194" t="s"/>
      <c r="L162" s="194" t="s"/>
      <c r="M162" s="194" t="s"/>
      <c r="N162" s="194" t="s"/>
      <c r="O162" s="194" t="s"/>
      <c r="P162" s="194" t="s"/>
      <c r="Q162" s="194" t="s"/>
      <c r="R162" s="194" t="s"/>
      <c r="S162" s="194" t="s"/>
      <c r="T162" s="194" t="s"/>
      <c r="U162" s="194" t="s"/>
      <c r="V162" s="194" t="s"/>
      <c r="W162" s="194" t="s"/>
      <c r="X162" s="194" t="s"/>
      <c r="Y162" s="194" t="s"/>
    </row>
    <row r="163" spans="1:25" customHeight="false">
      <c r="A163" s="194" t="s"/>
      <c r="B163" s="194" t="s"/>
      <c r="C163" s="194" t="s"/>
      <c r="D163" s="194" t="s"/>
      <c r="E163" s="194" t="s"/>
      <c r="F163" s="194" t="s"/>
      <c r="G163" s="194" t="s"/>
      <c r="H163" s="194" t="s"/>
      <c r="I163" s="194" t="s"/>
      <c r="J163" s="194" t="s"/>
      <c r="K163" s="194" t="s"/>
      <c r="L163" s="194" t="s"/>
      <c r="M163" s="194" t="s"/>
      <c r="N163" s="194" t="s"/>
      <c r="O163" s="194" t="s"/>
      <c r="P163" s="194" t="s"/>
      <c r="Q163" s="194" t="s"/>
      <c r="R163" s="194" t="s"/>
      <c r="S163" s="194" t="s"/>
      <c r="T163" s="194" t="s"/>
      <c r="U163" s="194" t="s"/>
      <c r="V163" s="194" t="s"/>
      <c r="W163" s="194" t="s"/>
      <c r="X163" s="194" t="s"/>
      <c r="Y163" s="194" t="s"/>
    </row>
    <row r="164" spans="1:25" customHeight="false">
      <c r="A164" s="194" t="s"/>
      <c r="B164" s="194" t="s"/>
      <c r="C164" s="194" t="s"/>
      <c r="D164" s="194" t="s"/>
      <c r="E164" s="194" t="s"/>
      <c r="F164" s="194" t="s"/>
      <c r="G164" s="194" t="s"/>
      <c r="H164" s="194" t="s"/>
      <c r="I164" s="194" t="s"/>
      <c r="J164" s="194" t="s"/>
      <c r="K164" s="194" t="s"/>
      <c r="L164" s="194" t="s"/>
      <c r="M164" s="194" t="s"/>
      <c r="N164" s="194" t="s"/>
      <c r="O164" s="194" t="s"/>
      <c r="P164" s="194" t="s"/>
      <c r="Q164" s="194" t="s"/>
      <c r="R164" s="194" t="s"/>
      <c r="S164" s="194" t="s"/>
      <c r="T164" s="194" t="s"/>
      <c r="U164" s="194" t="s"/>
      <c r="V164" s="194" t="s"/>
      <c r="W164" s="194" t="s"/>
      <c r="X164" s="194" t="s"/>
      <c r="Y164" s="194" t="s"/>
    </row>
    <row r="165" spans="1:25" customHeight="false">
      <c r="A165" s="194" t="s"/>
      <c r="B165" s="194" t="s"/>
      <c r="C165" s="194" t="s"/>
      <c r="D165" s="194" t="s"/>
      <c r="E165" s="194" t="s"/>
      <c r="F165" s="194" t="s"/>
      <c r="G165" s="194" t="s"/>
      <c r="H165" s="194" t="s"/>
      <c r="I165" s="194" t="s"/>
      <c r="J165" s="194" t="s"/>
      <c r="K165" s="194" t="s"/>
      <c r="L165" s="194" t="s"/>
      <c r="M165" s="194" t="s"/>
      <c r="N165" s="194" t="s"/>
      <c r="O165" s="194" t="s"/>
      <c r="P165" s="194" t="s"/>
      <c r="Q165" s="194" t="s"/>
      <c r="R165" s="194" t="s"/>
      <c r="S165" s="194" t="s"/>
      <c r="T165" s="194" t="s"/>
      <c r="U165" s="194" t="s"/>
      <c r="V165" s="194" t="s"/>
      <c r="W165" s="194" t="s"/>
      <c r="X165" s="194" t="s"/>
      <c r="Y165" s="194" t="s"/>
    </row>
    <row r="166" spans="1:25" customHeight="false">
      <c r="A166" s="194" t="s"/>
      <c r="B166" s="194" t="s"/>
      <c r="C166" s="194" t="s"/>
      <c r="D166" s="194" t="s"/>
      <c r="E166" s="194" t="s"/>
      <c r="F166" s="194" t="s"/>
      <c r="G166" s="194" t="s"/>
      <c r="H166" s="194" t="s"/>
      <c r="I166" s="194" t="s"/>
      <c r="J166" s="194" t="s"/>
      <c r="K166" s="194" t="s"/>
      <c r="L166" s="194" t="s"/>
      <c r="M166" s="194" t="s"/>
      <c r="N166" s="194" t="s"/>
      <c r="O166" s="194" t="s"/>
      <c r="P166" s="194" t="s"/>
      <c r="Q166" s="194" t="s"/>
      <c r="R166" s="194" t="s"/>
      <c r="S166" s="194" t="s"/>
      <c r="T166" s="194" t="s"/>
      <c r="U166" s="194" t="s"/>
      <c r="V166" s="194" t="s"/>
      <c r="W166" s="194" t="s"/>
      <c r="X166" s="194" t="s"/>
      <c r="Y166" s="194" t="s"/>
    </row>
    <row r="167" spans="1:25" customHeight="false">
      <c r="A167" s="194" t="s"/>
      <c r="B167" s="194" t="s"/>
      <c r="C167" s="194" t="s"/>
      <c r="D167" s="194" t="s"/>
      <c r="E167" s="194" t="s"/>
      <c r="F167" s="194" t="s"/>
      <c r="G167" s="194" t="s"/>
      <c r="H167" s="194" t="s"/>
      <c r="I167" s="194" t="s"/>
      <c r="J167" s="194" t="s"/>
      <c r="K167" s="194" t="s"/>
      <c r="L167" s="194" t="s"/>
      <c r="M167" s="194" t="s"/>
      <c r="N167" s="194" t="s"/>
      <c r="O167" s="194" t="s"/>
      <c r="P167" s="194" t="s"/>
      <c r="Q167" s="194" t="s"/>
      <c r="R167" s="194" t="s"/>
      <c r="S167" s="194" t="s"/>
      <c r="T167" s="194" t="s"/>
      <c r="U167" s="194" t="s"/>
      <c r="V167" s="194" t="s"/>
      <c r="W167" s="194" t="s"/>
      <c r="X167" s="194" t="s"/>
      <c r="Y167" s="194" t="s"/>
    </row>
    <row r="168" spans="1:25" customHeight="false">
      <c r="A168" s="194" t="s"/>
      <c r="B168" s="194" t="s"/>
      <c r="C168" s="194" t="s"/>
      <c r="D168" s="194" t="s"/>
      <c r="E168" s="194" t="s"/>
      <c r="F168" s="194" t="s"/>
      <c r="G168" s="194" t="s"/>
      <c r="H168" s="194" t="s"/>
      <c r="I168" s="194" t="s"/>
      <c r="J168" s="194" t="s"/>
      <c r="K168" s="194" t="s"/>
      <c r="L168" s="194" t="s"/>
      <c r="M168" s="194" t="s"/>
      <c r="N168" s="194" t="s"/>
      <c r="O168" s="194" t="s"/>
      <c r="P168" s="194" t="s"/>
      <c r="Q168" s="194" t="s"/>
      <c r="R168" s="194" t="s"/>
      <c r="S168" s="194" t="s"/>
      <c r="T168" s="194" t="s"/>
      <c r="U168" s="194" t="s"/>
      <c r="V168" s="194" t="s"/>
      <c r="W168" s="194" t="s"/>
      <c r="X168" s="194" t="s"/>
      <c r="Y168" s="194" t="s"/>
    </row>
    <row r="169" spans="1:25" customHeight="false">
      <c r="A169" s="194" t="s"/>
      <c r="B169" s="194" t="s"/>
      <c r="C169" s="194" t="s"/>
      <c r="D169" s="194" t="s"/>
      <c r="E169" s="194" t="s"/>
      <c r="F169" s="194" t="s"/>
      <c r="G169" s="194" t="s"/>
      <c r="H169" s="194" t="s"/>
      <c r="I169" s="194" t="s"/>
      <c r="J169" s="194" t="s"/>
      <c r="K169" s="194" t="s"/>
      <c r="L169" s="194" t="s"/>
      <c r="M169" s="194" t="s"/>
      <c r="N169" s="194" t="s"/>
      <c r="O169" s="194" t="s"/>
      <c r="P169" s="194" t="s"/>
      <c r="Q169" s="194" t="s"/>
      <c r="R169" s="194" t="s"/>
      <c r="S169" s="194" t="s"/>
      <c r="T169" s="194" t="s"/>
      <c r="U169" s="194" t="s"/>
      <c r="V169" s="194" t="s"/>
      <c r="W169" s="194" t="s"/>
      <c r="X169" s="194" t="s"/>
      <c r="Y169" s="194" t="s"/>
    </row>
    <row r="170" spans="1:25" customHeight="false">
      <c r="A170" s="194" t="s"/>
      <c r="B170" s="194" t="s"/>
      <c r="C170" s="194" t="s"/>
      <c r="D170" s="194" t="s"/>
      <c r="E170" s="194" t="s"/>
      <c r="F170" s="194" t="s"/>
      <c r="G170" s="194" t="s"/>
      <c r="H170" s="194" t="s"/>
      <c r="I170" s="194" t="s"/>
      <c r="J170" s="194" t="s"/>
      <c r="K170" s="194" t="s"/>
      <c r="L170" s="194" t="s"/>
      <c r="M170" s="194" t="s"/>
      <c r="N170" s="194" t="s"/>
      <c r="O170" s="194" t="s"/>
      <c r="P170" s="194" t="s"/>
      <c r="Q170" s="194" t="s"/>
      <c r="R170" s="194" t="s"/>
      <c r="S170" s="194" t="s"/>
      <c r="T170" s="194" t="s"/>
      <c r="U170" s="194" t="s"/>
      <c r="V170" s="194" t="s"/>
      <c r="W170" s="194" t="s"/>
      <c r="X170" s="194" t="s"/>
      <c r="Y170" s="194" t="s"/>
    </row>
    <row r="171" spans="1:25" customHeight="false">
      <c r="A171" s="194" t="s"/>
      <c r="B171" s="194" t="s"/>
      <c r="C171" s="194" t="s"/>
      <c r="D171" s="194" t="s"/>
      <c r="E171" s="194" t="s"/>
      <c r="F171" s="194" t="s"/>
      <c r="G171" s="194" t="s"/>
      <c r="H171" s="194" t="s"/>
      <c r="I171" s="194" t="s"/>
      <c r="J171" s="194" t="s"/>
      <c r="K171" s="194" t="s"/>
      <c r="L171" s="194" t="s"/>
      <c r="M171" s="194" t="s"/>
      <c r="N171" s="194" t="s"/>
      <c r="O171" s="194" t="s"/>
      <c r="P171" s="194" t="s"/>
      <c r="Q171" s="194" t="s"/>
      <c r="R171" s="194" t="s"/>
      <c r="S171" s="194" t="s"/>
      <c r="T171" s="194" t="s"/>
      <c r="U171" s="194" t="s"/>
      <c r="V171" s="194" t="s"/>
      <c r="W171" s="194" t="s"/>
      <c r="X171" s="194" t="s"/>
      <c r="Y171" s="194" t="s"/>
    </row>
    <row r="172" spans="1:25" customHeight="false">
      <c r="A172" s="194" t="s"/>
      <c r="B172" s="194" t="s"/>
      <c r="C172" s="194" t="s"/>
      <c r="D172" s="194" t="s"/>
      <c r="E172" s="194" t="s"/>
      <c r="F172" s="194" t="s"/>
      <c r="G172" s="194" t="s"/>
      <c r="H172" s="194" t="s"/>
      <c r="I172" s="194" t="s"/>
      <c r="J172" s="194" t="s"/>
      <c r="K172" s="194" t="s"/>
      <c r="L172" s="194" t="s"/>
      <c r="M172" s="194" t="s"/>
      <c r="N172" s="194" t="s"/>
      <c r="O172" s="194" t="s"/>
      <c r="P172" s="194" t="s"/>
      <c r="Q172" s="194" t="s"/>
      <c r="R172" s="194" t="s"/>
      <c r="S172" s="194" t="s"/>
      <c r="T172" s="194" t="s"/>
      <c r="U172" s="194" t="s"/>
      <c r="V172" s="194" t="s"/>
      <c r="W172" s="194" t="s"/>
      <c r="X172" s="194" t="s"/>
      <c r="Y172" s="194" t="s"/>
    </row>
    <row r="173" spans="1:25" customHeight="false">
      <c r="A173" s="194" t="s"/>
      <c r="B173" s="194" t="s"/>
      <c r="C173" s="194" t="s"/>
      <c r="D173" s="194" t="s"/>
      <c r="E173" s="194" t="s"/>
      <c r="F173" s="194" t="s"/>
      <c r="G173" s="194" t="s"/>
      <c r="H173" s="194" t="s"/>
      <c r="I173" s="194" t="s"/>
      <c r="J173" s="194" t="s"/>
      <c r="K173" s="194" t="s"/>
      <c r="L173" s="194" t="s"/>
      <c r="M173" s="194" t="s"/>
      <c r="N173" s="194" t="s"/>
      <c r="O173" s="194" t="s"/>
      <c r="P173" s="194" t="s"/>
      <c r="Q173" s="194" t="s"/>
      <c r="R173" s="194" t="s"/>
      <c r="S173" s="194" t="s"/>
      <c r="T173" s="194" t="s"/>
      <c r="U173" s="194" t="s"/>
      <c r="V173" s="194" t="s"/>
      <c r="W173" s="194" t="s"/>
      <c r="X173" s="194" t="s"/>
      <c r="Y173" s="194" t="s"/>
    </row>
    <row r="174" spans="1:25" customHeight="false">
      <c r="A174" s="194" t="s"/>
      <c r="B174" s="194" t="s"/>
      <c r="C174" s="194" t="s"/>
      <c r="D174" s="194" t="s"/>
      <c r="E174" s="194" t="s"/>
      <c r="F174" s="194" t="s"/>
      <c r="G174" s="194" t="s"/>
      <c r="H174" s="194" t="s"/>
      <c r="I174" s="194" t="s"/>
      <c r="J174" s="194" t="s"/>
      <c r="K174" s="194" t="s"/>
      <c r="L174" s="194" t="s"/>
      <c r="M174" s="194" t="s"/>
      <c r="N174" s="194" t="s"/>
      <c r="O174" s="194" t="s"/>
      <c r="P174" s="194" t="s"/>
      <c r="Q174" s="194" t="s"/>
      <c r="R174" s="194" t="s"/>
      <c r="S174" s="194" t="s"/>
      <c r="T174" s="194" t="s"/>
      <c r="U174" s="194" t="s"/>
      <c r="V174" s="194" t="s"/>
      <c r="W174" s="194" t="s"/>
      <c r="X174" s="194" t="s"/>
      <c r="Y174" s="194" t="s"/>
    </row>
    <row r="175" spans="1:25" customHeight="false">
      <c r="A175" s="194" t="s"/>
      <c r="B175" s="194" t="s"/>
      <c r="C175" s="194" t="s"/>
      <c r="D175" s="194" t="s"/>
      <c r="E175" s="194" t="s"/>
      <c r="F175" s="194" t="s"/>
      <c r="G175" s="194" t="s"/>
      <c r="H175" s="194" t="s"/>
      <c r="I175" s="194" t="s"/>
      <c r="J175" s="194" t="s"/>
      <c r="K175" s="194" t="s"/>
      <c r="L175" s="194" t="s"/>
      <c r="M175" s="194" t="s"/>
      <c r="N175" s="194" t="s"/>
      <c r="O175" s="194" t="s"/>
      <c r="P175" s="194" t="s"/>
      <c r="Q175" s="194" t="s"/>
      <c r="R175" s="194" t="s"/>
      <c r="S175" s="194" t="s"/>
      <c r="T175" s="194" t="s"/>
      <c r="U175" s="194" t="s"/>
      <c r="V175" s="194" t="s"/>
      <c r="W175" s="194" t="s"/>
      <c r="X175" s="194" t="s"/>
      <c r="Y175" s="194" t="s"/>
    </row>
    <row r="176" spans="1:25" customHeight="false">
      <c r="A176" s="194" t="s"/>
      <c r="B176" s="194" t="s"/>
      <c r="C176" s="194" t="s"/>
      <c r="D176" s="194" t="s"/>
      <c r="E176" s="194" t="s"/>
      <c r="F176" s="194" t="s"/>
      <c r="G176" s="194" t="s"/>
      <c r="H176" s="194" t="s"/>
      <c r="I176" s="194" t="s"/>
      <c r="J176" s="194" t="s"/>
      <c r="K176" s="194" t="s"/>
      <c r="L176" s="194" t="s"/>
      <c r="M176" s="194" t="s"/>
      <c r="N176" s="194" t="s"/>
      <c r="O176" s="194" t="s"/>
      <c r="P176" s="194" t="s"/>
      <c r="Q176" s="194" t="s"/>
      <c r="R176" s="194" t="s"/>
      <c r="S176" s="194" t="s"/>
      <c r="T176" s="194" t="s"/>
      <c r="U176" s="194" t="s"/>
      <c r="V176" s="194" t="s"/>
      <c r="W176" s="194" t="s"/>
      <c r="X176" s="194" t="s"/>
      <c r="Y176" s="194" t="s"/>
    </row>
    <row r="177" spans="1:25" customHeight="false">
      <c r="A177" s="194" t="s"/>
      <c r="B177" s="194" t="s"/>
      <c r="C177" s="194" t="s"/>
      <c r="D177" s="194" t="s"/>
      <c r="E177" s="194" t="s"/>
      <c r="F177" s="194" t="s"/>
      <c r="G177" s="194" t="s"/>
      <c r="H177" s="194" t="s"/>
      <c r="I177" s="194" t="s"/>
      <c r="J177" s="194" t="s"/>
      <c r="K177" s="194" t="s"/>
      <c r="L177" s="194" t="s"/>
      <c r="M177" s="194" t="s"/>
      <c r="N177" s="194" t="s"/>
      <c r="O177" s="194" t="s"/>
      <c r="P177" s="194" t="s"/>
      <c r="Q177" s="194" t="s"/>
      <c r="R177" s="194" t="s"/>
      <c r="S177" s="194" t="s"/>
      <c r="T177" s="194" t="s"/>
      <c r="U177" s="194" t="s"/>
      <c r="V177" s="194" t="s"/>
      <c r="W177" s="194" t="s"/>
      <c r="X177" s="194" t="s"/>
      <c r="Y177" s="194" t="s"/>
    </row>
    <row r="178" spans="1:25" customHeight="false">
      <c r="A178" s="194" t="s"/>
      <c r="B178" s="194" t="s"/>
      <c r="C178" s="194" t="s"/>
      <c r="D178" s="194" t="s"/>
      <c r="E178" s="194" t="s"/>
      <c r="F178" s="194" t="s"/>
      <c r="G178" s="194" t="s"/>
      <c r="H178" s="194" t="s"/>
      <c r="I178" s="194" t="s"/>
      <c r="J178" s="194" t="s"/>
      <c r="K178" s="194" t="s"/>
      <c r="L178" s="194" t="s"/>
      <c r="M178" s="194" t="s"/>
      <c r="N178" s="194" t="s"/>
      <c r="O178" s="194" t="s"/>
      <c r="P178" s="194" t="s"/>
      <c r="Q178" s="194" t="s"/>
      <c r="R178" s="194" t="s"/>
      <c r="S178" s="194" t="s"/>
      <c r="T178" s="194" t="s"/>
      <c r="U178" s="194" t="s"/>
      <c r="V178" s="194" t="s"/>
      <c r="W178" s="194" t="s"/>
      <c r="X178" s="194" t="s"/>
      <c r="Y178" s="194" t="s"/>
    </row>
    <row r="179" spans="1:25" customHeight="false">
      <c r="A179" s="194" t="s"/>
      <c r="B179" s="194" t="s"/>
      <c r="C179" s="194" t="s"/>
      <c r="D179" s="194" t="s"/>
      <c r="E179" s="194" t="s"/>
      <c r="F179" s="194" t="s"/>
      <c r="G179" s="194" t="s"/>
      <c r="H179" s="194" t="s"/>
      <c r="I179" s="194" t="s"/>
      <c r="J179" s="194" t="s"/>
      <c r="K179" s="194" t="s"/>
      <c r="L179" s="194" t="s"/>
      <c r="M179" s="194" t="s"/>
      <c r="N179" s="194" t="s"/>
      <c r="O179" s="194" t="s"/>
      <c r="P179" s="194" t="s"/>
      <c r="Q179" s="194" t="s"/>
      <c r="R179" s="194" t="s"/>
      <c r="S179" s="194" t="s"/>
      <c r="T179" s="194" t="s"/>
      <c r="U179" s="194" t="s"/>
      <c r="V179" s="194" t="s"/>
      <c r="W179" s="194" t="s"/>
      <c r="X179" s="194" t="s"/>
      <c r="Y179" s="194" t="s"/>
    </row>
    <row r="180" spans="1:25" customHeight="false">
      <c r="A180" s="194" t="s"/>
      <c r="B180" s="194" t="s"/>
      <c r="C180" s="194" t="s"/>
      <c r="D180" s="194" t="s"/>
      <c r="E180" s="194" t="s"/>
      <c r="F180" s="194" t="s"/>
      <c r="G180" s="194" t="s"/>
      <c r="H180" s="194" t="s"/>
      <c r="I180" s="194" t="s"/>
      <c r="J180" s="194" t="s"/>
      <c r="K180" s="194" t="s"/>
      <c r="L180" s="194" t="s"/>
      <c r="M180" s="194" t="s"/>
      <c r="N180" s="194" t="s"/>
      <c r="O180" s="194" t="s"/>
      <c r="P180" s="194" t="s"/>
      <c r="Q180" s="194" t="s"/>
      <c r="R180" s="194" t="s"/>
      <c r="S180" s="194" t="s"/>
      <c r="T180" s="194" t="s"/>
      <c r="U180" s="194" t="s"/>
      <c r="V180" s="194" t="s"/>
      <c r="W180" s="194" t="s"/>
      <c r="X180" s="194" t="s"/>
      <c r="Y180" s="194" t="s"/>
    </row>
    <row r="181" spans="1:25" customHeight="false">
      <c r="A181" s="194" t="s"/>
      <c r="B181" s="194" t="s"/>
      <c r="C181" s="194" t="s"/>
      <c r="D181" s="194" t="s"/>
      <c r="E181" s="194" t="s"/>
      <c r="F181" s="194" t="s"/>
      <c r="G181" s="194" t="s"/>
      <c r="H181" s="194" t="s"/>
      <c r="I181" s="194" t="s"/>
      <c r="J181" s="194" t="s"/>
      <c r="K181" s="194" t="s"/>
      <c r="L181" s="194" t="s"/>
      <c r="M181" s="194" t="s"/>
      <c r="N181" s="194" t="s"/>
      <c r="O181" s="194" t="s"/>
      <c r="P181" s="194" t="s"/>
      <c r="Q181" s="194" t="s"/>
      <c r="R181" s="194" t="s"/>
      <c r="S181" s="194" t="s"/>
      <c r="T181" s="194" t="s"/>
      <c r="U181" s="194" t="s"/>
      <c r="V181" s="194" t="s"/>
      <c r="W181" s="194" t="s"/>
      <c r="X181" s="194" t="s"/>
      <c r="Y181" s="194" t="s"/>
    </row>
    <row r="182" spans="1:25" customHeight="false">
      <c r="A182" s="194" t="s"/>
      <c r="B182" s="194" t="s"/>
      <c r="C182" s="194" t="s"/>
      <c r="D182" s="194" t="s"/>
      <c r="E182" s="194" t="s"/>
      <c r="F182" s="194" t="s"/>
      <c r="G182" s="194" t="s"/>
      <c r="H182" s="194" t="s"/>
      <c r="I182" s="194" t="s"/>
      <c r="J182" s="194" t="s"/>
      <c r="K182" s="194" t="s"/>
      <c r="L182" s="194" t="s"/>
      <c r="M182" s="194" t="s"/>
      <c r="N182" s="194" t="s"/>
      <c r="O182" s="194" t="s"/>
      <c r="P182" s="194" t="s"/>
      <c r="Q182" s="194" t="s"/>
      <c r="R182" s="194" t="s"/>
      <c r="S182" s="194" t="s"/>
      <c r="T182" s="194" t="s"/>
      <c r="U182" s="194" t="s"/>
      <c r="V182" s="194" t="s"/>
      <c r="W182" s="194" t="s"/>
      <c r="X182" s="194" t="s"/>
      <c r="Y182" s="194" t="s"/>
    </row>
    <row r="183" spans="1:25" customHeight="false">
      <c r="A183" s="194" t="s"/>
      <c r="B183" s="194" t="s"/>
      <c r="C183" s="194" t="s"/>
      <c r="D183" s="194" t="s"/>
      <c r="E183" s="194" t="s"/>
      <c r="F183" s="194" t="s"/>
      <c r="G183" s="194" t="s"/>
      <c r="H183" s="194" t="s"/>
      <c r="I183" s="194" t="s"/>
      <c r="J183" s="194" t="s"/>
      <c r="K183" s="194" t="s"/>
      <c r="L183" s="194" t="s"/>
      <c r="M183" s="194" t="s"/>
      <c r="N183" s="194" t="s"/>
      <c r="O183" s="194" t="s"/>
      <c r="P183" s="194" t="s"/>
      <c r="Q183" s="194" t="s"/>
      <c r="R183" s="194" t="s"/>
      <c r="S183" s="194" t="s"/>
      <c r="T183" s="194" t="s"/>
      <c r="U183" s="194" t="s"/>
      <c r="V183" s="194" t="s"/>
      <c r="W183" s="194" t="s"/>
      <c r="X183" s="194" t="s"/>
      <c r="Y183" s="194" t="s"/>
    </row>
    <row r="184" spans="1:25" customHeight="false">
      <c r="A184" s="194" t="s"/>
      <c r="B184" s="194" t="s"/>
      <c r="C184" s="194" t="s"/>
      <c r="D184" s="194" t="s"/>
      <c r="E184" s="194" t="s"/>
      <c r="F184" s="194" t="s"/>
      <c r="G184" s="194" t="s"/>
      <c r="H184" s="194" t="s"/>
      <c r="I184" s="194" t="s"/>
      <c r="J184" s="194" t="s"/>
      <c r="K184" s="194" t="s"/>
      <c r="L184" s="194" t="s"/>
      <c r="M184" s="194" t="s"/>
      <c r="N184" s="194" t="s"/>
      <c r="O184" s="194" t="s"/>
      <c r="P184" s="194" t="s"/>
      <c r="Q184" s="194" t="s"/>
      <c r="R184" s="194" t="s"/>
      <c r="S184" s="194" t="s"/>
      <c r="T184" s="194" t="s"/>
      <c r="U184" s="194" t="s"/>
      <c r="V184" s="194" t="s"/>
      <c r="W184" s="194" t="s"/>
      <c r="X184" s="194" t="s"/>
      <c r="Y184" s="194" t="s"/>
    </row>
    <row r="185" spans="1:25" customHeight="false">
      <c r="A185" s="194" t="s"/>
      <c r="B185" s="194" t="s"/>
      <c r="C185" s="194" t="s"/>
      <c r="D185" s="194" t="s"/>
      <c r="E185" s="194" t="s"/>
      <c r="F185" s="194" t="s"/>
      <c r="G185" s="194" t="s"/>
      <c r="H185" s="194" t="s"/>
      <c r="I185" s="194" t="s"/>
      <c r="J185" s="194" t="s"/>
      <c r="K185" s="194" t="s"/>
      <c r="L185" s="194" t="s"/>
      <c r="M185" s="194" t="s"/>
      <c r="N185" s="194" t="s"/>
      <c r="O185" s="194" t="s"/>
      <c r="P185" s="194" t="s"/>
      <c r="Q185" s="194" t="s"/>
      <c r="R185" s="194" t="s"/>
      <c r="S185" s="194" t="s"/>
      <c r="T185" s="194" t="s"/>
      <c r="U185" s="194" t="s"/>
      <c r="V185" s="194" t="s"/>
      <c r="W185" s="194" t="s"/>
      <c r="X185" s="194" t="s"/>
      <c r="Y185" s="194" t="s"/>
    </row>
    <row r="186" spans="1:25" customHeight="false">
      <c r="A186" s="194" t="s"/>
      <c r="B186" s="194" t="s"/>
      <c r="C186" s="194" t="s"/>
      <c r="D186" s="194" t="s"/>
      <c r="E186" s="194" t="s"/>
      <c r="F186" s="194" t="s"/>
      <c r="G186" s="194" t="s"/>
      <c r="H186" s="194" t="s"/>
      <c r="I186" s="194" t="s"/>
      <c r="J186" s="194" t="s"/>
      <c r="K186" s="194" t="s"/>
      <c r="L186" s="194" t="s"/>
      <c r="M186" s="194" t="s"/>
      <c r="N186" s="194" t="s"/>
      <c r="O186" s="194" t="s"/>
      <c r="P186" s="194" t="s"/>
      <c r="Q186" s="194" t="s"/>
      <c r="R186" s="194" t="s"/>
      <c r="S186" s="194" t="s"/>
      <c r="T186" s="194" t="s"/>
      <c r="U186" s="194" t="s"/>
      <c r="V186" s="194" t="s"/>
      <c r="W186" s="194" t="s"/>
      <c r="X186" s="194" t="s"/>
      <c r="Y186" s="194" t="s"/>
    </row>
    <row r="187" spans="1:25" customHeight="false">
      <c r="A187" s="194" t="s"/>
      <c r="B187" s="194" t="s"/>
      <c r="C187" s="194" t="s"/>
      <c r="D187" s="194" t="s"/>
      <c r="E187" s="194" t="s"/>
      <c r="F187" s="194" t="s"/>
      <c r="G187" s="194" t="s"/>
      <c r="H187" s="194" t="s"/>
      <c r="I187" s="194" t="s"/>
      <c r="J187" s="194" t="s"/>
      <c r="K187" s="194" t="s"/>
      <c r="L187" s="194" t="s"/>
      <c r="M187" s="194" t="s"/>
      <c r="N187" s="194" t="s"/>
      <c r="O187" s="194" t="s"/>
      <c r="P187" s="194" t="s"/>
      <c r="Q187" s="194" t="s"/>
      <c r="R187" s="194" t="s"/>
      <c r="S187" s="194" t="s"/>
      <c r="T187" s="194" t="s"/>
      <c r="U187" s="194" t="s"/>
      <c r="V187" s="194" t="s"/>
      <c r="W187" s="194" t="s"/>
      <c r="X187" s="194" t="s"/>
      <c r="Y187" s="194" t="s"/>
    </row>
    <row r="188" spans="1:25" customHeight="false">
      <c r="A188" s="194" t="s"/>
      <c r="B188" s="194" t="s"/>
      <c r="C188" s="194" t="s"/>
      <c r="D188" s="194" t="s"/>
      <c r="E188" s="194" t="s"/>
      <c r="F188" s="194" t="s"/>
      <c r="G188" s="194" t="s"/>
      <c r="H188" s="194" t="s"/>
      <c r="I188" s="194" t="s"/>
      <c r="J188" s="194" t="s"/>
      <c r="K188" s="194" t="s"/>
      <c r="L188" s="194" t="s"/>
      <c r="M188" s="194" t="s"/>
      <c r="N188" s="194" t="s"/>
      <c r="O188" s="194" t="s"/>
      <c r="P188" s="194" t="s"/>
      <c r="Q188" s="194" t="s"/>
      <c r="R188" s="194" t="s"/>
      <c r="S188" s="194" t="s"/>
      <c r="T188" s="194" t="s"/>
      <c r="U188" s="194" t="s"/>
      <c r="V188" s="194" t="s"/>
      <c r="W188" s="194" t="s"/>
      <c r="X188" s="194" t="s"/>
      <c r="Y188" s="194" t="s"/>
    </row>
    <row r="189" spans="1:25" customHeight="false">
      <c r="A189" s="194" t="s"/>
      <c r="B189" s="194" t="s"/>
      <c r="C189" s="194" t="s"/>
      <c r="D189" s="194" t="s"/>
      <c r="E189" s="194" t="s"/>
      <c r="F189" s="194" t="s"/>
      <c r="G189" s="194" t="s"/>
      <c r="H189" s="194" t="s"/>
      <c r="I189" s="194" t="s"/>
      <c r="J189" s="194" t="s"/>
      <c r="K189" s="194" t="s"/>
      <c r="L189" s="194" t="s"/>
      <c r="M189" s="194" t="s"/>
      <c r="N189" s="194" t="s"/>
      <c r="O189" s="194" t="s"/>
      <c r="P189" s="194" t="s"/>
      <c r="Q189" s="194" t="s"/>
      <c r="R189" s="194" t="s"/>
      <c r="S189" s="194" t="s"/>
      <c r="T189" s="194" t="s"/>
      <c r="U189" s="194" t="s"/>
      <c r="V189" s="194" t="s"/>
      <c r="W189" s="194" t="s"/>
      <c r="X189" s="194" t="s"/>
      <c r="Y189" s="194" t="s"/>
    </row>
    <row r="190" spans="1:25" customHeight="false">
      <c r="A190" s="194" t="s"/>
      <c r="B190" s="194" t="s"/>
      <c r="C190" s="194" t="s"/>
      <c r="D190" s="194" t="s"/>
      <c r="E190" s="194" t="s"/>
      <c r="F190" s="194" t="s"/>
      <c r="G190" s="194" t="s"/>
      <c r="H190" s="194" t="s"/>
      <c r="I190" s="194" t="s"/>
      <c r="J190" s="194" t="s"/>
      <c r="K190" s="194" t="s"/>
      <c r="L190" s="194" t="s"/>
      <c r="M190" s="194" t="s"/>
      <c r="N190" s="194" t="s"/>
      <c r="O190" s="194" t="s"/>
      <c r="P190" s="194" t="s"/>
      <c r="Q190" s="194" t="s"/>
      <c r="R190" s="194" t="s"/>
      <c r="S190" s="194" t="s"/>
      <c r="T190" s="194" t="s"/>
      <c r="U190" s="194" t="s"/>
      <c r="V190" s="194" t="s"/>
      <c r="W190" s="194" t="s"/>
      <c r="X190" s="194" t="s"/>
      <c r="Y190" s="194" t="s"/>
    </row>
    <row r="191" spans="1:25" customHeight="false">
      <c r="A191" s="194" t="s"/>
      <c r="B191" s="194" t="s"/>
      <c r="C191" s="194" t="s"/>
      <c r="D191" s="194" t="s"/>
      <c r="E191" s="194" t="s"/>
      <c r="F191" s="194" t="s"/>
      <c r="G191" s="194" t="s"/>
      <c r="H191" s="194" t="s"/>
      <c r="I191" s="194" t="s"/>
      <c r="J191" s="194" t="s"/>
      <c r="K191" s="194" t="s"/>
      <c r="L191" s="194" t="s"/>
      <c r="M191" s="194" t="s"/>
      <c r="N191" s="194" t="s"/>
      <c r="O191" s="194" t="s"/>
      <c r="P191" s="194" t="s"/>
      <c r="Q191" s="194" t="s"/>
      <c r="R191" s="194" t="s"/>
      <c r="S191" s="194" t="s"/>
      <c r="T191" s="194" t="s"/>
      <c r="U191" s="194" t="s"/>
      <c r="V191" s="194" t="s"/>
      <c r="W191" s="194" t="s"/>
      <c r="X191" s="194" t="s"/>
      <c r="Y191" s="194" t="s"/>
    </row>
    <row r="192" spans="1:25" customHeight="false">
      <c r="A192" s="194" t="s"/>
      <c r="B192" s="194" t="s"/>
      <c r="C192" s="194" t="s"/>
      <c r="D192" s="194" t="s"/>
      <c r="E192" s="194" t="s"/>
      <c r="F192" s="194" t="s"/>
      <c r="G192" s="194" t="s"/>
      <c r="H192" s="194" t="s"/>
      <c r="I192" s="194" t="s"/>
      <c r="J192" s="194" t="s"/>
      <c r="K192" s="194" t="s"/>
      <c r="L192" s="194" t="s"/>
      <c r="M192" s="194" t="s"/>
      <c r="N192" s="194" t="s"/>
      <c r="O192" s="194" t="s"/>
      <c r="P192" s="194" t="s"/>
      <c r="Q192" s="194" t="s"/>
      <c r="R192" s="194" t="s"/>
      <c r="S192" s="194" t="s"/>
      <c r="T192" s="194" t="s"/>
      <c r="U192" s="194" t="s"/>
      <c r="V192" s="194" t="s"/>
      <c r="W192" s="194" t="s"/>
      <c r="X192" s="194" t="s"/>
      <c r="Y192" s="194" t="s"/>
    </row>
    <row r="193" spans="1:25" customHeight="false">
      <c r="A193" s="194" t="s"/>
      <c r="B193" s="194" t="s"/>
      <c r="C193" s="194" t="s"/>
      <c r="D193" s="194" t="s"/>
      <c r="E193" s="194" t="s"/>
      <c r="F193" s="194" t="s"/>
      <c r="G193" s="194" t="s"/>
      <c r="H193" s="194" t="s"/>
      <c r="I193" s="194" t="s"/>
      <c r="J193" s="194" t="s"/>
      <c r="K193" s="194" t="s"/>
      <c r="L193" s="194" t="s"/>
      <c r="M193" s="194" t="s"/>
      <c r="N193" s="194" t="s"/>
      <c r="O193" s="194" t="s"/>
      <c r="P193" s="194" t="s"/>
      <c r="Q193" s="194" t="s"/>
      <c r="R193" s="194" t="s"/>
      <c r="S193" s="194" t="s"/>
      <c r="T193" s="194" t="s"/>
      <c r="U193" s="194" t="s"/>
      <c r="V193" s="194" t="s"/>
      <c r="W193" s="194" t="s"/>
      <c r="X193" s="194" t="s"/>
      <c r="Y193" s="194" t="s"/>
    </row>
    <row r="194" spans="1:25" customHeight="false">
      <c r="A194" s="194" t="s"/>
      <c r="B194" s="194" t="s"/>
      <c r="C194" s="194" t="s"/>
      <c r="D194" s="194" t="s"/>
      <c r="E194" s="194" t="s"/>
      <c r="F194" s="194" t="s"/>
      <c r="G194" s="194" t="s"/>
      <c r="H194" s="194" t="s"/>
      <c r="I194" s="194" t="s"/>
      <c r="J194" s="194" t="s"/>
      <c r="K194" s="194" t="s"/>
      <c r="L194" s="194" t="s"/>
      <c r="M194" s="194" t="s"/>
      <c r="N194" s="194" t="s"/>
      <c r="O194" s="194" t="s"/>
      <c r="P194" s="194" t="s"/>
      <c r="Q194" s="194" t="s"/>
      <c r="R194" s="194" t="s"/>
      <c r="S194" s="194" t="s"/>
      <c r="T194" s="194" t="s"/>
      <c r="U194" s="194" t="s"/>
      <c r="V194" s="194" t="s"/>
      <c r="W194" s="194" t="s"/>
      <c r="X194" s="194" t="s"/>
      <c r="Y194" s="194" t="s"/>
    </row>
    <row r="195" spans="1:25" customHeight="false">
      <c r="A195" s="194" t="s"/>
      <c r="B195" s="194" t="s"/>
      <c r="C195" s="194" t="s"/>
      <c r="D195" s="194" t="s"/>
      <c r="E195" s="194" t="s"/>
      <c r="F195" s="194" t="s"/>
      <c r="G195" s="194" t="s"/>
      <c r="H195" s="194" t="s"/>
      <c r="I195" s="194" t="s"/>
      <c r="J195" s="194" t="s"/>
      <c r="K195" s="194" t="s"/>
      <c r="L195" s="194" t="s"/>
      <c r="M195" s="194" t="s"/>
      <c r="N195" s="194" t="s"/>
      <c r="O195" s="194" t="s"/>
      <c r="P195" s="194" t="s"/>
      <c r="Q195" s="194" t="s"/>
      <c r="R195" s="194" t="s"/>
      <c r="S195" s="194" t="s"/>
      <c r="T195" s="194" t="s"/>
      <c r="U195" s="194" t="s"/>
      <c r="V195" s="194" t="s"/>
      <c r="W195" s="194" t="s"/>
      <c r="X195" s="194" t="s"/>
      <c r="Y195" s="194" t="s"/>
    </row>
    <row r="196" spans="1:25" customHeight="false">
      <c r="A196" s="194" t="s"/>
      <c r="B196" s="194" t="s"/>
      <c r="C196" s="194" t="s"/>
      <c r="D196" s="194" t="s"/>
      <c r="E196" s="194" t="s"/>
      <c r="F196" s="194" t="s"/>
      <c r="G196" s="194" t="s"/>
      <c r="H196" s="194" t="s"/>
      <c r="I196" s="194" t="s"/>
      <c r="J196" s="194" t="s"/>
      <c r="K196" s="194" t="s"/>
      <c r="L196" s="194" t="s"/>
      <c r="M196" s="194" t="s"/>
      <c r="N196" s="194" t="s"/>
      <c r="O196" s="194" t="s"/>
      <c r="P196" s="194" t="s"/>
      <c r="Q196" s="194" t="s"/>
      <c r="R196" s="194" t="s"/>
      <c r="S196" s="194" t="s"/>
      <c r="T196" s="194" t="s"/>
      <c r="U196" s="194" t="s"/>
      <c r="V196" s="194" t="s"/>
      <c r="W196" s="194" t="s"/>
      <c r="X196" s="194" t="s"/>
      <c r="Y196" s="194" t="s"/>
    </row>
    <row r="197" spans="1:25" customHeight="false">
      <c r="A197" s="194" t="s"/>
      <c r="B197" s="194" t="s"/>
      <c r="C197" s="194" t="s"/>
      <c r="D197" s="194" t="s"/>
      <c r="E197" s="194" t="s"/>
      <c r="F197" s="194" t="s"/>
      <c r="G197" s="194" t="s"/>
      <c r="H197" s="194" t="s"/>
      <c r="I197" s="194" t="s"/>
      <c r="J197" s="194" t="s"/>
      <c r="K197" s="194" t="s"/>
      <c r="L197" s="194" t="s"/>
      <c r="M197" s="194" t="s"/>
      <c r="N197" s="194" t="s"/>
      <c r="O197" s="194" t="s"/>
      <c r="P197" s="194" t="s"/>
      <c r="Q197" s="194" t="s"/>
      <c r="R197" s="194" t="s"/>
      <c r="S197" s="194" t="s"/>
      <c r="T197" s="194" t="s"/>
      <c r="U197" s="194" t="s"/>
      <c r="V197" s="194" t="s"/>
      <c r="W197" s="194" t="s"/>
      <c r="X197" s="194" t="s"/>
      <c r="Y197" s="194" t="s"/>
    </row>
    <row r="198" spans="1:25" customHeight="false">
      <c r="A198" s="194" t="s"/>
      <c r="B198" s="194" t="s"/>
      <c r="C198" s="194" t="s"/>
      <c r="D198" s="194" t="s"/>
      <c r="E198" s="194" t="s"/>
      <c r="F198" s="194" t="s"/>
      <c r="G198" s="194" t="s"/>
      <c r="H198" s="194" t="s"/>
      <c r="I198" s="194" t="s"/>
      <c r="J198" s="194" t="s"/>
      <c r="K198" s="194" t="s"/>
      <c r="L198" s="194" t="s"/>
      <c r="M198" s="194" t="s"/>
      <c r="N198" s="194" t="s"/>
      <c r="O198" s="194" t="s"/>
      <c r="P198" s="194" t="s"/>
      <c r="Q198" s="194" t="s"/>
      <c r="R198" s="194" t="s"/>
      <c r="S198" s="194" t="s"/>
      <c r="T198" s="194" t="s"/>
      <c r="U198" s="194" t="s"/>
      <c r="V198" s="194" t="s"/>
      <c r="W198" s="194" t="s"/>
      <c r="X198" s="194" t="s"/>
      <c r="Y198" s="194" t="s"/>
    </row>
    <row r="199" spans="1:25" customHeight="false">
      <c r="A199" s="194" t="s"/>
      <c r="B199" s="194" t="s"/>
      <c r="C199" s="194" t="s"/>
      <c r="D199" s="194" t="s"/>
      <c r="E199" s="194" t="s"/>
      <c r="F199" s="194" t="s"/>
      <c r="G199" s="194" t="s"/>
      <c r="H199" s="194" t="s"/>
      <c r="I199" s="194" t="s"/>
      <c r="J199" s="194" t="s"/>
      <c r="K199" s="194" t="s"/>
      <c r="L199" s="194" t="s"/>
      <c r="M199" s="194" t="s"/>
      <c r="N199" s="194" t="s"/>
      <c r="O199" s="194" t="s"/>
      <c r="P199" s="194" t="s"/>
      <c r="Q199" s="194" t="s"/>
      <c r="R199" s="194" t="s"/>
      <c r="S199" s="194" t="s"/>
      <c r="T199" s="194" t="s"/>
      <c r="U199" s="194" t="s"/>
      <c r="V199" s="194" t="s"/>
      <c r="W199" s="194" t="s"/>
      <c r="X199" s="194" t="s"/>
      <c r="Y199" s="194" t="s"/>
    </row>
    <row r="200" spans="1:25" customHeight="false">
      <c r="A200" s="194" t="s"/>
      <c r="B200" s="194" t="s"/>
      <c r="C200" s="194" t="s"/>
      <c r="D200" s="194" t="s"/>
      <c r="E200" s="194" t="s"/>
      <c r="F200" s="194" t="s"/>
      <c r="G200" s="194" t="s"/>
      <c r="H200" s="194" t="s"/>
      <c r="I200" s="194" t="s"/>
      <c r="J200" s="194" t="s"/>
      <c r="K200" s="194" t="s"/>
      <c r="L200" s="194" t="s"/>
      <c r="M200" s="194" t="s"/>
      <c r="N200" s="194" t="s"/>
      <c r="O200" s="194" t="s"/>
      <c r="P200" s="194" t="s"/>
      <c r="Q200" s="194" t="s"/>
      <c r="R200" s="194" t="s"/>
      <c r="S200" s="194" t="s"/>
      <c r="T200" s="194" t="s"/>
      <c r="U200" s="194" t="s"/>
      <c r="V200" s="194" t="s"/>
      <c r="W200" s="194" t="s"/>
      <c r="X200" s="194" t="s"/>
      <c r="Y200" s="194" t="s"/>
    </row>
    <row r="201" spans="1:25" customHeight="false">
      <c r="A201" s="194" t="s"/>
      <c r="B201" s="194" t="s"/>
      <c r="C201" s="194" t="s"/>
      <c r="D201" s="194" t="s"/>
      <c r="E201" s="194" t="s"/>
      <c r="F201" s="194" t="s"/>
      <c r="G201" s="194" t="s"/>
      <c r="H201" s="194" t="s"/>
      <c r="I201" s="194" t="s"/>
      <c r="J201" s="194" t="s"/>
      <c r="K201" s="194" t="s"/>
      <c r="L201" s="194" t="s"/>
      <c r="M201" s="194" t="s"/>
      <c r="N201" s="194" t="s"/>
      <c r="O201" s="194" t="s"/>
      <c r="P201" s="194" t="s"/>
      <c r="Q201" s="194" t="s"/>
      <c r="R201" s="194" t="s"/>
      <c r="S201" s="194" t="s"/>
      <c r="T201" s="194" t="s"/>
      <c r="U201" s="194" t="s"/>
      <c r="V201" s="194" t="s"/>
      <c r="W201" s="194" t="s"/>
      <c r="X201" s="194" t="s"/>
      <c r="Y201" s="194" t="s"/>
    </row>
  </sheetData>
  <mergeCells count="6">
    <mergeCell ref="A1:W1"/>
    <mergeCell ref="B5:M5"/>
    <mergeCell ref="N5:V5"/>
    <mergeCell ref="X1:X6"/>
    <mergeCell ref="Y1:Y6"/>
    <mergeCell ref="A2:M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2026-01-21T15:25:29Z</dcterms:created>
  <dcterms:modified xsi:type="dcterms:W3CDTF">2026-01-21T15:25:29Z</dcterms:modified>
</cp:coreProperties>
</file>